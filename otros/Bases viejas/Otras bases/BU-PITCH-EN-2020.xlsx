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/>
  <mc:AlternateContent xmlns:mc="http://schemas.openxmlformats.org/markup-compatibility/2006">
    <mc:Choice Requires="x15">
      <x15ac:absPath xmlns:x15ac="http://schemas.microsoft.com/office/spreadsheetml/2010/11/ac" url="/Users/xinyuema/Downloads/"/>
    </mc:Choice>
  </mc:AlternateContent>
  <xr:revisionPtr revIDLastSave="0" documentId="13_ncr:1_{17C6AA66-A6E5-FC49-AB72-863B3723D865}" xr6:coauthVersionLast="45" xr6:coauthVersionMax="45" xr10:uidLastSave="{00000000-0000-0000-0000-000000000000}"/>
  <bookViews>
    <workbookView xWindow="0" yWindow="460" windowWidth="28800" windowHeight="16500" xr2:uid="{00000000-000D-0000-FFFF-FFFF00000000}"/>
  </bookViews>
  <sheets>
    <sheet name="Sheet1" sheetId="3" r:id="rId1"/>
  </sheets>
  <definedNames>
    <definedName name="_xlnm._FilterDatabase" localSheetId="0" hidden="1">Sheet1!$A$1:$L$277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10" roundtripDataSignature="AMtx7mgfUVUqe2HziEv5r246Jphd50F6EA=="/>
    </ext>
  </extLst>
</workbook>
</file>

<file path=xl/calcChain.xml><?xml version="1.0" encoding="utf-8"?>
<calcChain xmlns="http://schemas.openxmlformats.org/spreadsheetml/2006/main">
  <c r="J264" i="3" l="1"/>
  <c r="J262" i="3"/>
  <c r="J257" i="3"/>
  <c r="J253" i="3"/>
  <c r="J244" i="3"/>
  <c r="J233" i="3"/>
  <c r="J232" i="3"/>
  <c r="J230" i="3"/>
  <c r="J228" i="3"/>
  <c r="J221" i="3"/>
  <c r="J195" i="3"/>
  <c r="J183" i="3"/>
  <c r="J173" i="3"/>
  <c r="J163" i="3"/>
  <c r="J158" i="3"/>
  <c r="J155" i="3"/>
  <c r="J137" i="3"/>
  <c r="J135" i="3"/>
  <c r="J117" i="3"/>
  <c r="J102" i="3"/>
  <c r="J90" i="3"/>
  <c r="J34" i="3"/>
  <c r="J24" i="3"/>
  <c r="J14" i="3"/>
  <c r="J13" i="3"/>
  <c r="J12" i="3"/>
</calcChain>
</file>

<file path=xl/sharedStrings.xml><?xml version="1.0" encoding="utf-8"?>
<sst xmlns="http://schemas.openxmlformats.org/spreadsheetml/2006/main" count="2439" uniqueCount="765">
  <si>
    <t>Date</t>
  </si>
  <si>
    <t>Country</t>
  </si>
  <si>
    <t>CountryCode</t>
  </si>
  <si>
    <t>Region</t>
  </si>
  <si>
    <t>Location</t>
  </si>
  <si>
    <t>EnergySource</t>
  </si>
  <si>
    <t>EnergySubSector</t>
  </si>
  <si>
    <t>Borrower</t>
  </si>
  <si>
    <t>Lender</t>
  </si>
  <si>
    <t>Amount ($m)</t>
  </si>
  <si>
    <t>Description</t>
  </si>
  <si>
    <t>BRI Membership</t>
  </si>
  <si>
    <t>Sudan</t>
  </si>
  <si>
    <t>SDN</t>
  </si>
  <si>
    <t>Africa</t>
  </si>
  <si>
    <t>Garri (80 km N of Khartoum), Sudan</t>
  </si>
  <si>
    <t>Gas/LNG</t>
  </si>
  <si>
    <t>Power Generation</t>
  </si>
  <si>
    <t>Government</t>
  </si>
  <si>
    <t>Ex-Im Bank</t>
  </si>
  <si>
    <t>Garri (El-Jaili) Power Station</t>
  </si>
  <si>
    <t>Pakistan</t>
  </si>
  <si>
    <t>PAK</t>
  </si>
  <si>
    <t>South Asia</t>
  </si>
  <si>
    <t>Jinnah Barrage, Mianwali District</t>
  </si>
  <si>
    <t>Hydropower</t>
  </si>
  <si>
    <t>Jinnah Hydropower Station (delayed until 2006)</t>
  </si>
  <si>
    <t>Cambodia</t>
  </si>
  <si>
    <t>KHM</t>
  </si>
  <si>
    <t>Southeast Asia</t>
  </si>
  <si>
    <t>Morocco</t>
  </si>
  <si>
    <t>MAR</t>
  </si>
  <si>
    <t>Ifrane, Chefchaouen, Al-Hoceima</t>
  </si>
  <si>
    <t>Three Dams (Ifrane, Chefchaouen, Al-Hoceima)</t>
  </si>
  <si>
    <t>Nigeria</t>
  </si>
  <si>
    <t>NGA</t>
  </si>
  <si>
    <t>Otomosho, Nigeria</t>
  </si>
  <si>
    <t>Omotosho Power Plant I</t>
  </si>
  <si>
    <t>Papalanto, Orgun State, Nigeria</t>
  </si>
  <si>
    <t>Papalanto Gas-Fire Power Station Phase I</t>
  </si>
  <si>
    <t>Vietnam</t>
  </si>
  <si>
    <t>VNM</t>
  </si>
  <si>
    <t>Thai Nguyen Province, Vietnam</t>
  </si>
  <si>
    <t>Coal</t>
  </si>
  <si>
    <t>Cao Ngan Thermal Power Plant</t>
  </si>
  <si>
    <t>Myanmar</t>
  </si>
  <si>
    <t>MMR</t>
  </si>
  <si>
    <t>Center of Myanmar, Shan State on Myitnge River</t>
  </si>
  <si>
    <t>Yeywa Power Plant</t>
  </si>
  <si>
    <t>Republic of Congo</t>
  </si>
  <si>
    <t>COG</t>
  </si>
  <si>
    <t>Lefini River, Southeast of Congo</t>
  </si>
  <si>
    <t>Imboulou Dam</t>
  </si>
  <si>
    <t>North Khartoum, Sudan</t>
  </si>
  <si>
    <t>Oil</t>
  </si>
  <si>
    <t>Khartoum North Thermal Power Station</t>
  </si>
  <si>
    <t>Merowe Town, Northern Sudan</t>
  </si>
  <si>
    <t>Multipurpose</t>
  </si>
  <si>
    <t>Merowe Dam &amp; Power Transmission Co-financed with Various Banks</t>
  </si>
  <si>
    <t>Bokor National Park (BNP), Kampot</t>
  </si>
  <si>
    <t>Sinohydro Kamchay</t>
  </si>
  <si>
    <t>Kamchay Hydroelectric Power Plant</t>
  </si>
  <si>
    <t>Laos</t>
  </si>
  <si>
    <t>LAO</t>
  </si>
  <si>
    <t>Nam Gnong River, Phou Khaokhouay Plateau</t>
  </si>
  <si>
    <t>Nam Mang-3 Dam</t>
  </si>
  <si>
    <t>Xeset River, Saravan province</t>
  </si>
  <si>
    <t>Xeset II Hydropower Project (80% as a Credit Loan from China EXIM Bank, 20% financed by EDL)</t>
  </si>
  <si>
    <t>Chashma Colony and Kundian town, Mianwali District, Punjab</t>
  </si>
  <si>
    <t>Nuclear</t>
  </si>
  <si>
    <t>Chashma Power Station Unit 2</t>
  </si>
  <si>
    <t>Tam Hưng Commune, Thủy Nguyên District, Hải Phòng Province</t>
  </si>
  <si>
    <t>Hai Phong Thermal Power Plant Phase 1</t>
  </si>
  <si>
    <t>Equa. Guinea</t>
  </si>
  <si>
    <t>GNQ</t>
  </si>
  <si>
    <t>Djibloho Fall, Equi. Guinea</t>
  </si>
  <si>
    <t>Djibloho Dam</t>
  </si>
  <si>
    <t>Kazakhstan</t>
  </si>
  <si>
    <t>KAZ</t>
  </si>
  <si>
    <t>Europe/Central Asia</t>
  </si>
  <si>
    <t>Raiymbek Region, Almaty Province</t>
  </si>
  <si>
    <t>CDB</t>
  </si>
  <si>
    <t>Moinak Hydroelectric Power Plant</t>
  </si>
  <si>
    <t>Sri Lanka</t>
  </si>
  <si>
    <t>LKA</t>
  </si>
  <si>
    <t>Norochcholai, Puttalam</t>
  </si>
  <si>
    <t>CEB (Ceylon Electricity Board)</t>
  </si>
  <si>
    <t>Norocholai (Lakvijaya) Power Station Phase 1</t>
  </si>
  <si>
    <t>Tajikistan</t>
  </si>
  <si>
    <t>TJK</t>
  </si>
  <si>
    <t>Khatlon Province</t>
  </si>
  <si>
    <t>Unspecified</t>
  </si>
  <si>
    <t>Transmission and Distribution</t>
  </si>
  <si>
    <t>Tajik Barqi Tojik</t>
  </si>
  <si>
    <t>High Voltage Transmission Line</t>
  </si>
  <si>
    <t>Brazil</t>
  </si>
  <si>
    <t>BRA</t>
  </si>
  <si>
    <t>LAC</t>
  </si>
  <si>
    <t>Cabiúnas Terminal in Rio de Janeiro to Catu in Bahia</t>
  </si>
  <si>
    <t>BNDES</t>
  </si>
  <si>
    <t>GASENE Pipeline, Loan Onlent through BNDES</t>
  </si>
  <si>
    <t>Chad</t>
  </si>
  <si>
    <t>TCD</t>
  </si>
  <si>
    <t>Oilfields in Bongor Basin to Djarmaya</t>
  </si>
  <si>
    <t>N'Djamena Refinery and Pipeline (Loan Offered as Chadian Government's Share)</t>
  </si>
  <si>
    <t>Ethiopia</t>
  </si>
  <si>
    <t>ETH</t>
  </si>
  <si>
    <t>Oromia Regional State of Horoguduru Wollega Zone</t>
  </si>
  <si>
    <t>Finchaa-Amerti-Neshe Dam</t>
  </si>
  <si>
    <t>Ghana</t>
  </si>
  <si>
    <t>GHA</t>
  </si>
  <si>
    <t>Black Volta River, Bui Gorge (Southern End of Bui National Park)</t>
  </si>
  <si>
    <t>Bui Dam</t>
  </si>
  <si>
    <t>Indonesia</t>
  </si>
  <si>
    <t>IDN</t>
  </si>
  <si>
    <t>Middle Reaches of Cimanuk River, Sumedang Region, West Java Province</t>
  </si>
  <si>
    <t>Jatigede Dam (Hydropower Plant)</t>
  </si>
  <si>
    <t>Uzbekistan</t>
  </si>
  <si>
    <t>UZB</t>
  </si>
  <si>
    <t>Exploration and Extraction</t>
  </si>
  <si>
    <t>Uzbekneftegaz</t>
  </si>
  <si>
    <t>Drilling Rig Export</t>
  </si>
  <si>
    <t>Belarus</t>
  </si>
  <si>
    <t>BLR</t>
  </si>
  <si>
    <t>Pukhovichy district, Minsk</t>
  </si>
  <si>
    <t>Revamping Minsk CHP Plant No. 5</t>
  </si>
  <si>
    <t>Rio Grande do Sul, Brazil</t>
  </si>
  <si>
    <t>Petrobras</t>
  </si>
  <si>
    <t>Presidente Médici Candiota Power Station (Third Expansion)</t>
  </si>
  <si>
    <t>Northern Koh Kong</t>
  </si>
  <si>
    <t>Kirirom III Hydropower Plant</t>
  </si>
  <si>
    <t>Gabon</t>
  </si>
  <si>
    <t>GAB</t>
  </si>
  <si>
    <t>Ogooué River, Southeast Garbon</t>
  </si>
  <si>
    <t>Grand Poubara Dam</t>
  </si>
  <si>
    <t>Rembang, Jawa Tengah, Central Java, Indonesia</t>
  </si>
  <si>
    <t>PLN (Perusahaan Listrik Negara)</t>
  </si>
  <si>
    <t>Rembang Power Station</t>
  </si>
  <si>
    <t>Bhinor Village, Paiton District, Probolinggo Regency, East Java Province</t>
  </si>
  <si>
    <t>Paiton Power Plant Unit 9</t>
  </si>
  <si>
    <t xml:space="preserve">Atyrau Oblast, Karabatan </t>
  </si>
  <si>
    <t>Atyrau Petrochemical Complex</t>
  </si>
  <si>
    <t>Electricity of Vietnam</t>
  </si>
  <si>
    <t>Hai Phong Thermal Power Plant Phase 2</t>
  </si>
  <si>
    <t>Bolivia</t>
  </si>
  <si>
    <t>BOL</t>
  </si>
  <si>
    <t>10-Year Oil Supply Plan (10Mt/Year), "Oil for Loan"</t>
  </si>
  <si>
    <t>Border of Oromia and Somali Regional States</t>
  </si>
  <si>
    <t>Genale-Dawa III Hydroelectric Power Project</t>
  </si>
  <si>
    <t>from the Gibe III switchyard to Wolaita Sodo substation</t>
  </si>
  <si>
    <t>Ethiopian Electric Power</t>
  </si>
  <si>
    <t>Power transmission lines from Gibe III to the Wolayta substation.</t>
  </si>
  <si>
    <t>Fiji</t>
  </si>
  <si>
    <t>FJI</t>
  </si>
  <si>
    <t>Sigatoka River in Nadarivatu District of Nadroga-Navosa Province</t>
  </si>
  <si>
    <t>Nadarivatu Dam Co-financed with ADZ and Fiji Electricity Authority</t>
  </si>
  <si>
    <t>Southwest of Banda Aceh, Northern Sumatra Island, Indonesia</t>
  </si>
  <si>
    <t>PLTU Nangroe Aceh Darussalam Thermal Power Plant</t>
  </si>
  <si>
    <t>Batam, Riau Province, Sumatra Island</t>
  </si>
  <si>
    <t>Tanjung Kasam Power Station with Sinosure</t>
  </si>
  <si>
    <t>Bunton Village, Adipala District, Cilacap Regency, Central Java Province</t>
  </si>
  <si>
    <t>PT PLN (Persero)</t>
  </si>
  <si>
    <t>Adipala Power Station</t>
  </si>
  <si>
    <t>Pulomerak District, Cilegon City, Banten Province</t>
  </si>
  <si>
    <t>PLN Indonesia</t>
  </si>
  <si>
    <t>Suralaya Unit 8 Power Plant</t>
  </si>
  <si>
    <t>Sudimoro District, Pacitan Regency, East Java Province</t>
  </si>
  <si>
    <t>Pacitan Coal Power Plant</t>
  </si>
  <si>
    <t>Pelabuhan Ratu District, Sukabumi Regency, West Java Province</t>
  </si>
  <si>
    <t>Pelabuhan Ratu Power Station</t>
  </si>
  <si>
    <t>Northern Luang Prabang Province</t>
  </si>
  <si>
    <t>Nam Kham 2 Dam</t>
  </si>
  <si>
    <t>Kyauk Phyu Township to Yunnan, China</t>
  </si>
  <si>
    <t>Sino-Myanmar Pipeline with International Financiers</t>
  </si>
  <si>
    <t>Russia</t>
  </si>
  <si>
    <t>RUS</t>
  </si>
  <si>
    <t>Rosneft</t>
  </si>
  <si>
    <t>Oil Export</t>
  </si>
  <si>
    <t>From Skovorodino to the Amur River</t>
  </si>
  <si>
    <t>Transneft</t>
  </si>
  <si>
    <t>Russia-China Oil Pipeline</t>
  </si>
  <si>
    <t>Norocholai, Puttalam</t>
  </si>
  <si>
    <t>Norochcholai (Lakvijaya) Power Plant Phase 2</t>
  </si>
  <si>
    <t>South Kordofan State, Sudan</t>
  </si>
  <si>
    <t>Al-Fulah Power Plant</t>
  </si>
  <si>
    <t>Turkmenistan</t>
  </si>
  <si>
    <t>TKM</t>
  </si>
  <si>
    <t>Ýolöten in Mary Province of Turkmenistan</t>
  </si>
  <si>
    <t>Turkmengaz</t>
  </si>
  <si>
    <t>Galkynysh (South Yolotan-Osman) Gas Field</t>
  </si>
  <si>
    <t>Quảng Ninh Province, Vietnam</t>
  </si>
  <si>
    <t>Quang Ninh-1 Unit 1</t>
  </si>
  <si>
    <t>Belaye Lake, Brest Region</t>
  </si>
  <si>
    <t>Berezov Combined Cycle Power Plant</t>
  </si>
  <si>
    <t>Koh Kong Province</t>
  </si>
  <si>
    <t>CHMC</t>
  </si>
  <si>
    <t>Stung Tatay Hydropower Project Main Project</t>
  </si>
  <si>
    <t>Cameroon</t>
  </si>
  <si>
    <t>CMR</t>
  </si>
  <si>
    <t>Dja River, South of Cameroon</t>
  </si>
  <si>
    <t>Mekin Hydroelectric Dam</t>
  </si>
  <si>
    <t>Ecuador</t>
  </si>
  <si>
    <t>ECU</t>
  </si>
  <si>
    <t>Paute River, Azuay and Morona Santiago Provinces</t>
  </si>
  <si>
    <t>Sopladora Hydroelectric Dam</t>
  </si>
  <si>
    <t>Coca River, Provinces of Napo and Sucumbíos, Ecuador</t>
  </si>
  <si>
    <t>Coca-Codo-Sinclair HPP</t>
  </si>
  <si>
    <t>India</t>
  </si>
  <si>
    <t>IND</t>
  </si>
  <si>
    <t>Jhajjar District, Haryana</t>
  </si>
  <si>
    <t>Jhajjar Power Limited (CLP India)</t>
  </si>
  <si>
    <t>CDB-Ex-Im Cofinancing</t>
  </si>
  <si>
    <t>CLP Jhajjar Power Plant</t>
  </si>
  <si>
    <t>Chhattisgarh</t>
  </si>
  <si>
    <t>Lanco Group</t>
  </si>
  <si>
    <t>Lanco Amarkantak Thermal Power Project 3&amp;4</t>
  </si>
  <si>
    <t>Uttar Pradesh</t>
  </si>
  <si>
    <t>Anpara Second Phase (Built) and Himawat (Lanco - Himavat Thermal Power Plant, Suspected to be Abandoned)</t>
  </si>
  <si>
    <t>Sasan Village, State of Madhya Pradesh</t>
  </si>
  <si>
    <t>Sasan Power, subsidiary of Reliance Power</t>
  </si>
  <si>
    <t>Sasan UMPP, with Sinosure</t>
  </si>
  <si>
    <t>Reliance Power</t>
  </si>
  <si>
    <t>Boiler, Generator and Turbine Procurement from Shanghai Electric Group</t>
  </si>
  <si>
    <t>Italy</t>
  </si>
  <si>
    <t>ITA</t>
  </si>
  <si>
    <t>Brindisi</t>
  </si>
  <si>
    <t>Solar</t>
  </si>
  <si>
    <t>Global Solar Fund S.C.A. SICAR (under Suntech)</t>
  </si>
  <si>
    <t>Various GSF Solar Parks</t>
  </si>
  <si>
    <t>Kenya</t>
  </si>
  <si>
    <t>KEN</t>
  </si>
  <si>
    <t>Rift Valley</t>
  </si>
  <si>
    <t>Geothermal</t>
  </si>
  <si>
    <t>Olkaria IV Geothermal Field Drilling</t>
  </si>
  <si>
    <t>Philippines</t>
  </si>
  <si>
    <t>PHL</t>
  </si>
  <si>
    <t>Bataan Peninsula</t>
  </si>
  <si>
    <t>GNPower</t>
  </si>
  <si>
    <t>GNPower Mariveles Coal-Fired Plant with Sinosure</t>
  </si>
  <si>
    <t>Binh Thuan Province, Vietnam</t>
  </si>
  <si>
    <t xml:space="preserve"> Electricity of Vietnam (EVN)</t>
  </si>
  <si>
    <t>Vinh Tan 2 Power Plant</t>
  </si>
  <si>
    <t>Zambia</t>
  </si>
  <si>
    <t>ZMB</t>
  </si>
  <si>
    <t>Zambezi River</t>
  </si>
  <si>
    <t>Extension of Existing 720MW Kariba North Bank Hydropower Project</t>
  </si>
  <si>
    <t>Vitebskaya Obl, Western Dvina River in Vitebsk</t>
  </si>
  <si>
    <t>Vitebsk Hydropower Plant</t>
  </si>
  <si>
    <t>Equipment Procurement</t>
  </si>
  <si>
    <t>Bosnia &amp; Herzegovina</t>
  </si>
  <si>
    <t>BIH</t>
  </si>
  <si>
    <t>Tuzla, Bosnia &amp; Herzegovina</t>
  </si>
  <si>
    <t>Tuzla 7 Lignite Power Plant</t>
  </si>
  <si>
    <t>Kampong Cham Province, Prey Veng Province, Kampong Speu Province, Khaet Preah Sihanouk</t>
  </si>
  <si>
    <t>Rural Power Grid Extension Project Phase 1</t>
  </si>
  <si>
    <t>DRC</t>
  </si>
  <si>
    <t>COD</t>
  </si>
  <si>
    <t>Southwest Bas-Congo Province on Inkisi River</t>
  </si>
  <si>
    <t>Zongo II Hydropower Station</t>
  </si>
  <si>
    <t>Lualaba River of Province du Haut Katanga</t>
  </si>
  <si>
    <t>Busanga Hydropower</t>
  </si>
  <si>
    <t>Villonaco, Loja</t>
  </si>
  <si>
    <t>Wind</t>
  </si>
  <si>
    <t>Petroecuador</t>
  </si>
  <si>
    <t>Villonaco wind farm</t>
  </si>
  <si>
    <t>Esmeraldas</t>
  </si>
  <si>
    <t>Esmeraldas thermoelectric plant</t>
  </si>
  <si>
    <t>30% Oil-Related (discretionary includes $680 million for hydroelectric dams (Delsitanisagua, Minas-San Francisco, Mazar-Dudas) $50 million Esmeraldas thermoelectric plant, $37.5 million Villonaco wind farm, possibly $240 million ECU-$911 security project)</t>
  </si>
  <si>
    <t>Bata City</t>
  </si>
  <si>
    <t>Extension of the Electric Transmission Network of Bata City</t>
  </si>
  <si>
    <t>Oromia, Ethiopia</t>
  </si>
  <si>
    <t xml:space="preserve">Ethiopian Electric Power Corporation (EEPCo) </t>
  </si>
  <si>
    <t>Adama Wind Farm</t>
  </si>
  <si>
    <t>Atuabo in the Nzemaland of the Western Region</t>
  </si>
  <si>
    <t>Ghana Gas Company</t>
  </si>
  <si>
    <t>Western Corridor Gas Infrastructure Development Project (Atuabo Gas Processing Project and Domuli Natural Gas Export Station)</t>
  </si>
  <si>
    <t>Guinea</t>
  </si>
  <si>
    <t>GIN</t>
  </si>
  <si>
    <t>Konkoure River, West Central Guinea</t>
  </si>
  <si>
    <t>Kaleta New Hydropower Dam</t>
  </si>
  <si>
    <t>Guyana</t>
  </si>
  <si>
    <t>GUY</t>
  </si>
  <si>
    <t>Georgetown</t>
  </si>
  <si>
    <t>Guyana Power and Light (GPL) Transmission and Distribution Infrastructure Development Project</t>
  </si>
  <si>
    <t>Jungkat Village, Siantan District, Pontianak Regency, West Kalimantan Province</t>
  </si>
  <si>
    <t>Parit Baru Power Station</t>
  </si>
  <si>
    <t>Nepal</t>
  </si>
  <si>
    <t>NPL</t>
  </si>
  <si>
    <t>Upper Trishuli River</t>
  </si>
  <si>
    <t>Upper Trishuli III A</t>
  </si>
  <si>
    <t>Niger</t>
  </si>
  <si>
    <t>NER</t>
  </si>
  <si>
    <t>Chashma Power Station Unit 3 and 4</t>
  </si>
  <si>
    <t>Ioujno-Elotenshoie Field, East Turkmenistan</t>
  </si>
  <si>
    <t>Ioujno-Elotenshoie Gas Field (Extension of the 2009 Loan)</t>
  </si>
  <si>
    <t>Gazli, Bukhara</t>
  </si>
  <si>
    <t>Central Asia-China Gas Pipeline Route C Co-Financed with CNPC</t>
  </si>
  <si>
    <t>Kỳ Lợi Commune, Kỳ Anh District, Hà Tĩnh Province</t>
  </si>
  <si>
    <t>PetroVietnam</t>
  </si>
  <si>
    <t>Vung Ang Power Station</t>
  </si>
  <si>
    <t>Duyên Hải District, Trà Vinh Province</t>
  </si>
  <si>
    <t>Duyen Hai 1 with Sinosure</t>
  </si>
  <si>
    <t>Argentina</t>
  </si>
  <si>
    <t>ARG</t>
  </si>
  <si>
    <t>Various Renewable Energy Projects; Renewal of 2007/2010 Loans</t>
  </si>
  <si>
    <t>Stanari Coal Mine, East of Banja Luka in Republika Srpska</t>
  </si>
  <si>
    <t>EFT Group</t>
  </si>
  <si>
    <t>Stanari Power Plant</t>
  </si>
  <si>
    <t>Ntem River, Southwest of Cameroon</t>
  </si>
  <si>
    <t>Memve'ele Hydropower Station</t>
  </si>
  <si>
    <t>Chile</t>
  </si>
  <si>
    <t>CHL</t>
  </si>
  <si>
    <t>Sky Solar and Sigdo Koppers</t>
  </si>
  <si>
    <t>300MW Photovoltaic Solar Station</t>
  </si>
  <si>
    <t>Sinar Mas Group</t>
  </si>
  <si>
    <t>Celukan Bawang, Buleleng Regency, North Bali</t>
  </si>
  <si>
    <t>Celukan Bawang</t>
  </si>
  <si>
    <t>Muzaffarabad, Pakistan</t>
  </si>
  <si>
    <t>Neelum–Jhelum Hydropower Plant</t>
  </si>
  <si>
    <t>Serbia</t>
  </si>
  <si>
    <t>SRB</t>
  </si>
  <si>
    <t>Elahera, North Central Province</t>
  </si>
  <si>
    <t>The Moragahakanda project</t>
  </si>
  <si>
    <t>Tanzania</t>
  </si>
  <si>
    <t>TZA</t>
  </si>
  <si>
    <t>Mtwara–Dar es Salaam</t>
  </si>
  <si>
    <t>Mtwara–Dar es Salaam Natural Gas Pipeline</t>
  </si>
  <si>
    <t>Ukraine</t>
  </si>
  <si>
    <t>UKR</t>
  </si>
  <si>
    <t>Energy Efficiency</t>
  </si>
  <si>
    <t>Naftohaz Ukrainy national joint-stock company</t>
  </si>
  <si>
    <t>Gas to Coal Projects</t>
  </si>
  <si>
    <t>Vietnam Electricity (EVN)</t>
  </si>
  <si>
    <t>Bangladesh</t>
  </si>
  <si>
    <t>BGD</t>
  </si>
  <si>
    <t>Gazipur District, Dhaka, Bangladesh</t>
  </si>
  <si>
    <t>Kodda Power Plant</t>
  </si>
  <si>
    <t>Bulgaria</t>
  </si>
  <si>
    <t>BGR</t>
  </si>
  <si>
    <t>Pleven, Kazanlak, Karlovo, Silistra municipalities, Bulgaria</t>
  </si>
  <si>
    <t>Hareon Alps Holding AG (Bulgaria) 海润广伏(保加利亚)</t>
  </si>
  <si>
    <t xml:space="preserve">Hareon Pobeda &amp; Cherganovo &amp; Karlovo &amp; Kolarovo Solar Plants </t>
  </si>
  <si>
    <t>Southwestern Koh Kong Province</t>
  </si>
  <si>
    <t>Huadian</t>
  </si>
  <si>
    <t>Lower Stung Russey Chrum/Orussei Hydropower Project</t>
  </si>
  <si>
    <t>Kampot and Sihanoukville Provinces</t>
  </si>
  <si>
    <t>Cambodian Petrochemical Co. Ltd.</t>
  </si>
  <si>
    <t>Unspecified Oil Refinery</t>
  </si>
  <si>
    <t>Cote d'Ivoire</t>
  </si>
  <si>
    <t>CIV</t>
  </si>
  <si>
    <t>Abidjan, Ivory Coast, West of Cote d'Ivoire</t>
  </si>
  <si>
    <t>Soubre Hydropower Project</t>
  </si>
  <si>
    <t>Jubones River Basin, South-East Ecuador; Provinces Azuay, El Oro and Loya</t>
  </si>
  <si>
    <t>Minas-San Francisco Hydroelectric Dam</t>
  </si>
  <si>
    <t>Adama Wind Farm II</t>
  </si>
  <si>
    <t>Gondia District, Maharashtra Region, India</t>
  </si>
  <si>
    <t>Adani Power</t>
  </si>
  <si>
    <t>Tiroda Thermal Power Project with ICBC</t>
  </si>
  <si>
    <t>Bungus Teluk Kabung District, Padang City, West Sumatra Province, Indonesia</t>
  </si>
  <si>
    <t>PT PLN Persero</t>
  </si>
  <si>
    <t>"Teluk Sirih Coal-Fired Power Plant (224MW) STATION"</t>
  </si>
  <si>
    <t>Pasir Village, Pangkalan Susu District, Langkat Regency, North Sumatra Province, Indonesia</t>
  </si>
  <si>
    <t>Indonesian State Electricity Company</t>
  </si>
  <si>
    <t xml:space="preserve">Pangkalan Susu Unit 3 &amp; 4 Coal Fired Power Plant </t>
  </si>
  <si>
    <t>Bayung Lencir District, Musi Banyuasin Regency, South Sumatra Province</t>
  </si>
  <si>
    <t>Sumsel (SS-5) Power Station</t>
  </si>
  <si>
    <t>Cilacap, Central Java Province</t>
  </si>
  <si>
    <t xml:space="preserve">Cilacap Sumber Power Station with BOC and Bank Rakyat Indonesia </t>
  </si>
  <si>
    <t>Ekibastuz, Kazakhstan</t>
  </si>
  <si>
    <t>Third Unit of Ekibastuz GRES-2 Power Plant with Russia</t>
  </si>
  <si>
    <t>Kyrgyzstan</t>
  </si>
  <si>
    <t>KGZ</t>
  </si>
  <si>
    <t>Bishkek, Kyrgyzstan</t>
  </si>
  <si>
    <t>Bishkek Power Station Units 12 and 13</t>
  </si>
  <si>
    <t>Nam Ou River</t>
  </si>
  <si>
    <t>Sinohydro EDL JV</t>
  </si>
  <si>
    <t>Nam Ou Dams Phase 1 (2, 5, 6)</t>
  </si>
  <si>
    <t>Mali</t>
  </si>
  <si>
    <t>MLI</t>
  </si>
  <si>
    <t>Gouina, Near Kayes, in the Western Region</t>
  </si>
  <si>
    <t>Gouina Hydropower Project</t>
  </si>
  <si>
    <t>Mexico</t>
  </si>
  <si>
    <t>MEX</t>
  </si>
  <si>
    <t>Pemex</t>
  </si>
  <si>
    <t>Vessels and Offshore Oilfield Equipment</t>
  </si>
  <si>
    <t>Malbaza to Maladie, Zinder to Soraz</t>
  </si>
  <si>
    <t>132KV Transmission Project, Preferential Loan</t>
  </si>
  <si>
    <t>Transmission Capacity Upgrade (2 billion from AfDB, WB, the French Development Bank and CHEXIM)</t>
  </si>
  <si>
    <t>Kaduna River in Niger State</t>
  </si>
  <si>
    <t>Zungeru Hydropower Plant</t>
  </si>
  <si>
    <t>Far East Region</t>
  </si>
  <si>
    <t>En+ Group and Shenhua Group</t>
  </si>
  <si>
    <t>Coal Resource Development in Far East, Including Exploration, Processing, Transportation and Power Generation</t>
  </si>
  <si>
    <t>Uganda</t>
  </si>
  <si>
    <t>UGA</t>
  </si>
  <si>
    <t>Karuma Falls on the Victoria Nile</t>
  </si>
  <si>
    <t>Karuma Hydroelectric Power Station</t>
  </si>
  <si>
    <t>Eastern Uzbekistan</t>
  </si>
  <si>
    <t>Angren Power Station with Uzbekenergo</t>
  </si>
  <si>
    <t>Venezuela</t>
  </si>
  <si>
    <t>VEN</t>
  </si>
  <si>
    <t>Abreu e Lima, Pernambuco State, Brazil</t>
  </si>
  <si>
    <t>PDVSA</t>
  </si>
  <si>
    <t>Buying 40% Share of Abreu e Lima (from Petrobras)</t>
  </si>
  <si>
    <t>Orinoco Oil Belt</t>
  </si>
  <si>
    <t>Increase Sinovensa Production in Orinoco </t>
  </si>
  <si>
    <t>Thai Binh 2 Coal Power Plant</t>
  </si>
  <si>
    <t>Zimbabwe</t>
  </si>
  <si>
    <t>ZWE</t>
  </si>
  <si>
    <t>Kariba South Bank Extension</t>
  </si>
  <si>
    <t>Angola</t>
  </si>
  <si>
    <t>AGO</t>
  </si>
  <si>
    <t>Unspecified Oil Export</t>
  </si>
  <si>
    <t>Patagonia Province of Santa Cruz</t>
  </si>
  <si>
    <t>The Nestor Kichner and Jorge Cepernic Dams with ICBC and BOC</t>
  </si>
  <si>
    <t>Amazon Basin, Coca River, between Napo and Sucumbíos Provinces</t>
  </si>
  <si>
    <t>Coca Codo Sinclair Hydroelectric Facility</t>
  </si>
  <si>
    <t>Punagaya village, Bangkala District, Jeneponto Regency, South Sulawesi Province, Indonesia</t>
  </si>
  <si>
    <t>Takalar Steam Coal-Fired Power Plant (200MW)</t>
  </si>
  <si>
    <t>junction of Xeset River between Saravan and Champassak provinces</t>
  </si>
  <si>
    <t>Xeset III Hydropower Project</t>
  </si>
  <si>
    <t>Niger River Basin</t>
  </si>
  <si>
    <t>Taoussa Hydropower Plant</t>
  </si>
  <si>
    <t>Jerada, Jerada Province, Oriental Region</t>
  </si>
  <si>
    <t>Office National de l'Electricité et de l'Eau Potable, Sepco III</t>
  </si>
  <si>
    <t>Jerada Power Station Extension</t>
  </si>
  <si>
    <t>Lamjung district, Gandaki Pradesh</t>
  </si>
  <si>
    <t>Sinohydro-Sagarmatha Power Co.</t>
  </si>
  <si>
    <t xml:space="preserve">50-MW Upper Marsyandgi hydroelectric plant </t>
  </si>
  <si>
    <t>Paradise Point, Karachi, Sindh</t>
  </si>
  <si>
    <t>Karachi Nuclear Power Complex (K-2/K-3)</t>
  </si>
  <si>
    <t>Požarevac, Serbia</t>
  </si>
  <si>
    <t>Kostolac B2 (retrofit), Kostolac B3 (new), and Expansion of Drmno Mine</t>
  </si>
  <si>
    <t>Dushanbe</t>
  </si>
  <si>
    <t>Barqi Tojik (national integrated power company)</t>
  </si>
  <si>
    <t>Dushanbe-2 Combined Heat and Power (CHP) Plant</t>
  </si>
  <si>
    <t>Thang Long thermal power joint stock company</t>
  </si>
  <si>
    <t>Thang Long Power Plant (600MW)</t>
  </si>
  <si>
    <t>China Power International Development Limited Company (possible supplier's credit？), Power Corporation (Vietnam National Coal-Natural Industries Corporation)</t>
  </si>
  <si>
    <t>Vinh Tan 1 Coal-Fired Thermal Power Plant with  ICBC, BOC &amp; Sinosure</t>
  </si>
  <si>
    <t>Kariba Gorge to Kafue Gorge</t>
  </si>
  <si>
    <t>Kariba North Bank and Kafue West Transmission</t>
  </si>
  <si>
    <t>Benin, Togo</t>
  </si>
  <si>
    <t>BEN, TGO</t>
  </si>
  <si>
    <t>Adjarala, between Togo and Benin</t>
  </si>
  <si>
    <t>Adjarala Hydroelectric Project</t>
  </si>
  <si>
    <t>Petrobras, Netherland sub-company</t>
  </si>
  <si>
    <t>Unspecified Oil Exploration</t>
  </si>
  <si>
    <t>Unspecified Oil Cooperation</t>
  </si>
  <si>
    <t>Cuba</t>
  </si>
  <si>
    <t>CUB</t>
  </si>
  <si>
    <t>Matanzas</t>
  </si>
  <si>
    <t>Biomass</t>
  </si>
  <si>
    <t>Jesus Rabi Biomass Power Plant 20 MW</t>
  </si>
  <si>
    <t>Nationwide</t>
  </si>
  <si>
    <t>Energy Saving Programs</t>
  </si>
  <si>
    <t>Southern Ethopia</t>
  </si>
  <si>
    <t>Transmission Project of Genale Dawa III-Yirgalem II-Wolayita Sodo II-Hawassa II</t>
  </si>
  <si>
    <t>Tanjung Tiram, South Konawe, Southeast Sulawesi</t>
  </si>
  <si>
    <t>PT Dian Swastatika Sentosa Tbk</t>
  </si>
  <si>
    <t>Kendari-3 Power Station (100MW)</t>
  </si>
  <si>
    <t>Approximate of Bungo Regency, Jambi Province</t>
  </si>
  <si>
    <t>Jambi DSS Power Station</t>
  </si>
  <si>
    <t>Muara Lenim and Lahat Regencies, South Sumatra Province</t>
  </si>
  <si>
    <t>Huadian Bukit Asam</t>
  </si>
  <si>
    <t>Bangko Tengah, aka South Sumatra 8 or Sumsel-8</t>
  </si>
  <si>
    <t>KENGEN</t>
  </si>
  <si>
    <t>Drilling Geothermal Stream</t>
  </si>
  <si>
    <t>Thatta District, Sindh, Pakistan</t>
  </si>
  <si>
    <t>UEP Wind Power (Private) Limited</t>
  </si>
  <si>
    <t>Jhmpir Wind Power Plant</t>
  </si>
  <si>
    <t>Muzaffarabad, Azad Jammu &amp; Kashmir, Pakistan</t>
  </si>
  <si>
    <t>Neelum-Jhelum Hydro Station</t>
  </si>
  <si>
    <t>Tharparkar District, Sindh, Pakistan</t>
  </si>
  <si>
    <t>Sindh Engro Coal Mining Company</t>
  </si>
  <si>
    <t>Thar Engro Power Station with ICBC, CCB, Commerical Bank of China</t>
  </si>
  <si>
    <t>Mansehra District, Khyber Pakhtunkhwa</t>
  </si>
  <si>
    <t>Al-Jomaih Holding Company (LLC) (Saudi Arabia), China Gezhouba Group Company (China) and Haseeb Khan (Pvt) Ltd (Pakistan)</t>
  </si>
  <si>
    <t>Suki Kinari Hydropower Project with ICBC</t>
  </si>
  <si>
    <t>Bahawalpur, Punjab, Pakistan</t>
  </si>
  <si>
    <t>Quaid-e-Azam Solar Park Phase II and III</t>
  </si>
  <si>
    <t>Port Qasim, Sindh, Pakistan</t>
  </si>
  <si>
    <t>Al-Mirqab Capital and China's Power Construction Corporation</t>
  </si>
  <si>
    <t>Pakistan Port Qasim Power Project with Individual Companies</t>
  </si>
  <si>
    <t>From Gwadar to Nawabshah</t>
  </si>
  <si>
    <t>Gwadar-Nawabshah LNG terminal and pipeline project</t>
  </si>
  <si>
    <t>Isimba Hydroelectric Power Station</t>
  </si>
  <si>
    <t>United Kingdom</t>
  </si>
  <si>
    <t>GBR</t>
  </si>
  <si>
    <t>Somerset, England</t>
  </si>
  <si>
    <t>Government, Engro Powergen, Thal Limited, Hub Power Company, Habib Bank Limited, and China Machinery Engineering Corporation</t>
  </si>
  <si>
    <t>HPC Nuclear Project</t>
  </si>
  <si>
    <t>Chikankata District</t>
  </si>
  <si>
    <t>Kafue Gorge Lower Hydro-Power Project with ICBC</t>
  </si>
  <si>
    <t>Hwange, Hwange District, Matabeleland North Province</t>
  </si>
  <si>
    <t>Zimbabwe Power Company</t>
  </si>
  <si>
    <t>Hwange Thermal Power Station Expansion (Unit 7-8)</t>
  </si>
  <si>
    <t>Chittagong</t>
  </si>
  <si>
    <t>Bangladesh Petroleum Corporation</t>
  </si>
  <si>
    <t>220KM Pipeline</t>
  </si>
  <si>
    <t>Kalapara, Patuakhali</t>
  </si>
  <si>
    <t>Bangladesh-China Power Company Limited</t>
  </si>
  <si>
    <t>Payra 1320 (2x660) MW Thermal Power Plant Project (Kalapara Phase I)</t>
  </si>
  <si>
    <t>Grande River in Santa Cruz</t>
  </si>
  <si>
    <t>ENDE</t>
  </si>
  <si>
    <t>Rositas Hydroelectric Power Plant</t>
  </si>
  <si>
    <t>Supply Contract to CNOOC, Zhenhua and CNPC</t>
  </si>
  <si>
    <t>Unspecified Oil Export; Debt Financing</t>
  </si>
  <si>
    <t>Rural Power Grid Extension Project Phase 5 and 6</t>
  </si>
  <si>
    <t>Java Island, Indonesia, about 100km northwest of Jakarta</t>
  </si>
  <si>
    <t>Shenhua Group and PT PLN subsidiary</t>
  </si>
  <si>
    <t>Java-7 Coal-Fired Power Plant (2000MW)</t>
  </si>
  <si>
    <t>Western Indonesia Bengkulu Province</t>
  </si>
  <si>
    <t>PT Intraco Penta and PowerChina</t>
  </si>
  <si>
    <t>Bengkulu Power Station</t>
  </si>
  <si>
    <t>Salavan-Sekong</t>
  </si>
  <si>
    <t>Salavan-Sekong II Power Transmission Project</t>
  </si>
  <si>
    <t>Gazprom</t>
  </si>
  <si>
    <t>Europe – China International Transport Route; Various Energy Cooperation</t>
  </si>
  <si>
    <t>Yamal Peninsula</t>
  </si>
  <si>
    <t>Yamal LNG</t>
  </si>
  <si>
    <t>Loznica</t>
  </si>
  <si>
    <t>CNEEC and Scarborough Group International</t>
  </si>
  <si>
    <t>Loznica Thermal Power Station</t>
  </si>
  <si>
    <t>South Africa</t>
  </si>
  <si>
    <t>ZAF</t>
  </si>
  <si>
    <t>Mpumalanga and Limpopo Provinces</t>
  </si>
  <si>
    <t>Eskom</t>
  </si>
  <si>
    <t>Medupi, Kusile and Ingula Power Stations</t>
  </si>
  <si>
    <t>South Sudan</t>
  </si>
  <si>
    <t>SSD</t>
  </si>
  <si>
    <t>Petroleos de Venezuela</t>
  </si>
  <si>
    <t>New Dehydration and Desalination Plant; expansion of Jose Processing Plant in Anzoategui</t>
  </si>
  <si>
    <t>Cauchari Salt Flat, Jujuy Province</t>
  </si>
  <si>
    <t>Cauchari Solar Park (I, II and III)</t>
  </si>
  <si>
    <t>Oil Tanker Mooring Platform, Underwater and Onshore Pipeline</t>
  </si>
  <si>
    <t>Preferential Supply Contract with Unipec Asia Company, Loan Disbursed Dec 2017-Jan 2018</t>
  </si>
  <si>
    <t>Memvélé Dam Additonal Fund (Drain)</t>
  </si>
  <si>
    <t>Mariel Development Zone</t>
  </si>
  <si>
    <t>50 MW Solar Park</t>
  </si>
  <si>
    <t>Egypt</t>
  </si>
  <si>
    <t>EGY</t>
  </si>
  <si>
    <t>Egyptian Electricity Transmission Company</t>
  </si>
  <si>
    <t>Egyptian Unified Power Grid (transmission stations, cable, transmitter)</t>
  </si>
  <si>
    <t>Addis Ababa</t>
  </si>
  <si>
    <t>Electricity Supply Project for Bole-Lemi and Kilinto Industrial Parks</t>
  </si>
  <si>
    <t>Somali Regional State</t>
  </si>
  <si>
    <t>120-MW Aysha II wind farm</t>
  </si>
  <si>
    <t>Bahodopi, Morowali, Central Sulawesi, Indonesia</t>
  </si>
  <si>
    <t>Indonesia Guang ching nickel &amp; stainless steel industry/ Guangdong Guangxin Holdings Group</t>
  </si>
  <si>
    <t>Indonesia Morowali Industrial Park Captive Coal-Fired Power Plant (300MW)</t>
  </si>
  <si>
    <t>Iran</t>
  </si>
  <si>
    <t>IRN</t>
  </si>
  <si>
    <t>Middle East</t>
  </si>
  <si>
    <t>Between Tehran and Mashhad</t>
  </si>
  <si>
    <t>Islamic Republic of Iran Railways (IRIR)</t>
  </si>
  <si>
    <t>Electrification of Railroad between Tehran, Qom and Isfahan</t>
  </si>
  <si>
    <t>Jordan</t>
  </si>
  <si>
    <t>JOR</t>
  </si>
  <si>
    <t>Attarat Um Ghudran oil shale deposit (approximately 100km southeast of Amman)</t>
  </si>
  <si>
    <t>Attarat Power Company (APCO)</t>
  </si>
  <si>
    <t>Oil Shale-Fired Plant with the Government of Jordan, NEPCO, GPEC, Sinosure, China Construction Bank</t>
  </si>
  <si>
    <t>Nairobi</t>
  </si>
  <si>
    <t>Nairobi Transmission Grid Upgrade</t>
  </si>
  <si>
    <t>Garissa and Isiolo</t>
  </si>
  <si>
    <t>Ketraco</t>
  </si>
  <si>
    <t>285km/220KV Electricity Transmission Line and Three Converting Stations</t>
  </si>
  <si>
    <t>Garissa</t>
  </si>
  <si>
    <t>Garissa-based 55MW solar farm</t>
  </si>
  <si>
    <t>Xayaburi province</t>
  </si>
  <si>
    <t>Pak Lay Dam</t>
  </si>
  <si>
    <t>Pak Ngeuy-Pha Oudom</t>
  </si>
  <si>
    <t>EDL</t>
  </si>
  <si>
    <t>230kV Pak Ngeuy-Pha Oudom Transmission Line and Associated Substation Project</t>
  </si>
  <si>
    <t>Nam Phay</t>
  </si>
  <si>
    <t>EDL &amp; Norinco joint</t>
  </si>
  <si>
    <t>86-MW Nam Phay hydropower project</t>
  </si>
  <si>
    <t>Mambilla Plateau, Tabara State</t>
  </si>
  <si>
    <t>Mambilla Hydroelectric Plant Co-financed with the Government of Nigeria</t>
  </si>
  <si>
    <t>Thar, Sindh</t>
  </si>
  <si>
    <t>ThalNova Power Thar (TNPTL)</t>
  </si>
  <si>
    <t>ThalNova 330MW Power Project with Bank of China, China Credit Insurance Agency and Habib Bank Limited</t>
  </si>
  <si>
    <t>Jhelum River</t>
  </si>
  <si>
    <t>Karot Power Company (Private) Ltd.</t>
  </si>
  <si>
    <t>Karot Run-of-River Hydropower Project with Silk Road Fund and IFC</t>
  </si>
  <si>
    <t>Hub Tehsil, Lasbela District, Balochistan Province</t>
  </si>
  <si>
    <t>Hubco Coal Power Plant Co-Financed by Consortium</t>
  </si>
  <si>
    <t>Papua New Guinea</t>
  </si>
  <si>
    <t>PNG</t>
  </si>
  <si>
    <t>Peru</t>
  </si>
  <si>
    <t>PER</t>
  </si>
  <si>
    <t>San Gaban District in Carabaya Province, Puno Region</t>
  </si>
  <si>
    <t>Hydro Global Peru S.A.C.</t>
  </si>
  <si>
    <t>San Gaban III</t>
  </si>
  <si>
    <t>Gydan Peninsula</t>
  </si>
  <si>
    <t>Novatek</t>
  </si>
  <si>
    <t>Arctic LNG 2</t>
  </si>
  <si>
    <t>Medupi</t>
  </si>
  <si>
    <t>Medupi Coal Power Plant (6*794MW)</t>
  </si>
  <si>
    <t>Rehabilitation of 500-kilowatt Power Transmission Line</t>
  </si>
  <si>
    <t>Pskem River, in the Tashkent region</t>
  </si>
  <si>
    <t>Upgrade of Three Hydro Power Plants</t>
  </si>
  <si>
    <t>Qashqadaryo Province</t>
  </si>
  <si>
    <t>Gas to Oil Processing Plant</t>
  </si>
  <si>
    <t xml:space="preserve">Malakoff Bhd and Shanghai Electric Group (SHANGHAI) </t>
  </si>
  <si>
    <t>Duyen Hai 2 Thermal Power Plant</t>
  </si>
  <si>
    <t>Dominican Republic</t>
  </si>
  <si>
    <t>DMR</t>
  </si>
  <si>
    <t>to improve the electricity distribution system of the Dominican Republic</t>
  </si>
  <si>
    <t>Konkoure River, 135km from Conakry</t>
  </si>
  <si>
    <t>Souapiti Hydro Project</t>
  </si>
  <si>
    <t>Thavieng-Laksao; Nam Phay-Thongkoun</t>
  </si>
  <si>
    <t>230 KV Thavieng S/S-Laksao S/S and 115 KV Nam Phay HPP-Thongkoun2 S/S Transmission Lines Project</t>
  </si>
  <si>
    <t>Nam tha River, tributary on the left bank of the Mekong River in Bokeo Province</t>
  </si>
  <si>
    <t>China Southern Power Grid &amp; EDL</t>
  </si>
  <si>
    <t>Nam Tha 1 Hydro Power Project</t>
  </si>
  <si>
    <t>Malawi</t>
  </si>
  <si>
    <t>MWI</t>
  </si>
  <si>
    <t>Kamwamba, Zalewa</t>
  </si>
  <si>
    <t>Kamwamba Power Plant</t>
  </si>
  <si>
    <t>Delta Region</t>
  </si>
  <si>
    <t>Modular Refinery Flare Gas Recovery Programme</t>
  </si>
  <si>
    <t>Thar Energy Limited</t>
  </si>
  <si>
    <t>330MW mine-mouth lignite-fired power plant with Habib Bank Limited, and Fauji Fertiliser Company (FFC), along with other equity partners including Hub Power Company (Hubco)</t>
  </si>
  <si>
    <t>Kusile Power Plant</t>
  </si>
  <si>
    <t>Thalpitigala Reservoir, Uma Oya</t>
  </si>
  <si>
    <t xml:space="preserve">Government </t>
  </si>
  <si>
    <t>Thalpitigala Resovoir Dam</t>
  </si>
  <si>
    <t>Hambantota Port</t>
  </si>
  <si>
    <t>Hambantota Natural Gas-Powered Electrical Station</t>
  </si>
  <si>
    <t>Kashkadarya Region</t>
  </si>
  <si>
    <t>Gas-to-Liquid Plant with Various Foreign Banks</t>
  </si>
  <si>
    <t>on a tributary of the Blue Nile</t>
  </si>
  <si>
    <t>Chemoga-Yeda hydropower plant</t>
  </si>
  <si>
    <t>Central African Republic</t>
  </si>
  <si>
    <t>CAF</t>
  </si>
  <si>
    <t>Bangui and surrounding areas</t>
  </si>
  <si>
    <t>Boali 3 Hydropower Project</t>
  </si>
  <si>
    <t>Canar</t>
  </si>
  <si>
    <t>Mazar-Dudas Hydroelectric Project</t>
  </si>
  <si>
    <t>Napo</t>
  </si>
  <si>
    <t>Quijos Hydroelectric Project</t>
  </si>
  <si>
    <t>Zamora Chinchipe</t>
  </si>
  <si>
    <t>Delsitanisagua Hydroelectric Project</t>
  </si>
  <si>
    <t>Romania</t>
  </si>
  <si>
    <t>ROU</t>
  </si>
  <si>
    <t>Brasov</t>
  </si>
  <si>
    <t>Hareon</t>
  </si>
  <si>
    <t>82 MW Solar Park in Romania</t>
  </si>
  <si>
    <t>the Geba River in western Ethiopia</t>
  </si>
  <si>
    <t>Geba Hydropower Station</t>
  </si>
  <si>
    <t>Port Qasim Datang 1 (700MW)</t>
  </si>
  <si>
    <t>Jhimpir, Thatta District, Sindh Province</t>
  </si>
  <si>
    <t>Three Gorges Second Wind Farm Pakistan Limited (TGS) and Three Gorges Third Wind Farm Pakistan Private Limited (TGT)</t>
  </si>
  <si>
    <t>Three Gorges Second and Third Wind Farm</t>
  </si>
  <si>
    <t>Development and Rehabilitation of the Electricity Network of Côte d’Ivoire (Proderci) $824m for energy grid rehabilitation project</t>
  </si>
  <si>
    <t>Mount Hagen to Tari in Hela Province</t>
  </si>
  <si>
    <t>132kv transmission lines (Hagen Mendi Tari Grid Development Project)</t>
  </si>
  <si>
    <t>Mongolia</t>
  </si>
  <si>
    <t>MNG</t>
  </si>
  <si>
    <t>East Asia</t>
  </si>
  <si>
    <t>between Ulaanbaatar and Mandalgobi soum of Dundgobi aimag</t>
  </si>
  <si>
    <t>330 kV Ulaanbaatar-Mandalgobi transmission line</t>
  </si>
  <si>
    <t>Albania</t>
  </si>
  <si>
    <t>ALB</t>
  </si>
  <si>
    <t>Shkoder Province</t>
  </si>
  <si>
    <t>Bushat Hydropower Station</t>
  </si>
  <si>
    <t>Taleghan Valley</t>
  </si>
  <si>
    <t>Tehran Regional Water Board</t>
  </si>
  <si>
    <t>Taleghan Dam</t>
  </si>
  <si>
    <t>state of Tigray</t>
  </si>
  <si>
    <t>Tekeze Dam</t>
  </si>
  <si>
    <t>district of Mueng Fueng</t>
  </si>
  <si>
    <t>China International Water &amp; Electric Corp (CWE) and Lao National Power Corporation</t>
  </si>
  <si>
    <t>Nam Lik 1-2 Hydropower Station</t>
  </si>
  <si>
    <t>Tashkent and Andijan</t>
  </si>
  <si>
    <t>Akhangaran water reservoir and Andijan HPP-2</t>
  </si>
  <si>
    <t>Malabo</t>
  </si>
  <si>
    <t>Expansion of Malabo Gas-Power plant</t>
  </si>
  <si>
    <t>Halele Werabesa River</t>
  </si>
  <si>
    <t>Gibe IV and Halele Werabesa Dam</t>
  </si>
  <si>
    <t>Tashkent</t>
  </si>
  <si>
    <t>Uzbekenergo</t>
  </si>
  <si>
    <t>Tashkent Power Supply Rennovation</t>
  </si>
  <si>
    <t>Thành phố Uông Bí</t>
  </si>
  <si>
    <t>Expansion of Uong Bi II Power Plant</t>
  </si>
  <si>
    <t>Northern, Zambia</t>
  </si>
  <si>
    <t>Lusiwasi Lower Hydropower Expansion Project &amp; Lunzua Hydropower Rehabilitation Project</t>
  </si>
  <si>
    <t>Libreville</t>
  </si>
  <si>
    <t>Gabon Libreville Electric Network Renovation Project</t>
  </si>
  <si>
    <t>four dams in Phongsaly province</t>
  </si>
  <si>
    <t>PowerChina</t>
  </si>
  <si>
    <t>Nam Ou hydropower project phase 2 (Nam Ou 1, 3, 4, 7)</t>
  </si>
  <si>
    <t>Xieng Khouang Charles plains</t>
  </si>
  <si>
    <t>Nam Ngiep 2 hydropower plant</t>
  </si>
  <si>
    <t>Menongue, Kuando Kubango province</t>
  </si>
  <si>
    <t>install and expand the medium and high voltage power grid in the city of Menongue</t>
  </si>
  <si>
    <t>Lengoué River</t>
  </si>
  <si>
    <t>Liouesso Hydropower Project 19MW</t>
  </si>
  <si>
    <t>370-MW CCGT Construction on Tashkent TPS</t>
  </si>
  <si>
    <t>between the eastern and central parts of the country</t>
  </si>
  <si>
    <t>500 kV overhead transmission line Syrdarya TPS – Novo-Angren TPS</t>
  </si>
  <si>
    <t>Sonangol</t>
  </si>
  <si>
    <t>loan to Sonangol</t>
  </si>
  <si>
    <t>Kandal Province-Kampong Speu Province-Phnom Penh</t>
  </si>
  <si>
    <t>Phnom Penh Loop Line Phase 2</t>
  </si>
  <si>
    <t>Prey Veng, Svay Rieng and partially Kandal</t>
  </si>
  <si>
    <t>115kV Transmission Line and Substation from Phnom Penh to Bavet Project</t>
  </si>
  <si>
    <t>Eastern Equatoria, Louis Lobong Lojore</t>
  </si>
  <si>
    <t>Kinyeti Hydropower project</t>
  </si>
  <si>
    <t>about 350 km north of Lome</t>
  </si>
  <si>
    <t>Sokode Electric Transformer Station</t>
  </si>
  <si>
    <t>Tatay-Cheay Arenge-Highway No.38 x No.4 intersection - Phnom Penh</t>
  </si>
  <si>
    <t>Loop network in southwest regions</t>
  </si>
  <si>
    <t>Rural Cote d'Ivoire</t>
  </si>
  <si>
    <t>National power grid upgrade project</t>
  </si>
  <si>
    <t>Eritrea</t>
  </si>
  <si>
    <t>ERI</t>
  </si>
  <si>
    <t>Massawa, Eritrea</t>
  </si>
  <si>
    <t>Hirgigo Hydropower plant upgrade</t>
  </si>
  <si>
    <t>Lot 3, Addis Ababa-Djibouti Railway</t>
  </si>
  <si>
    <t>Ethiopia-Djibouti Railway power supply</t>
  </si>
  <si>
    <t>Rabai - Malindi - Garsen - Lamu</t>
  </si>
  <si>
    <t>Rabai - Malindi - Garsen - Lamu Transmission line</t>
  </si>
  <si>
    <t>11 provinces in Cambodia</t>
  </si>
  <si>
    <t>Rural Power Grid Extension Project Phase 3 and 4</t>
  </si>
  <si>
    <t>Northeastern Cambodia</t>
  </si>
  <si>
    <t>Rural Power Grid Extension Project Phase 2</t>
  </si>
  <si>
    <t>Djibouti</t>
  </si>
  <si>
    <t>DJI</t>
  </si>
  <si>
    <t>Nagad-HollHoll-AliSabieh</t>
  </si>
  <si>
    <t>Addis-Djibouti Railway Nagad-HollHoll-AliSabieh Power Supply</t>
  </si>
  <si>
    <t>Northeastern Ethiopia</t>
  </si>
  <si>
    <t>Power supply for Woldiya &amp; Combolcha Industrial Parks - northern Ethiopia</t>
  </si>
  <si>
    <t>Khoeng Xiangkhouang, Laos</t>
  </si>
  <si>
    <t>Nam Ngum 4 Hydropower Station</t>
  </si>
  <si>
    <t>Electrical Substations in Luzira, Namanve, Mukono and Iganga industrial parks</t>
  </si>
  <si>
    <t>Electrical Substations and electrification in Luzira, Namanve, Mukono and Iganga industrial parks</t>
  </si>
  <si>
    <t>Luanda</t>
  </si>
  <si>
    <t>electrification and household connections in Luanda</t>
  </si>
  <si>
    <t>NPP - Chroy Changvar - EPP - SPP</t>
  </si>
  <si>
    <t>230kV Power Transmission Project Phase II for Cambodian National Grid</t>
  </si>
  <si>
    <t>Surrounding Tonle Sap Lake (connecting Battambang - Siem Reap - Kampong Thom - Kampong Cham)</t>
  </si>
  <si>
    <t>Loop network in southwest regions and the rest of eastern regions</t>
  </si>
  <si>
    <t>Champasak Province</t>
  </si>
  <si>
    <t>Houay Palai Hydropower Project</t>
  </si>
  <si>
    <t>Lesotho</t>
  </si>
  <si>
    <t>LSO</t>
  </si>
  <si>
    <t>Neo2 70 MW solar PV plant</t>
  </si>
  <si>
    <t>Over 287 sub counties across the country</t>
  </si>
  <si>
    <t>Uganda rural electrification project</t>
  </si>
  <si>
    <t>Kabwe to Pensulo</t>
  </si>
  <si>
    <t>Kabwe - Pensulo 330kV line</t>
  </si>
  <si>
    <t>Moyen-Bafing National Park</t>
  </si>
  <si>
    <t xml:space="preserve">294 MW Koukoutamba hydro project </t>
  </si>
  <si>
    <t>D'jermaya to N’Djamena</t>
  </si>
  <si>
    <t>Djarmaya to Lamadji Oil Pipeline</t>
  </si>
  <si>
    <t>Nam Khan River, Luang Prabang Province</t>
  </si>
  <si>
    <t>Nam Khan 3 Dam</t>
  </si>
  <si>
    <t>Kaduna State</t>
  </si>
  <si>
    <t>Gurara II hydropower project</t>
  </si>
  <si>
    <t>Turkey</t>
  </si>
  <si>
    <t>TUR</t>
  </si>
  <si>
    <t>Adana province</t>
  </si>
  <si>
    <t>Hunutlu Thermal Power Plant Project with ICBC, BOC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</si>
</sst>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Arial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rgb="FF252525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/>
    <xf numFmtId="0" fontId="5" fillId="0" borderId="0" xfId="0" applyFont="1"/>
    <xf numFmtId="0" fontId="2" fillId="0" borderId="0" xfId="0" applyFont="1" applyAlignment="1"/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/>
    <xf numFmtId="0" fontId="3" fillId="0" borderId="0" xfId="0" applyFont="1" applyFill="1"/>
    <xf numFmtId="0" fontId="1" fillId="0" borderId="1" xfId="0" applyFont="1" applyFill="1" applyBorder="1"/>
    <xf numFmtId="1" fontId="1" fillId="0" borderId="0" xfId="0" applyNumberFormat="1" applyFont="1" applyFill="1" applyBorder="1" applyAlignment="1">
      <alignment vertical="center"/>
    </xf>
    <xf numFmtId="1" fontId="1" fillId="0" borderId="0" xfId="0" applyNumberFormat="1" applyFont="1" applyFill="1" applyAlignment="1">
      <alignment vertical="center"/>
    </xf>
    <xf numFmtId="0" fontId="1" fillId="0" borderId="0" xfId="0" applyFont="1" applyFill="1" applyBorder="1"/>
    <xf numFmtId="0" fontId="4" fillId="0" borderId="0" xfId="0" applyFont="1" applyFill="1"/>
    <xf numFmtId="1" fontId="1" fillId="0" borderId="1" xfId="0" applyNumberFormat="1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4" fillId="0" borderId="1" xfId="0" applyFont="1" applyFill="1" applyBorder="1"/>
    <xf numFmtId="0" fontId="6" fillId="0" borderId="0" xfId="0" applyFont="1" applyFill="1"/>
    <xf numFmtId="0" fontId="2" fillId="0" borderId="0" xfId="0" applyFont="1" applyFill="1" applyBorder="1" applyAlignment="1">
      <alignment vertical="center"/>
    </xf>
    <xf numFmtId="164" fontId="1" fillId="0" borderId="1" xfId="0" applyNumberFormat="1" applyFont="1" applyFill="1" applyBorder="1"/>
    <xf numFmtId="0" fontId="0" fillId="0" borderId="0" xfId="0" applyFont="1" applyFill="1" applyAlignment="1"/>
    <xf numFmtId="0" fontId="5" fillId="0" borderId="1" xfId="0" applyFont="1" applyFill="1" applyBorder="1"/>
  </cellXfs>
  <cellStyles count="1">
    <cellStyle name="Normal" xfId="0" builtinId="0"/>
  </cellStyles>
  <dxfs count="5">
    <dxf>
      <fill>
        <patternFill patternType="solid">
          <fgColor rgb="FF3F3F3F"/>
          <bgColor rgb="FF3F3F3F"/>
        </patternFill>
      </fill>
    </dxf>
    <dxf>
      <fill>
        <patternFill patternType="solid">
          <fgColor rgb="FF3F3F3F"/>
          <bgColor rgb="FF3F3F3F"/>
        </patternFill>
      </fill>
    </dxf>
    <dxf>
      <fill>
        <patternFill patternType="solid">
          <fgColor rgb="FF3F3F3F"/>
          <bgColor rgb="FF3F3F3F"/>
        </patternFill>
      </fill>
    </dxf>
    <dxf>
      <fill>
        <patternFill patternType="solid">
          <fgColor rgb="FF595959"/>
          <bgColor rgb="FF595959"/>
        </patternFill>
      </fill>
    </dxf>
    <dxf>
      <fill>
        <patternFill patternType="solid">
          <fgColor rgb="FF595959"/>
          <bgColor rgb="FF59595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983"/>
  <sheetViews>
    <sheetView tabSelected="1" workbookViewId="0">
      <pane ySplit="1" topLeftCell="A97" activePane="bottomLeft" state="frozen"/>
      <selection pane="bottomLeft" activeCell="E11" sqref="E11"/>
    </sheetView>
  </sheetViews>
  <sheetFormatPr baseColWidth="10" defaultColWidth="11.28515625" defaultRowHeight="15" customHeight="1" x14ac:dyDescent="0.2"/>
  <cols>
    <col min="1" max="31" width="10.5703125" customWidth="1"/>
  </cols>
  <sheetData>
    <row r="1" spans="1:22" ht="15.7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8" t="s">
        <v>10</v>
      </c>
      <c r="L1" s="6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 customHeight="1" x14ac:dyDescent="0.2">
      <c r="A2" s="5">
        <v>2000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>
        <v>149</v>
      </c>
      <c r="K2" s="5" t="s">
        <v>20</v>
      </c>
      <c r="L2" s="7">
        <v>1</v>
      </c>
    </row>
    <row r="3" spans="1:22" ht="15.75" customHeight="1" x14ac:dyDescent="0.2">
      <c r="A3" s="5">
        <v>2001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17</v>
      </c>
      <c r="H3" s="5" t="s">
        <v>18</v>
      </c>
      <c r="I3" s="5" t="s">
        <v>19</v>
      </c>
      <c r="J3" s="5">
        <v>128</v>
      </c>
      <c r="K3" s="5" t="s">
        <v>26</v>
      </c>
      <c r="L3" s="7">
        <v>1</v>
      </c>
    </row>
    <row r="4" spans="1:22" ht="15.75" customHeight="1" x14ac:dyDescent="0.2">
      <c r="A4" s="5">
        <v>2002</v>
      </c>
      <c r="B4" s="5" t="s">
        <v>30</v>
      </c>
      <c r="C4" s="5" t="s">
        <v>31</v>
      </c>
      <c r="D4" s="5" t="s">
        <v>14</v>
      </c>
      <c r="E4" s="5" t="s">
        <v>32</v>
      </c>
      <c r="F4" s="5" t="s">
        <v>25</v>
      </c>
      <c r="G4" s="5" t="s">
        <v>17</v>
      </c>
      <c r="H4" s="5" t="s">
        <v>18</v>
      </c>
      <c r="I4" s="5" t="s">
        <v>19</v>
      </c>
      <c r="J4" s="5">
        <v>6.03</v>
      </c>
      <c r="K4" s="5" t="s">
        <v>33</v>
      </c>
      <c r="L4" s="7">
        <v>1</v>
      </c>
    </row>
    <row r="5" spans="1:22" ht="15.75" customHeight="1" x14ac:dyDescent="0.2">
      <c r="A5" s="5">
        <v>2002</v>
      </c>
      <c r="B5" s="5" t="s">
        <v>34</v>
      </c>
      <c r="C5" s="5" t="s">
        <v>35</v>
      </c>
      <c r="D5" s="5" t="s">
        <v>14</v>
      </c>
      <c r="E5" s="5" t="s">
        <v>36</v>
      </c>
      <c r="F5" s="5" t="s">
        <v>16</v>
      </c>
      <c r="G5" s="5" t="s">
        <v>17</v>
      </c>
      <c r="H5" s="5" t="s">
        <v>18</v>
      </c>
      <c r="I5" s="5" t="s">
        <v>19</v>
      </c>
      <c r="J5" s="5">
        <v>114.8</v>
      </c>
      <c r="K5" s="5" t="s">
        <v>37</v>
      </c>
      <c r="L5" s="7">
        <v>1</v>
      </c>
    </row>
    <row r="6" spans="1:22" ht="15.75" customHeight="1" x14ac:dyDescent="0.2">
      <c r="A6" s="8">
        <v>2002</v>
      </c>
      <c r="B6" s="8" t="s">
        <v>34</v>
      </c>
      <c r="C6" s="8" t="s">
        <v>35</v>
      </c>
      <c r="D6" s="8" t="s">
        <v>14</v>
      </c>
      <c r="E6" s="8" t="s">
        <v>38</v>
      </c>
      <c r="F6" s="8" t="s">
        <v>16</v>
      </c>
      <c r="G6" s="8" t="s">
        <v>17</v>
      </c>
      <c r="H6" s="8" t="s">
        <v>18</v>
      </c>
      <c r="I6" s="8" t="s">
        <v>19</v>
      </c>
      <c r="J6" s="8">
        <v>114.8</v>
      </c>
      <c r="K6" s="8" t="s">
        <v>39</v>
      </c>
      <c r="L6" s="7">
        <v>1</v>
      </c>
    </row>
    <row r="7" spans="1:22" ht="15.75" customHeight="1" x14ac:dyDescent="0.2">
      <c r="A7" s="5">
        <v>2002</v>
      </c>
      <c r="B7" s="5" t="s">
        <v>40</v>
      </c>
      <c r="C7" s="5" t="s">
        <v>41</v>
      </c>
      <c r="D7" s="5" t="s">
        <v>29</v>
      </c>
      <c r="E7" s="5" t="s">
        <v>42</v>
      </c>
      <c r="F7" s="5" t="s">
        <v>43</v>
      </c>
      <c r="G7" s="5" t="s">
        <v>17</v>
      </c>
      <c r="H7" s="5" t="s">
        <v>18</v>
      </c>
      <c r="I7" s="5" t="s">
        <v>19</v>
      </c>
      <c r="J7" s="5">
        <v>85.5</v>
      </c>
      <c r="K7" s="5" t="s">
        <v>44</v>
      </c>
      <c r="L7" s="7">
        <v>1</v>
      </c>
    </row>
    <row r="8" spans="1:22" ht="15.75" customHeight="1" x14ac:dyDescent="0.2">
      <c r="A8" s="9">
        <v>2003</v>
      </c>
      <c r="B8" s="9" t="s">
        <v>45</v>
      </c>
      <c r="C8" s="9" t="s">
        <v>46</v>
      </c>
      <c r="D8" s="9" t="s">
        <v>29</v>
      </c>
      <c r="E8" s="9" t="s">
        <v>47</v>
      </c>
      <c r="F8" s="9" t="s">
        <v>25</v>
      </c>
      <c r="G8" s="9" t="s">
        <v>17</v>
      </c>
      <c r="H8" s="9" t="s">
        <v>18</v>
      </c>
      <c r="I8" s="9" t="s">
        <v>19</v>
      </c>
      <c r="J8" s="9">
        <v>200</v>
      </c>
      <c r="K8" s="9" t="s">
        <v>48</v>
      </c>
      <c r="L8" s="7">
        <v>1</v>
      </c>
    </row>
    <row r="9" spans="1:22" ht="15.75" customHeight="1" x14ac:dyDescent="0.2">
      <c r="A9" s="10">
        <v>2003</v>
      </c>
      <c r="B9" s="10" t="s">
        <v>49</v>
      </c>
      <c r="C9" s="11" t="s">
        <v>50</v>
      </c>
      <c r="D9" s="10" t="s">
        <v>14</v>
      </c>
      <c r="E9" s="10" t="s">
        <v>51</v>
      </c>
      <c r="F9" s="10" t="s">
        <v>25</v>
      </c>
      <c r="G9" s="10" t="s">
        <v>17</v>
      </c>
      <c r="H9" s="10" t="s">
        <v>18</v>
      </c>
      <c r="I9" s="10" t="s">
        <v>19</v>
      </c>
      <c r="J9" s="12">
        <v>238</v>
      </c>
      <c r="K9" s="10" t="s">
        <v>52</v>
      </c>
      <c r="L9" s="7">
        <v>1</v>
      </c>
    </row>
    <row r="10" spans="1:22" ht="15.75" customHeight="1" x14ac:dyDescent="0.2">
      <c r="A10" s="5">
        <v>2003</v>
      </c>
      <c r="B10" s="5" t="s">
        <v>12</v>
      </c>
      <c r="C10" s="5" t="s">
        <v>13</v>
      </c>
      <c r="D10" s="5" t="s">
        <v>14</v>
      </c>
      <c r="E10" s="5" t="s">
        <v>53</v>
      </c>
      <c r="F10" s="5" t="s">
        <v>54</v>
      </c>
      <c r="G10" s="5" t="s">
        <v>17</v>
      </c>
      <c r="H10" s="5" t="s">
        <v>18</v>
      </c>
      <c r="I10" s="5" t="s">
        <v>19</v>
      </c>
      <c r="J10" s="8">
        <v>175</v>
      </c>
      <c r="K10" s="5" t="s">
        <v>55</v>
      </c>
      <c r="L10" s="7">
        <v>1</v>
      </c>
    </row>
    <row r="11" spans="1:22" ht="15.75" customHeight="1" x14ac:dyDescent="0.2">
      <c r="A11" s="5">
        <v>2003</v>
      </c>
      <c r="B11" s="5" t="s">
        <v>12</v>
      </c>
      <c r="C11" s="5" t="s">
        <v>13</v>
      </c>
      <c r="D11" s="5" t="s">
        <v>14</v>
      </c>
      <c r="E11" s="5" t="s">
        <v>56</v>
      </c>
      <c r="F11" s="5" t="s">
        <v>25</v>
      </c>
      <c r="G11" s="5" t="s">
        <v>57</v>
      </c>
      <c r="H11" s="5" t="s">
        <v>18</v>
      </c>
      <c r="I11" s="5" t="s">
        <v>19</v>
      </c>
      <c r="J11" s="9">
        <v>608</v>
      </c>
      <c r="K11" s="5" t="s">
        <v>58</v>
      </c>
      <c r="L11" s="7">
        <v>1</v>
      </c>
    </row>
    <row r="12" spans="1:22" ht="15.75" customHeight="1" x14ac:dyDescent="0.2">
      <c r="A12" s="5">
        <v>2004</v>
      </c>
      <c r="B12" s="5" t="s">
        <v>27</v>
      </c>
      <c r="C12" s="5" t="s">
        <v>28</v>
      </c>
      <c r="D12" s="5" t="s">
        <v>29</v>
      </c>
      <c r="E12" s="5" t="s">
        <v>59</v>
      </c>
      <c r="F12" s="5" t="s">
        <v>25</v>
      </c>
      <c r="G12" s="5" t="s">
        <v>17</v>
      </c>
      <c r="H12" s="9" t="s">
        <v>60</v>
      </c>
      <c r="I12" s="5" t="s">
        <v>19</v>
      </c>
      <c r="J12" s="9">
        <f>280*0.72</f>
        <v>201.6</v>
      </c>
      <c r="K12" s="5" t="s">
        <v>61</v>
      </c>
      <c r="L12" s="7">
        <v>1</v>
      </c>
    </row>
    <row r="13" spans="1:22" ht="15.75" customHeight="1" x14ac:dyDescent="0.2">
      <c r="A13" s="5">
        <v>2004</v>
      </c>
      <c r="B13" s="5" t="s">
        <v>62</v>
      </c>
      <c r="C13" s="5" t="s">
        <v>63</v>
      </c>
      <c r="D13" s="5" t="s">
        <v>29</v>
      </c>
      <c r="E13" s="5" t="s">
        <v>64</v>
      </c>
      <c r="F13" s="5" t="s">
        <v>25</v>
      </c>
      <c r="G13" s="5" t="s">
        <v>17</v>
      </c>
      <c r="H13" s="5" t="s">
        <v>18</v>
      </c>
      <c r="I13" s="5" t="s">
        <v>19</v>
      </c>
      <c r="J13" s="9">
        <f>(63+27)*0.8</f>
        <v>72</v>
      </c>
      <c r="K13" s="5" t="s">
        <v>65</v>
      </c>
      <c r="L13" s="7">
        <v>1</v>
      </c>
    </row>
    <row r="14" spans="1:22" ht="15.75" customHeight="1" x14ac:dyDescent="0.2">
      <c r="A14" s="5">
        <v>2004</v>
      </c>
      <c r="B14" s="5" t="s">
        <v>62</v>
      </c>
      <c r="C14" s="5" t="s">
        <v>63</v>
      </c>
      <c r="D14" s="5" t="s">
        <v>29</v>
      </c>
      <c r="E14" s="5" t="s">
        <v>66</v>
      </c>
      <c r="F14" s="5" t="s">
        <v>25</v>
      </c>
      <c r="G14" s="5" t="s">
        <v>17</v>
      </c>
      <c r="H14" s="5" t="s">
        <v>18</v>
      </c>
      <c r="I14" s="5" t="s">
        <v>19</v>
      </c>
      <c r="J14" s="5">
        <f>0.8*135.5</f>
        <v>108.4</v>
      </c>
      <c r="K14" s="5" t="s">
        <v>67</v>
      </c>
      <c r="L14" s="7">
        <v>1</v>
      </c>
    </row>
    <row r="15" spans="1:22" ht="15.75" customHeight="1" x14ac:dyDescent="0.2">
      <c r="A15" s="5">
        <v>2004</v>
      </c>
      <c r="B15" s="5" t="s">
        <v>21</v>
      </c>
      <c r="C15" s="5" t="s">
        <v>22</v>
      </c>
      <c r="D15" s="5" t="s">
        <v>23</v>
      </c>
      <c r="E15" s="5" t="s">
        <v>68</v>
      </c>
      <c r="F15" s="5" t="s">
        <v>69</v>
      </c>
      <c r="G15" s="5" t="s">
        <v>17</v>
      </c>
      <c r="H15" s="5" t="s">
        <v>18</v>
      </c>
      <c r="I15" s="5" t="s">
        <v>19</v>
      </c>
      <c r="J15" s="9">
        <v>350</v>
      </c>
      <c r="K15" s="5" t="s">
        <v>70</v>
      </c>
      <c r="L15" s="7">
        <v>1</v>
      </c>
    </row>
    <row r="16" spans="1:22" ht="15.75" customHeight="1" x14ac:dyDescent="0.2">
      <c r="A16" s="5">
        <v>2005</v>
      </c>
      <c r="B16" s="5" t="s">
        <v>40</v>
      </c>
      <c r="C16" s="5" t="s">
        <v>41</v>
      </c>
      <c r="D16" s="5" t="s">
        <v>29</v>
      </c>
      <c r="E16" s="5" t="s">
        <v>71</v>
      </c>
      <c r="F16" s="5" t="s">
        <v>43</v>
      </c>
      <c r="G16" s="5" t="s">
        <v>17</v>
      </c>
      <c r="H16" s="8" t="s">
        <v>18</v>
      </c>
      <c r="I16" s="5" t="s">
        <v>19</v>
      </c>
      <c r="J16" s="5">
        <v>277</v>
      </c>
      <c r="K16" s="5" t="s">
        <v>72</v>
      </c>
      <c r="L16" s="7">
        <v>1</v>
      </c>
    </row>
    <row r="17" spans="1:12" ht="15.75" customHeight="1" x14ac:dyDescent="0.2">
      <c r="A17" s="5">
        <v>2006</v>
      </c>
      <c r="B17" s="5" t="s">
        <v>73</v>
      </c>
      <c r="C17" s="5" t="s">
        <v>74</v>
      </c>
      <c r="D17" s="5" t="s">
        <v>14</v>
      </c>
      <c r="E17" s="5" t="s">
        <v>75</v>
      </c>
      <c r="F17" s="5" t="s">
        <v>25</v>
      </c>
      <c r="G17" s="5" t="s">
        <v>17</v>
      </c>
      <c r="H17" s="5" t="s">
        <v>18</v>
      </c>
      <c r="I17" s="5" t="s">
        <v>19</v>
      </c>
      <c r="J17" s="5">
        <v>257</v>
      </c>
      <c r="K17" s="5" t="s">
        <v>76</v>
      </c>
      <c r="L17" s="7">
        <v>1</v>
      </c>
    </row>
    <row r="18" spans="1:12" ht="15.75" customHeight="1" x14ac:dyDescent="0.2">
      <c r="A18" s="8">
        <v>2006</v>
      </c>
      <c r="B18" s="8" t="s">
        <v>77</v>
      </c>
      <c r="C18" s="8" t="s">
        <v>78</v>
      </c>
      <c r="D18" s="8" t="s">
        <v>79</v>
      </c>
      <c r="E18" s="8" t="s">
        <v>80</v>
      </c>
      <c r="F18" s="8" t="s">
        <v>25</v>
      </c>
      <c r="G18" s="8" t="s">
        <v>17</v>
      </c>
      <c r="H18" s="8" t="s">
        <v>18</v>
      </c>
      <c r="I18" s="8" t="s">
        <v>81</v>
      </c>
      <c r="J18" s="8">
        <v>200</v>
      </c>
      <c r="K18" s="8" t="s">
        <v>82</v>
      </c>
      <c r="L18" s="7">
        <v>1</v>
      </c>
    </row>
    <row r="19" spans="1:12" ht="15.75" customHeight="1" x14ac:dyDescent="0.2">
      <c r="A19" s="5">
        <v>2006</v>
      </c>
      <c r="B19" s="5" t="s">
        <v>83</v>
      </c>
      <c r="C19" s="5" t="s">
        <v>84</v>
      </c>
      <c r="D19" s="5" t="s">
        <v>23</v>
      </c>
      <c r="E19" s="5" t="s">
        <v>85</v>
      </c>
      <c r="F19" s="5" t="s">
        <v>43</v>
      </c>
      <c r="G19" s="5" t="s">
        <v>17</v>
      </c>
      <c r="H19" s="5" t="s">
        <v>86</v>
      </c>
      <c r="I19" s="5" t="s">
        <v>19</v>
      </c>
      <c r="J19" s="5">
        <v>450</v>
      </c>
      <c r="K19" s="5" t="s">
        <v>87</v>
      </c>
      <c r="L19" s="7">
        <v>1</v>
      </c>
    </row>
    <row r="20" spans="1:12" ht="15.75" customHeight="1" x14ac:dyDescent="0.2">
      <c r="A20" s="8">
        <v>2006</v>
      </c>
      <c r="B20" s="8" t="s">
        <v>88</v>
      </c>
      <c r="C20" s="8" t="s">
        <v>89</v>
      </c>
      <c r="D20" s="8" t="s">
        <v>79</v>
      </c>
      <c r="E20" s="8" t="s">
        <v>90</v>
      </c>
      <c r="F20" s="6" t="s">
        <v>91</v>
      </c>
      <c r="G20" s="8" t="s">
        <v>92</v>
      </c>
      <c r="H20" s="8" t="s">
        <v>93</v>
      </c>
      <c r="I20" s="8" t="s">
        <v>19</v>
      </c>
      <c r="J20" s="8">
        <v>340</v>
      </c>
      <c r="K20" s="8" t="s">
        <v>94</v>
      </c>
      <c r="L20" s="7">
        <v>1</v>
      </c>
    </row>
    <row r="21" spans="1:12" ht="15.75" customHeight="1" x14ac:dyDescent="0.2">
      <c r="A21" s="5">
        <v>2007</v>
      </c>
      <c r="B21" s="5" t="s">
        <v>95</v>
      </c>
      <c r="C21" s="5" t="s">
        <v>96</v>
      </c>
      <c r="D21" s="5" t="s">
        <v>97</v>
      </c>
      <c r="E21" s="5" t="s">
        <v>98</v>
      </c>
      <c r="F21" s="5" t="s">
        <v>54</v>
      </c>
      <c r="G21" s="5" t="s">
        <v>92</v>
      </c>
      <c r="H21" s="8" t="s">
        <v>99</v>
      </c>
      <c r="I21" s="5" t="s">
        <v>81</v>
      </c>
      <c r="J21" s="5">
        <v>750</v>
      </c>
      <c r="K21" s="5" t="s">
        <v>100</v>
      </c>
      <c r="L21" s="7">
        <v>0</v>
      </c>
    </row>
    <row r="22" spans="1:12" ht="15.75" customHeight="1" x14ac:dyDescent="0.2">
      <c r="A22" s="8">
        <v>2007</v>
      </c>
      <c r="B22" s="8" t="s">
        <v>101</v>
      </c>
      <c r="C22" s="8" t="s">
        <v>102</v>
      </c>
      <c r="D22" s="8" t="s">
        <v>14</v>
      </c>
      <c r="E22" s="8" t="s">
        <v>103</v>
      </c>
      <c r="F22" s="8" t="s">
        <v>54</v>
      </c>
      <c r="G22" s="8" t="s">
        <v>57</v>
      </c>
      <c r="H22" s="8" t="s">
        <v>18</v>
      </c>
      <c r="I22" s="8" t="s">
        <v>19</v>
      </c>
      <c r="J22" s="8">
        <v>305</v>
      </c>
      <c r="K22" s="8" t="s">
        <v>104</v>
      </c>
      <c r="L22" s="7">
        <v>1</v>
      </c>
    </row>
    <row r="23" spans="1:12" ht="15.75" customHeight="1" x14ac:dyDescent="0.2">
      <c r="A23" s="5">
        <v>2007</v>
      </c>
      <c r="B23" s="5" t="s">
        <v>105</v>
      </c>
      <c r="C23" s="5" t="s">
        <v>106</v>
      </c>
      <c r="D23" s="5" t="s">
        <v>14</v>
      </c>
      <c r="E23" s="5" t="s">
        <v>107</v>
      </c>
      <c r="F23" s="5" t="s">
        <v>25</v>
      </c>
      <c r="G23" s="5" t="s">
        <v>17</v>
      </c>
      <c r="H23" s="9" t="s">
        <v>18</v>
      </c>
      <c r="I23" s="5" t="s">
        <v>19</v>
      </c>
      <c r="J23" s="5">
        <v>116</v>
      </c>
      <c r="K23" s="5" t="s">
        <v>108</v>
      </c>
      <c r="L23" s="7">
        <v>1</v>
      </c>
    </row>
    <row r="24" spans="1:12" ht="15.75" customHeight="1" x14ac:dyDescent="0.2">
      <c r="A24" s="9">
        <v>2007</v>
      </c>
      <c r="B24" s="9" t="s">
        <v>109</v>
      </c>
      <c r="C24" s="9" t="s">
        <v>110</v>
      </c>
      <c r="D24" s="9" t="s">
        <v>14</v>
      </c>
      <c r="E24" s="9" t="s">
        <v>111</v>
      </c>
      <c r="F24" s="9" t="s">
        <v>25</v>
      </c>
      <c r="G24" s="9" t="s">
        <v>17</v>
      </c>
      <c r="H24" s="9" t="s">
        <v>18</v>
      </c>
      <c r="I24" s="9" t="s">
        <v>19</v>
      </c>
      <c r="J24" s="9">
        <f>270+292</f>
        <v>562</v>
      </c>
      <c r="K24" s="9" t="s">
        <v>112</v>
      </c>
      <c r="L24" s="7">
        <v>1</v>
      </c>
    </row>
    <row r="25" spans="1:12" ht="15.75" customHeight="1" x14ac:dyDescent="0.2">
      <c r="A25" s="5">
        <v>2007</v>
      </c>
      <c r="B25" s="5" t="s">
        <v>113</v>
      </c>
      <c r="C25" s="5" t="s">
        <v>114</v>
      </c>
      <c r="D25" s="5" t="s">
        <v>29</v>
      </c>
      <c r="E25" s="5" t="s">
        <v>115</v>
      </c>
      <c r="F25" s="5" t="s">
        <v>25</v>
      </c>
      <c r="G25" s="5" t="s">
        <v>17</v>
      </c>
      <c r="H25" s="5" t="s">
        <v>18</v>
      </c>
      <c r="I25" s="5" t="s">
        <v>19</v>
      </c>
      <c r="J25" s="9">
        <v>227</v>
      </c>
      <c r="K25" s="5" t="s">
        <v>116</v>
      </c>
      <c r="L25" s="7">
        <v>1</v>
      </c>
    </row>
    <row r="26" spans="1:12" ht="15.75" customHeight="1" x14ac:dyDescent="0.2">
      <c r="A26" s="5">
        <v>2007</v>
      </c>
      <c r="B26" s="5" t="s">
        <v>117</v>
      </c>
      <c r="C26" s="5" t="s">
        <v>118</v>
      </c>
      <c r="D26" s="5" t="s">
        <v>79</v>
      </c>
      <c r="E26" s="5" t="s">
        <v>91</v>
      </c>
      <c r="F26" s="5" t="s">
        <v>54</v>
      </c>
      <c r="G26" s="5" t="s">
        <v>119</v>
      </c>
      <c r="H26" s="5" t="s">
        <v>120</v>
      </c>
      <c r="I26" s="5" t="s">
        <v>19</v>
      </c>
      <c r="J26" s="5">
        <v>177.6</v>
      </c>
      <c r="K26" s="5" t="s">
        <v>121</v>
      </c>
      <c r="L26" s="7">
        <v>1</v>
      </c>
    </row>
    <row r="27" spans="1:12" ht="15.75" customHeight="1" x14ac:dyDescent="0.2">
      <c r="A27" s="5">
        <v>2008</v>
      </c>
      <c r="B27" s="5" t="s">
        <v>122</v>
      </c>
      <c r="C27" s="5" t="s">
        <v>123</v>
      </c>
      <c r="D27" s="5" t="s">
        <v>79</v>
      </c>
      <c r="E27" s="5" t="s">
        <v>124</v>
      </c>
      <c r="F27" s="5" t="s">
        <v>16</v>
      </c>
      <c r="G27" s="5" t="s">
        <v>17</v>
      </c>
      <c r="H27" s="5" t="s">
        <v>18</v>
      </c>
      <c r="I27" s="5" t="s">
        <v>81</v>
      </c>
      <c r="J27" s="5">
        <v>260</v>
      </c>
      <c r="K27" s="5" t="s">
        <v>125</v>
      </c>
      <c r="L27" s="7">
        <v>1</v>
      </c>
    </row>
    <row r="28" spans="1:12" ht="15.75" customHeight="1" x14ac:dyDescent="0.2">
      <c r="A28" s="8">
        <v>2008</v>
      </c>
      <c r="B28" s="5" t="s">
        <v>95</v>
      </c>
      <c r="C28" s="5" t="s">
        <v>96</v>
      </c>
      <c r="D28" s="5" t="s">
        <v>97</v>
      </c>
      <c r="E28" s="5" t="s">
        <v>126</v>
      </c>
      <c r="F28" s="5" t="s">
        <v>43</v>
      </c>
      <c r="G28" s="5" t="s">
        <v>17</v>
      </c>
      <c r="H28" s="5" t="s">
        <v>127</v>
      </c>
      <c r="I28" s="5" t="s">
        <v>81</v>
      </c>
      <c r="J28" s="5">
        <v>356</v>
      </c>
      <c r="K28" s="5" t="s">
        <v>128</v>
      </c>
      <c r="L28" s="7">
        <v>0</v>
      </c>
    </row>
    <row r="29" spans="1:12" ht="15.75" customHeight="1" x14ac:dyDescent="0.2">
      <c r="A29" s="5">
        <v>2008</v>
      </c>
      <c r="B29" s="5" t="s">
        <v>27</v>
      </c>
      <c r="C29" s="5" t="s">
        <v>28</v>
      </c>
      <c r="D29" s="5" t="s">
        <v>29</v>
      </c>
      <c r="E29" s="5" t="s">
        <v>129</v>
      </c>
      <c r="F29" s="5" t="s">
        <v>25</v>
      </c>
      <c r="G29" s="5" t="s">
        <v>17</v>
      </c>
      <c r="H29" s="8" t="s">
        <v>18</v>
      </c>
      <c r="I29" s="5" t="s">
        <v>19</v>
      </c>
      <c r="J29" s="8">
        <v>47.1</v>
      </c>
      <c r="K29" s="5" t="s">
        <v>130</v>
      </c>
      <c r="L29" s="7">
        <v>1</v>
      </c>
    </row>
    <row r="30" spans="1:12" ht="15.75" customHeight="1" x14ac:dyDescent="0.2">
      <c r="A30" s="9">
        <v>2008</v>
      </c>
      <c r="B30" s="5" t="s">
        <v>131</v>
      </c>
      <c r="C30" s="5" t="s">
        <v>132</v>
      </c>
      <c r="D30" s="5" t="s">
        <v>14</v>
      </c>
      <c r="E30" s="5" t="s">
        <v>133</v>
      </c>
      <c r="F30" s="5" t="s">
        <v>25</v>
      </c>
      <c r="G30" s="5" t="s">
        <v>17</v>
      </c>
      <c r="H30" s="5" t="s">
        <v>18</v>
      </c>
      <c r="I30" s="5" t="s">
        <v>19</v>
      </c>
      <c r="J30" s="5">
        <v>300</v>
      </c>
      <c r="K30" s="5" t="s">
        <v>134</v>
      </c>
      <c r="L30" s="7">
        <v>1</v>
      </c>
    </row>
    <row r="31" spans="1:12" ht="15.75" customHeight="1" x14ac:dyDescent="0.2">
      <c r="A31" s="5">
        <v>2008</v>
      </c>
      <c r="B31" s="5" t="s">
        <v>113</v>
      </c>
      <c r="C31" s="5" t="s">
        <v>114</v>
      </c>
      <c r="D31" s="5" t="s">
        <v>29</v>
      </c>
      <c r="E31" s="5" t="s">
        <v>135</v>
      </c>
      <c r="F31" s="5" t="s">
        <v>43</v>
      </c>
      <c r="G31" s="5" t="s">
        <v>17</v>
      </c>
      <c r="H31" s="9" t="s">
        <v>136</v>
      </c>
      <c r="I31" s="5" t="s">
        <v>81</v>
      </c>
      <c r="J31" s="13">
        <v>131</v>
      </c>
      <c r="K31" s="5" t="s">
        <v>137</v>
      </c>
      <c r="L31" s="7">
        <v>1</v>
      </c>
    </row>
    <row r="32" spans="1:12" ht="15.75" customHeight="1" x14ac:dyDescent="0.2">
      <c r="A32" s="5">
        <v>2008</v>
      </c>
      <c r="B32" s="5" t="s">
        <v>113</v>
      </c>
      <c r="C32" s="5" t="s">
        <v>114</v>
      </c>
      <c r="D32" s="5" t="s">
        <v>29</v>
      </c>
      <c r="E32" s="5" t="s">
        <v>138</v>
      </c>
      <c r="F32" s="5" t="s">
        <v>43</v>
      </c>
      <c r="G32" s="5" t="s">
        <v>17</v>
      </c>
      <c r="H32" s="5" t="s">
        <v>136</v>
      </c>
      <c r="I32" s="5" t="s">
        <v>19</v>
      </c>
      <c r="J32" s="14">
        <v>330</v>
      </c>
      <c r="K32" s="5" t="s">
        <v>139</v>
      </c>
      <c r="L32" s="7">
        <v>1</v>
      </c>
    </row>
    <row r="33" spans="1:12" ht="15.75" customHeight="1" x14ac:dyDescent="0.2">
      <c r="A33" s="5">
        <v>2008</v>
      </c>
      <c r="B33" s="5" t="s">
        <v>77</v>
      </c>
      <c r="C33" s="5" t="s">
        <v>78</v>
      </c>
      <c r="D33" s="5" t="s">
        <v>79</v>
      </c>
      <c r="E33" s="5" t="s">
        <v>140</v>
      </c>
      <c r="F33" s="5" t="s">
        <v>43</v>
      </c>
      <c r="G33" s="5" t="s">
        <v>57</v>
      </c>
      <c r="H33" s="5" t="s">
        <v>18</v>
      </c>
      <c r="I33" s="5" t="s">
        <v>19</v>
      </c>
      <c r="J33" s="5">
        <v>1260</v>
      </c>
      <c r="K33" s="5" t="s">
        <v>141</v>
      </c>
      <c r="L33" s="7">
        <v>1</v>
      </c>
    </row>
    <row r="34" spans="1:12" ht="15.75" customHeight="1" x14ac:dyDescent="0.2">
      <c r="A34" s="5">
        <v>2008</v>
      </c>
      <c r="B34" s="5" t="s">
        <v>40</v>
      </c>
      <c r="C34" s="5" t="s">
        <v>41</v>
      </c>
      <c r="D34" s="5" t="s">
        <v>29</v>
      </c>
      <c r="E34" s="5" t="s">
        <v>71</v>
      </c>
      <c r="F34" s="5" t="s">
        <v>43</v>
      </c>
      <c r="G34" s="5" t="s">
        <v>17</v>
      </c>
      <c r="H34" s="9" t="s">
        <v>142</v>
      </c>
      <c r="I34" s="5" t="s">
        <v>19</v>
      </c>
      <c r="J34" s="5">
        <f>0.85*453</f>
        <v>385.05</v>
      </c>
      <c r="K34" s="5" t="s">
        <v>143</v>
      </c>
      <c r="L34" s="7">
        <v>1</v>
      </c>
    </row>
    <row r="35" spans="1:12" ht="15.75" customHeight="1" x14ac:dyDescent="0.2">
      <c r="A35" s="5">
        <v>2009</v>
      </c>
      <c r="B35" s="5" t="s">
        <v>95</v>
      </c>
      <c r="C35" s="5" t="s">
        <v>96</v>
      </c>
      <c r="D35" s="5" t="s">
        <v>97</v>
      </c>
      <c r="E35" s="5" t="s">
        <v>91</v>
      </c>
      <c r="F35" s="5" t="s">
        <v>54</v>
      </c>
      <c r="G35" s="5" t="s">
        <v>119</v>
      </c>
      <c r="H35" s="5" t="s">
        <v>127</v>
      </c>
      <c r="I35" s="5" t="s">
        <v>81</v>
      </c>
      <c r="J35" s="5">
        <v>10000</v>
      </c>
      <c r="K35" s="5" t="s">
        <v>146</v>
      </c>
      <c r="L35" s="7">
        <v>0</v>
      </c>
    </row>
    <row r="36" spans="1:12" ht="15.75" customHeight="1" x14ac:dyDescent="0.2">
      <c r="A36" s="5">
        <v>2009</v>
      </c>
      <c r="B36" s="5" t="s">
        <v>105</v>
      </c>
      <c r="C36" s="5" t="s">
        <v>106</v>
      </c>
      <c r="D36" s="5" t="s">
        <v>14</v>
      </c>
      <c r="E36" s="5" t="s">
        <v>147</v>
      </c>
      <c r="F36" s="5" t="s">
        <v>25</v>
      </c>
      <c r="G36" s="5" t="s">
        <v>17</v>
      </c>
      <c r="H36" s="5" t="s">
        <v>18</v>
      </c>
      <c r="I36" s="5" t="s">
        <v>19</v>
      </c>
      <c r="J36" s="5">
        <v>295</v>
      </c>
      <c r="K36" s="5" t="s">
        <v>148</v>
      </c>
      <c r="L36" s="7">
        <v>1</v>
      </c>
    </row>
    <row r="37" spans="1:12" ht="15.75" customHeight="1" x14ac:dyDescent="0.2">
      <c r="A37" s="5">
        <v>2009</v>
      </c>
      <c r="B37" s="5" t="s">
        <v>105</v>
      </c>
      <c r="C37" s="5" t="s">
        <v>106</v>
      </c>
      <c r="D37" s="5" t="s">
        <v>14</v>
      </c>
      <c r="E37" s="5" t="s">
        <v>149</v>
      </c>
      <c r="F37" s="5" t="s">
        <v>25</v>
      </c>
      <c r="G37" s="5" t="s">
        <v>92</v>
      </c>
      <c r="H37" s="5" t="s">
        <v>150</v>
      </c>
      <c r="I37" s="5" t="s">
        <v>19</v>
      </c>
      <c r="J37" s="5">
        <v>28.9</v>
      </c>
      <c r="K37" s="5" t="s">
        <v>151</v>
      </c>
      <c r="L37" s="7">
        <v>1</v>
      </c>
    </row>
    <row r="38" spans="1:12" ht="15.75" customHeight="1" x14ac:dyDescent="0.2">
      <c r="A38" s="5">
        <v>2009</v>
      </c>
      <c r="B38" s="5" t="s">
        <v>152</v>
      </c>
      <c r="C38" s="5" t="s">
        <v>153</v>
      </c>
      <c r="D38" s="5" t="s">
        <v>29</v>
      </c>
      <c r="E38" s="5" t="s">
        <v>154</v>
      </c>
      <c r="F38" s="5" t="s">
        <v>25</v>
      </c>
      <c r="G38" s="5" t="s">
        <v>17</v>
      </c>
      <c r="H38" s="5" t="s">
        <v>18</v>
      </c>
      <c r="I38" s="5" t="s">
        <v>81</v>
      </c>
      <c r="J38" s="5">
        <v>70</v>
      </c>
      <c r="K38" s="5" t="s">
        <v>155</v>
      </c>
      <c r="L38" s="7">
        <v>1</v>
      </c>
    </row>
    <row r="39" spans="1:12" ht="15.75" customHeight="1" x14ac:dyDescent="0.2">
      <c r="A39" s="5">
        <v>2009</v>
      </c>
      <c r="B39" s="5" t="s">
        <v>113</v>
      </c>
      <c r="C39" s="5" t="s">
        <v>114</v>
      </c>
      <c r="D39" s="5" t="s">
        <v>29</v>
      </c>
      <c r="E39" s="5" t="s">
        <v>156</v>
      </c>
      <c r="F39" s="5" t="s">
        <v>43</v>
      </c>
      <c r="G39" s="5" t="s">
        <v>17</v>
      </c>
      <c r="H39" s="5" t="s">
        <v>136</v>
      </c>
      <c r="I39" s="5" t="s">
        <v>19</v>
      </c>
      <c r="J39" s="14">
        <v>124</v>
      </c>
      <c r="K39" s="5" t="s">
        <v>157</v>
      </c>
      <c r="L39" s="7">
        <v>1</v>
      </c>
    </row>
    <row r="40" spans="1:12" ht="15.75" customHeight="1" x14ac:dyDescent="0.2">
      <c r="A40" s="15">
        <v>2011</v>
      </c>
      <c r="B40" s="16" t="s">
        <v>113</v>
      </c>
      <c r="C40" s="11" t="s">
        <v>114</v>
      </c>
      <c r="D40" s="16" t="s">
        <v>29</v>
      </c>
      <c r="E40" s="16" t="s">
        <v>158</v>
      </c>
      <c r="F40" s="16" t="s">
        <v>43</v>
      </c>
      <c r="G40" s="16" t="s">
        <v>17</v>
      </c>
      <c r="H40" s="16" t="s">
        <v>18</v>
      </c>
      <c r="I40" s="16" t="s">
        <v>19</v>
      </c>
      <c r="J40" s="16">
        <v>150</v>
      </c>
      <c r="K40" s="16" t="s">
        <v>159</v>
      </c>
      <c r="L40" s="7">
        <v>1</v>
      </c>
    </row>
    <row r="41" spans="1:12" ht="15.75" customHeight="1" x14ac:dyDescent="0.2">
      <c r="A41" s="5">
        <v>2009</v>
      </c>
      <c r="B41" s="5" t="s">
        <v>113</v>
      </c>
      <c r="C41" s="5" t="s">
        <v>114</v>
      </c>
      <c r="D41" s="5" t="s">
        <v>29</v>
      </c>
      <c r="E41" s="5" t="s">
        <v>160</v>
      </c>
      <c r="F41" s="5" t="s">
        <v>43</v>
      </c>
      <c r="G41" s="5" t="s">
        <v>17</v>
      </c>
      <c r="H41" s="9" t="s">
        <v>161</v>
      </c>
      <c r="I41" s="5" t="s">
        <v>81</v>
      </c>
      <c r="J41" s="13">
        <v>625</v>
      </c>
      <c r="K41" s="5" t="s">
        <v>162</v>
      </c>
      <c r="L41" s="7">
        <v>1</v>
      </c>
    </row>
    <row r="42" spans="1:12" ht="15.75" customHeight="1" x14ac:dyDescent="0.2">
      <c r="A42" s="5">
        <v>2009</v>
      </c>
      <c r="B42" s="5" t="s">
        <v>113</v>
      </c>
      <c r="C42" s="5" t="s">
        <v>114</v>
      </c>
      <c r="D42" s="5" t="s">
        <v>29</v>
      </c>
      <c r="E42" s="5" t="s">
        <v>163</v>
      </c>
      <c r="F42" s="5" t="s">
        <v>43</v>
      </c>
      <c r="G42" s="5" t="s">
        <v>17</v>
      </c>
      <c r="H42" s="8" t="s">
        <v>164</v>
      </c>
      <c r="I42" s="5" t="s">
        <v>19</v>
      </c>
      <c r="J42" s="14">
        <v>280</v>
      </c>
      <c r="K42" s="5" t="s">
        <v>165</v>
      </c>
      <c r="L42" s="7">
        <v>1</v>
      </c>
    </row>
    <row r="43" spans="1:12" ht="15.75" customHeight="1" x14ac:dyDescent="0.2">
      <c r="A43" s="5">
        <v>2009</v>
      </c>
      <c r="B43" s="5" t="s">
        <v>113</v>
      </c>
      <c r="C43" s="5" t="s">
        <v>114</v>
      </c>
      <c r="D43" s="5" t="s">
        <v>29</v>
      </c>
      <c r="E43" s="5" t="s">
        <v>166</v>
      </c>
      <c r="F43" s="5" t="s">
        <v>43</v>
      </c>
      <c r="G43" s="5" t="s">
        <v>17</v>
      </c>
      <c r="H43" s="5" t="s">
        <v>136</v>
      </c>
      <c r="I43" s="5" t="s">
        <v>19</v>
      </c>
      <c r="J43" s="14">
        <v>293</v>
      </c>
      <c r="K43" s="5" t="s">
        <v>167</v>
      </c>
      <c r="L43" s="7">
        <v>1</v>
      </c>
    </row>
    <row r="44" spans="1:12" ht="15.75" customHeight="1" x14ac:dyDescent="0.2">
      <c r="A44" s="5">
        <v>2009</v>
      </c>
      <c r="B44" s="5" t="s">
        <v>113</v>
      </c>
      <c r="C44" s="5" t="s">
        <v>114</v>
      </c>
      <c r="D44" s="5" t="s">
        <v>29</v>
      </c>
      <c r="E44" s="5" t="s">
        <v>168</v>
      </c>
      <c r="F44" s="5" t="s">
        <v>43</v>
      </c>
      <c r="G44" s="5" t="s">
        <v>17</v>
      </c>
      <c r="H44" s="9" t="s">
        <v>136</v>
      </c>
      <c r="I44" s="5" t="s">
        <v>19</v>
      </c>
      <c r="J44" s="14">
        <v>481</v>
      </c>
      <c r="K44" s="5" t="s">
        <v>169</v>
      </c>
      <c r="L44" s="7">
        <v>1</v>
      </c>
    </row>
    <row r="45" spans="1:12" ht="15.75" customHeight="1" x14ac:dyDescent="0.2">
      <c r="A45" s="5">
        <v>2009</v>
      </c>
      <c r="B45" s="5" t="s">
        <v>62</v>
      </c>
      <c r="C45" s="5" t="s">
        <v>63</v>
      </c>
      <c r="D45" s="5" t="s">
        <v>29</v>
      </c>
      <c r="E45" s="5" t="s">
        <v>170</v>
      </c>
      <c r="F45" s="5" t="s">
        <v>25</v>
      </c>
      <c r="G45" s="5" t="s">
        <v>17</v>
      </c>
      <c r="H45" s="5" t="s">
        <v>18</v>
      </c>
      <c r="I45" s="5" t="s">
        <v>19</v>
      </c>
      <c r="J45" s="5">
        <v>308</v>
      </c>
      <c r="K45" s="5" t="s">
        <v>171</v>
      </c>
      <c r="L45" s="7">
        <v>1</v>
      </c>
    </row>
    <row r="46" spans="1:12" ht="15.75" customHeight="1" x14ac:dyDescent="0.2">
      <c r="A46" s="5">
        <v>2009</v>
      </c>
      <c r="B46" s="5" t="s">
        <v>45</v>
      </c>
      <c r="C46" s="5" t="s">
        <v>46</v>
      </c>
      <c r="D46" s="5" t="s">
        <v>29</v>
      </c>
      <c r="E46" s="5" t="s">
        <v>172</v>
      </c>
      <c r="F46" s="5" t="s">
        <v>16</v>
      </c>
      <c r="G46" s="5" t="s">
        <v>92</v>
      </c>
      <c r="H46" s="5" t="s">
        <v>18</v>
      </c>
      <c r="I46" s="5" t="s">
        <v>81</v>
      </c>
      <c r="J46" s="5">
        <v>2400</v>
      </c>
      <c r="K46" s="5" t="s">
        <v>173</v>
      </c>
      <c r="L46" s="7">
        <v>1</v>
      </c>
    </row>
    <row r="47" spans="1:12" ht="15.75" customHeight="1" x14ac:dyDescent="0.2">
      <c r="A47" s="5">
        <v>2009</v>
      </c>
      <c r="B47" s="5" t="s">
        <v>174</v>
      </c>
      <c r="C47" s="5" t="s">
        <v>175</v>
      </c>
      <c r="D47" s="5" t="s">
        <v>79</v>
      </c>
      <c r="E47" s="5" t="s">
        <v>91</v>
      </c>
      <c r="F47" s="5" t="s">
        <v>54</v>
      </c>
      <c r="G47" s="5" t="s">
        <v>119</v>
      </c>
      <c r="H47" s="5" t="s">
        <v>176</v>
      </c>
      <c r="I47" s="5" t="s">
        <v>81</v>
      </c>
      <c r="J47" s="5">
        <v>15000</v>
      </c>
      <c r="K47" s="5" t="s">
        <v>177</v>
      </c>
      <c r="L47" s="7">
        <v>1</v>
      </c>
    </row>
    <row r="48" spans="1:12" ht="15.75" customHeight="1" x14ac:dyDescent="0.2">
      <c r="A48" s="5">
        <v>2009</v>
      </c>
      <c r="B48" s="5" t="s">
        <v>174</v>
      </c>
      <c r="C48" s="5" t="s">
        <v>175</v>
      </c>
      <c r="D48" s="5" t="s">
        <v>79</v>
      </c>
      <c r="E48" s="5" t="s">
        <v>178</v>
      </c>
      <c r="F48" s="5" t="s">
        <v>54</v>
      </c>
      <c r="G48" s="5" t="s">
        <v>92</v>
      </c>
      <c r="H48" s="5" t="s">
        <v>179</v>
      </c>
      <c r="I48" s="5" t="s">
        <v>81</v>
      </c>
      <c r="J48" s="5">
        <v>10000</v>
      </c>
      <c r="K48" s="5" t="s">
        <v>180</v>
      </c>
      <c r="L48" s="7">
        <v>1</v>
      </c>
    </row>
    <row r="49" spans="1:12" ht="15.75" customHeight="1" x14ac:dyDescent="0.2">
      <c r="A49" s="5">
        <v>2009</v>
      </c>
      <c r="B49" s="5" t="s">
        <v>83</v>
      </c>
      <c r="C49" s="5" t="s">
        <v>84</v>
      </c>
      <c r="D49" s="5" t="s">
        <v>23</v>
      </c>
      <c r="E49" s="5" t="s">
        <v>181</v>
      </c>
      <c r="F49" s="5" t="s">
        <v>43</v>
      </c>
      <c r="G49" s="5" t="s">
        <v>17</v>
      </c>
      <c r="H49" s="5" t="s">
        <v>86</v>
      </c>
      <c r="I49" s="5" t="s">
        <v>19</v>
      </c>
      <c r="J49" s="5">
        <v>891</v>
      </c>
      <c r="K49" s="5" t="s">
        <v>182</v>
      </c>
      <c r="L49" s="7">
        <v>1</v>
      </c>
    </row>
    <row r="50" spans="1:12" ht="15.75" customHeight="1" x14ac:dyDescent="0.2">
      <c r="A50" s="5">
        <v>2009</v>
      </c>
      <c r="B50" s="5" t="s">
        <v>12</v>
      </c>
      <c r="C50" s="5" t="s">
        <v>13</v>
      </c>
      <c r="D50" s="5" t="s">
        <v>14</v>
      </c>
      <c r="E50" s="5" t="s">
        <v>183</v>
      </c>
      <c r="F50" s="5" t="s">
        <v>16</v>
      </c>
      <c r="G50" s="5" t="s">
        <v>17</v>
      </c>
      <c r="H50" s="5" t="s">
        <v>18</v>
      </c>
      <c r="I50" s="5" t="s">
        <v>19</v>
      </c>
      <c r="J50" s="5">
        <v>680</v>
      </c>
      <c r="K50" s="5" t="s">
        <v>184</v>
      </c>
      <c r="L50" s="7">
        <v>1</v>
      </c>
    </row>
    <row r="51" spans="1:12" ht="15.75" customHeight="1" x14ac:dyDescent="0.2">
      <c r="A51" s="5">
        <v>2009</v>
      </c>
      <c r="B51" s="5" t="s">
        <v>185</v>
      </c>
      <c r="C51" s="5" t="s">
        <v>186</v>
      </c>
      <c r="D51" s="5" t="s">
        <v>79</v>
      </c>
      <c r="E51" s="5" t="s">
        <v>187</v>
      </c>
      <c r="F51" s="5" t="s">
        <v>16</v>
      </c>
      <c r="G51" s="5" t="s">
        <v>119</v>
      </c>
      <c r="H51" s="5" t="s">
        <v>188</v>
      </c>
      <c r="I51" s="5" t="s">
        <v>81</v>
      </c>
      <c r="J51" s="5">
        <v>3000</v>
      </c>
      <c r="K51" s="5" t="s">
        <v>189</v>
      </c>
      <c r="L51" s="7">
        <v>0</v>
      </c>
    </row>
    <row r="52" spans="1:12" ht="15.75" customHeight="1" x14ac:dyDescent="0.2">
      <c r="A52" s="5">
        <v>2009</v>
      </c>
      <c r="B52" s="5" t="s">
        <v>40</v>
      </c>
      <c r="C52" s="5" t="s">
        <v>41</v>
      </c>
      <c r="D52" s="5" t="s">
        <v>29</v>
      </c>
      <c r="E52" s="5" t="s">
        <v>190</v>
      </c>
      <c r="F52" s="5" t="s">
        <v>43</v>
      </c>
      <c r="G52" s="5" t="s">
        <v>17</v>
      </c>
      <c r="H52" s="5" t="s">
        <v>18</v>
      </c>
      <c r="I52" s="5" t="s">
        <v>19</v>
      </c>
      <c r="J52" s="5">
        <v>176</v>
      </c>
      <c r="K52" s="5" t="s">
        <v>191</v>
      </c>
      <c r="L52" s="7">
        <v>1</v>
      </c>
    </row>
    <row r="53" spans="1:12" ht="15.75" customHeight="1" x14ac:dyDescent="0.2">
      <c r="A53" s="5">
        <v>2010</v>
      </c>
      <c r="B53" s="5" t="s">
        <v>122</v>
      </c>
      <c r="C53" s="5" t="s">
        <v>123</v>
      </c>
      <c r="D53" s="5" t="s">
        <v>79</v>
      </c>
      <c r="E53" s="5" t="s">
        <v>192</v>
      </c>
      <c r="F53" s="5" t="s">
        <v>16</v>
      </c>
      <c r="G53" s="5" t="s">
        <v>17</v>
      </c>
      <c r="H53" s="5" t="s">
        <v>18</v>
      </c>
      <c r="I53" s="5" t="s">
        <v>19</v>
      </c>
      <c r="J53" s="5">
        <v>378</v>
      </c>
      <c r="K53" s="5" t="s">
        <v>193</v>
      </c>
      <c r="L53" s="7">
        <v>1</v>
      </c>
    </row>
    <row r="54" spans="1:12" ht="15.75" customHeight="1" x14ac:dyDescent="0.2">
      <c r="A54" s="5">
        <v>2010</v>
      </c>
      <c r="B54" s="5" t="s">
        <v>27</v>
      </c>
      <c r="C54" s="5" t="s">
        <v>28</v>
      </c>
      <c r="D54" s="5" t="s">
        <v>29</v>
      </c>
      <c r="E54" s="5" t="s">
        <v>194</v>
      </c>
      <c r="F54" s="5" t="s">
        <v>25</v>
      </c>
      <c r="G54" s="5" t="s">
        <v>17</v>
      </c>
      <c r="H54" s="8" t="s">
        <v>195</v>
      </c>
      <c r="I54" s="5" t="s">
        <v>19</v>
      </c>
      <c r="J54" s="5">
        <v>540</v>
      </c>
      <c r="K54" s="5" t="s">
        <v>196</v>
      </c>
      <c r="L54" s="7">
        <v>1</v>
      </c>
    </row>
    <row r="55" spans="1:12" ht="15.75" customHeight="1" x14ac:dyDescent="0.2">
      <c r="A55" s="5">
        <v>2010</v>
      </c>
      <c r="B55" s="5" t="s">
        <v>197</v>
      </c>
      <c r="C55" s="5" t="s">
        <v>198</v>
      </c>
      <c r="D55" s="5" t="s">
        <v>14</v>
      </c>
      <c r="E55" s="5" t="s">
        <v>199</v>
      </c>
      <c r="F55" s="5" t="s">
        <v>25</v>
      </c>
      <c r="G55" s="5" t="s">
        <v>17</v>
      </c>
      <c r="H55" s="5" t="s">
        <v>18</v>
      </c>
      <c r="I55" s="5" t="s">
        <v>19</v>
      </c>
      <c r="J55" s="5">
        <v>43</v>
      </c>
      <c r="K55" s="5" t="s">
        <v>200</v>
      </c>
      <c r="L55" s="7">
        <v>1</v>
      </c>
    </row>
    <row r="56" spans="1:12" ht="15.75" customHeight="1" x14ac:dyDescent="0.2">
      <c r="A56" s="5">
        <v>2010</v>
      </c>
      <c r="B56" s="5" t="s">
        <v>201</v>
      </c>
      <c r="C56" s="5" t="s">
        <v>202</v>
      </c>
      <c r="D56" s="5" t="s">
        <v>97</v>
      </c>
      <c r="E56" s="5" t="s">
        <v>203</v>
      </c>
      <c r="F56" s="5" t="s">
        <v>25</v>
      </c>
      <c r="G56" s="5" t="s">
        <v>17</v>
      </c>
      <c r="H56" s="9" t="s">
        <v>18</v>
      </c>
      <c r="I56" s="5" t="s">
        <v>19</v>
      </c>
      <c r="J56" s="5">
        <v>571</v>
      </c>
      <c r="K56" s="5" t="s">
        <v>204</v>
      </c>
      <c r="L56" s="7">
        <v>1</v>
      </c>
    </row>
    <row r="57" spans="1:12" ht="15.75" customHeight="1" x14ac:dyDescent="0.2">
      <c r="A57" s="5">
        <v>2010</v>
      </c>
      <c r="B57" s="5" t="s">
        <v>201</v>
      </c>
      <c r="C57" s="5" t="s">
        <v>202</v>
      </c>
      <c r="D57" s="5" t="s">
        <v>97</v>
      </c>
      <c r="E57" s="5" t="s">
        <v>205</v>
      </c>
      <c r="F57" s="5" t="s">
        <v>25</v>
      </c>
      <c r="G57" s="5" t="s">
        <v>17</v>
      </c>
      <c r="H57" s="8" t="s">
        <v>18</v>
      </c>
      <c r="I57" s="5" t="s">
        <v>19</v>
      </c>
      <c r="J57" s="5">
        <v>1682.7</v>
      </c>
      <c r="K57" s="5" t="s">
        <v>206</v>
      </c>
      <c r="L57" s="7">
        <v>1</v>
      </c>
    </row>
    <row r="58" spans="1:12" ht="15.75" customHeight="1" x14ac:dyDescent="0.2">
      <c r="A58" s="8">
        <v>2010</v>
      </c>
      <c r="B58" s="5" t="s">
        <v>207</v>
      </c>
      <c r="C58" s="5" t="s">
        <v>208</v>
      </c>
      <c r="D58" s="5" t="s">
        <v>23</v>
      </c>
      <c r="E58" s="5" t="s">
        <v>209</v>
      </c>
      <c r="F58" s="5" t="s">
        <v>43</v>
      </c>
      <c r="G58" s="5" t="s">
        <v>17</v>
      </c>
      <c r="H58" s="5" t="s">
        <v>210</v>
      </c>
      <c r="I58" s="5" t="s">
        <v>211</v>
      </c>
      <c r="J58" s="8">
        <v>188</v>
      </c>
      <c r="K58" s="5" t="s">
        <v>212</v>
      </c>
      <c r="L58" s="7">
        <v>0</v>
      </c>
    </row>
    <row r="59" spans="1:12" ht="15.75" customHeight="1" x14ac:dyDescent="0.2">
      <c r="A59" s="5">
        <v>2010</v>
      </c>
      <c r="B59" s="5" t="s">
        <v>207</v>
      </c>
      <c r="C59" s="5" t="s">
        <v>208</v>
      </c>
      <c r="D59" s="5" t="s">
        <v>23</v>
      </c>
      <c r="E59" s="8" t="s">
        <v>213</v>
      </c>
      <c r="F59" s="5" t="s">
        <v>43</v>
      </c>
      <c r="G59" s="5" t="s">
        <v>17</v>
      </c>
      <c r="H59" s="9" t="s">
        <v>214</v>
      </c>
      <c r="I59" s="5" t="s">
        <v>81</v>
      </c>
      <c r="J59" s="8">
        <v>200</v>
      </c>
      <c r="K59" s="5" t="s">
        <v>215</v>
      </c>
      <c r="L59" s="7">
        <v>0</v>
      </c>
    </row>
    <row r="60" spans="1:12" ht="15.75" customHeight="1" x14ac:dyDescent="0.2">
      <c r="A60" s="9">
        <v>2010</v>
      </c>
      <c r="B60" s="5" t="s">
        <v>207</v>
      </c>
      <c r="C60" s="5" t="s">
        <v>208</v>
      </c>
      <c r="D60" s="5" t="s">
        <v>23</v>
      </c>
      <c r="E60" s="5" t="s">
        <v>216</v>
      </c>
      <c r="F60" s="5" t="s">
        <v>43</v>
      </c>
      <c r="G60" s="5" t="s">
        <v>17</v>
      </c>
      <c r="H60" s="5" t="s">
        <v>214</v>
      </c>
      <c r="I60" s="5" t="s">
        <v>81</v>
      </c>
      <c r="J60" s="8">
        <v>600</v>
      </c>
      <c r="K60" s="5" t="s">
        <v>217</v>
      </c>
      <c r="L60" s="7">
        <v>0</v>
      </c>
    </row>
    <row r="61" spans="1:12" ht="15.75" customHeight="1" x14ac:dyDescent="0.2">
      <c r="A61" s="5">
        <v>2010</v>
      </c>
      <c r="B61" s="5" t="s">
        <v>207</v>
      </c>
      <c r="C61" s="5" t="s">
        <v>208</v>
      </c>
      <c r="D61" s="5" t="s">
        <v>23</v>
      </c>
      <c r="E61" s="9" t="s">
        <v>218</v>
      </c>
      <c r="F61" s="5" t="s">
        <v>43</v>
      </c>
      <c r="G61" s="5" t="s">
        <v>17</v>
      </c>
      <c r="H61" s="5" t="s">
        <v>219</v>
      </c>
      <c r="I61" s="5" t="s">
        <v>211</v>
      </c>
      <c r="J61" s="9">
        <v>1100</v>
      </c>
      <c r="K61" s="5" t="s">
        <v>220</v>
      </c>
      <c r="L61" s="7">
        <v>0</v>
      </c>
    </row>
    <row r="62" spans="1:12" ht="15.75" customHeight="1" x14ac:dyDescent="0.2">
      <c r="A62" s="5">
        <v>2010</v>
      </c>
      <c r="B62" s="5" t="s">
        <v>207</v>
      </c>
      <c r="C62" s="5" t="s">
        <v>208</v>
      </c>
      <c r="D62" s="5" t="s">
        <v>23</v>
      </c>
      <c r="E62" s="5" t="s">
        <v>91</v>
      </c>
      <c r="F62" s="5" t="s">
        <v>43</v>
      </c>
      <c r="G62" s="5" t="s">
        <v>17</v>
      </c>
      <c r="H62" s="5" t="s">
        <v>221</v>
      </c>
      <c r="I62" s="5" t="s">
        <v>211</v>
      </c>
      <c r="J62" s="9">
        <v>5450</v>
      </c>
      <c r="K62" s="5" t="s">
        <v>222</v>
      </c>
      <c r="L62" s="7">
        <v>0</v>
      </c>
    </row>
    <row r="63" spans="1:12" ht="15.75" customHeight="1" x14ac:dyDescent="0.2">
      <c r="A63" s="5">
        <v>2010</v>
      </c>
      <c r="B63" s="5" t="s">
        <v>223</v>
      </c>
      <c r="C63" s="5" t="s">
        <v>224</v>
      </c>
      <c r="D63" s="5" t="s">
        <v>79</v>
      </c>
      <c r="E63" s="5" t="s">
        <v>225</v>
      </c>
      <c r="F63" s="5" t="s">
        <v>226</v>
      </c>
      <c r="G63" s="5" t="s">
        <v>17</v>
      </c>
      <c r="H63" s="5" t="s">
        <v>227</v>
      </c>
      <c r="I63" s="5" t="s">
        <v>81</v>
      </c>
      <c r="J63" s="5">
        <v>730.06</v>
      </c>
      <c r="K63" s="5" t="s">
        <v>228</v>
      </c>
      <c r="L63" s="7">
        <v>1</v>
      </c>
    </row>
    <row r="64" spans="1:12" ht="15.75" customHeight="1" x14ac:dyDescent="0.2">
      <c r="A64" s="5">
        <v>2010</v>
      </c>
      <c r="B64" s="5" t="s">
        <v>229</v>
      </c>
      <c r="C64" s="5" t="s">
        <v>230</v>
      </c>
      <c r="D64" s="5" t="s">
        <v>14</v>
      </c>
      <c r="E64" s="5" t="s">
        <v>231</v>
      </c>
      <c r="F64" s="5" t="s">
        <v>232</v>
      </c>
      <c r="G64" s="5" t="s">
        <v>119</v>
      </c>
      <c r="H64" s="5" t="s">
        <v>18</v>
      </c>
      <c r="I64" s="5" t="s">
        <v>19</v>
      </c>
      <c r="J64" s="5">
        <v>93</v>
      </c>
      <c r="K64" s="5" t="s">
        <v>233</v>
      </c>
      <c r="L64" s="7">
        <v>1</v>
      </c>
    </row>
    <row r="65" spans="1:12" ht="15.75" customHeight="1" x14ac:dyDescent="0.2">
      <c r="A65" s="8">
        <v>2010</v>
      </c>
      <c r="B65" s="8" t="s">
        <v>234</v>
      </c>
      <c r="C65" s="8" t="s">
        <v>235</v>
      </c>
      <c r="D65" s="8" t="s">
        <v>29</v>
      </c>
      <c r="E65" s="8" t="s">
        <v>236</v>
      </c>
      <c r="F65" s="8" t="s">
        <v>43</v>
      </c>
      <c r="G65" s="8" t="s">
        <v>17</v>
      </c>
      <c r="H65" s="8" t="s">
        <v>237</v>
      </c>
      <c r="I65" s="8" t="s">
        <v>81</v>
      </c>
      <c r="J65" s="8">
        <v>493</v>
      </c>
      <c r="K65" s="8" t="s">
        <v>238</v>
      </c>
      <c r="L65" s="7">
        <v>1</v>
      </c>
    </row>
    <row r="66" spans="1:12" ht="15.75" customHeight="1" x14ac:dyDescent="0.2">
      <c r="A66" s="5">
        <v>2010</v>
      </c>
      <c r="B66" s="5" t="s">
        <v>40</v>
      </c>
      <c r="C66" s="5" t="s">
        <v>41</v>
      </c>
      <c r="D66" s="5" t="s">
        <v>29</v>
      </c>
      <c r="E66" s="5" t="s">
        <v>239</v>
      </c>
      <c r="F66" s="5" t="s">
        <v>43</v>
      </c>
      <c r="G66" s="5" t="s">
        <v>17</v>
      </c>
      <c r="H66" s="9" t="s">
        <v>240</v>
      </c>
      <c r="I66" s="5" t="s">
        <v>19</v>
      </c>
      <c r="J66" s="5">
        <v>300</v>
      </c>
      <c r="K66" s="5" t="s">
        <v>241</v>
      </c>
      <c r="L66" s="7">
        <v>1</v>
      </c>
    </row>
    <row r="67" spans="1:12" ht="15.75" customHeight="1" x14ac:dyDescent="0.2">
      <c r="A67" s="9">
        <v>2010</v>
      </c>
      <c r="B67" s="9" t="s">
        <v>242</v>
      </c>
      <c r="C67" s="9" t="s">
        <v>243</v>
      </c>
      <c r="D67" s="9" t="s">
        <v>14</v>
      </c>
      <c r="E67" s="9" t="s">
        <v>244</v>
      </c>
      <c r="F67" s="9" t="s">
        <v>25</v>
      </c>
      <c r="G67" s="9" t="s">
        <v>17</v>
      </c>
      <c r="H67" s="8" t="s">
        <v>18</v>
      </c>
      <c r="I67" s="9" t="s">
        <v>19</v>
      </c>
      <c r="J67" s="9">
        <v>315</v>
      </c>
      <c r="K67" s="9" t="s">
        <v>245</v>
      </c>
      <c r="L67" s="7">
        <v>1</v>
      </c>
    </row>
    <row r="68" spans="1:12" ht="15.75" customHeight="1" x14ac:dyDescent="0.2">
      <c r="A68" s="5">
        <v>2011</v>
      </c>
      <c r="B68" s="5" t="s">
        <v>122</v>
      </c>
      <c r="C68" s="5" t="s">
        <v>123</v>
      </c>
      <c r="D68" s="5" t="s">
        <v>79</v>
      </c>
      <c r="E68" s="5" t="s">
        <v>246</v>
      </c>
      <c r="F68" s="5" t="s">
        <v>25</v>
      </c>
      <c r="G68" s="5" t="s">
        <v>17</v>
      </c>
      <c r="H68" s="5" t="s">
        <v>18</v>
      </c>
      <c r="I68" s="5" t="s">
        <v>81</v>
      </c>
      <c r="J68" s="5">
        <v>189</v>
      </c>
      <c r="K68" s="5" t="s">
        <v>247</v>
      </c>
      <c r="L68" s="7">
        <v>1</v>
      </c>
    </row>
    <row r="69" spans="1:12" ht="15.75" customHeight="1" x14ac:dyDescent="0.2">
      <c r="A69" s="5">
        <v>2011</v>
      </c>
      <c r="B69" s="5" t="s">
        <v>144</v>
      </c>
      <c r="C69" s="5" t="s">
        <v>145</v>
      </c>
      <c r="D69" s="5" t="s">
        <v>97</v>
      </c>
      <c r="E69" s="5" t="s">
        <v>91</v>
      </c>
      <c r="F69" s="5" t="s">
        <v>54</v>
      </c>
      <c r="G69" s="5" t="s">
        <v>119</v>
      </c>
      <c r="H69" s="9" t="s">
        <v>18</v>
      </c>
      <c r="I69" s="5" t="s">
        <v>19</v>
      </c>
      <c r="J69" s="5">
        <v>60</v>
      </c>
      <c r="K69" s="5" t="s">
        <v>248</v>
      </c>
      <c r="L69" s="7">
        <v>1</v>
      </c>
    </row>
    <row r="70" spans="1:12" ht="15.75" customHeight="1" x14ac:dyDescent="0.2">
      <c r="A70" s="9">
        <v>2017</v>
      </c>
      <c r="B70" s="5" t="s">
        <v>249</v>
      </c>
      <c r="C70" s="5" t="s">
        <v>250</v>
      </c>
      <c r="D70" s="5" t="s">
        <v>79</v>
      </c>
      <c r="E70" s="5" t="s">
        <v>251</v>
      </c>
      <c r="F70" s="5" t="s">
        <v>43</v>
      </c>
      <c r="G70" s="5" t="s">
        <v>17</v>
      </c>
      <c r="H70" s="5" t="s">
        <v>18</v>
      </c>
      <c r="I70" s="5" t="s">
        <v>19</v>
      </c>
      <c r="J70" s="9">
        <v>881.88</v>
      </c>
      <c r="K70" s="5" t="s">
        <v>252</v>
      </c>
      <c r="L70" s="7">
        <v>1</v>
      </c>
    </row>
    <row r="71" spans="1:12" ht="15.75" customHeight="1" x14ac:dyDescent="0.2">
      <c r="A71" s="5">
        <v>2011</v>
      </c>
      <c r="B71" s="5" t="s">
        <v>27</v>
      </c>
      <c r="C71" s="5" t="s">
        <v>28</v>
      </c>
      <c r="D71" s="5" t="s">
        <v>29</v>
      </c>
      <c r="E71" s="9" t="s">
        <v>253</v>
      </c>
      <c r="F71" s="5" t="s">
        <v>91</v>
      </c>
      <c r="G71" s="5" t="s">
        <v>92</v>
      </c>
      <c r="H71" s="5" t="s">
        <v>18</v>
      </c>
      <c r="I71" s="5" t="s">
        <v>19</v>
      </c>
      <c r="J71" s="9">
        <v>50</v>
      </c>
      <c r="K71" s="5" t="s">
        <v>254</v>
      </c>
      <c r="L71" s="7">
        <v>1</v>
      </c>
    </row>
    <row r="72" spans="1:12" ht="15.75" customHeight="1" x14ac:dyDescent="0.2">
      <c r="A72" s="5">
        <v>2011</v>
      </c>
      <c r="B72" s="5" t="s">
        <v>255</v>
      </c>
      <c r="C72" s="5" t="s">
        <v>256</v>
      </c>
      <c r="D72" s="5" t="s">
        <v>14</v>
      </c>
      <c r="E72" s="5" t="s">
        <v>257</v>
      </c>
      <c r="F72" s="5" t="s">
        <v>25</v>
      </c>
      <c r="G72" s="5" t="s">
        <v>17</v>
      </c>
      <c r="H72" s="5" t="s">
        <v>18</v>
      </c>
      <c r="I72" s="5" t="s">
        <v>19</v>
      </c>
      <c r="J72" s="8">
        <v>360</v>
      </c>
      <c r="K72" s="8" t="s">
        <v>258</v>
      </c>
      <c r="L72" s="7">
        <v>0</v>
      </c>
    </row>
    <row r="73" spans="1:12" ht="15.75" customHeight="1" x14ac:dyDescent="0.2">
      <c r="A73" s="8">
        <v>2011</v>
      </c>
      <c r="B73" s="8" t="s">
        <v>255</v>
      </c>
      <c r="C73" s="8" t="s">
        <v>256</v>
      </c>
      <c r="D73" s="8" t="s">
        <v>14</v>
      </c>
      <c r="E73" s="8" t="s">
        <v>259</v>
      </c>
      <c r="F73" s="8" t="s">
        <v>25</v>
      </c>
      <c r="G73" s="8" t="s">
        <v>17</v>
      </c>
      <c r="H73" s="8" t="s">
        <v>18</v>
      </c>
      <c r="I73" s="8" t="s">
        <v>19</v>
      </c>
      <c r="J73" s="8">
        <v>660</v>
      </c>
      <c r="K73" s="8" t="s">
        <v>260</v>
      </c>
      <c r="L73" s="7">
        <v>0</v>
      </c>
    </row>
    <row r="74" spans="1:12" ht="15.75" customHeight="1" x14ac:dyDescent="0.2">
      <c r="A74" s="5">
        <v>2011</v>
      </c>
      <c r="B74" s="5" t="s">
        <v>201</v>
      </c>
      <c r="C74" s="5" t="s">
        <v>202</v>
      </c>
      <c r="D74" s="5" t="s">
        <v>97</v>
      </c>
      <c r="E74" s="5" t="s">
        <v>261</v>
      </c>
      <c r="F74" s="5" t="s">
        <v>262</v>
      </c>
      <c r="G74" s="5" t="s">
        <v>17</v>
      </c>
      <c r="H74" s="5" t="s">
        <v>263</v>
      </c>
      <c r="I74" s="5" t="s">
        <v>81</v>
      </c>
      <c r="J74" s="8">
        <v>37.5</v>
      </c>
      <c r="K74" s="9" t="s">
        <v>264</v>
      </c>
      <c r="L74" s="7">
        <v>1</v>
      </c>
    </row>
    <row r="75" spans="1:12" ht="15.75" customHeight="1" x14ac:dyDescent="0.2">
      <c r="A75" s="9">
        <v>2011</v>
      </c>
      <c r="B75" s="9" t="s">
        <v>201</v>
      </c>
      <c r="C75" s="9" t="s">
        <v>202</v>
      </c>
      <c r="D75" s="9" t="s">
        <v>97</v>
      </c>
      <c r="E75" s="9" t="s">
        <v>265</v>
      </c>
      <c r="F75" s="9" t="s">
        <v>54</v>
      </c>
      <c r="G75" s="9" t="s">
        <v>17</v>
      </c>
      <c r="H75" s="9" t="s">
        <v>263</v>
      </c>
      <c r="I75" s="9" t="s">
        <v>81</v>
      </c>
      <c r="J75" s="9">
        <v>50</v>
      </c>
      <c r="K75" s="9" t="s">
        <v>266</v>
      </c>
      <c r="L75" s="7">
        <v>1</v>
      </c>
    </row>
    <row r="76" spans="1:12" ht="15.75" customHeight="1" x14ac:dyDescent="0.2">
      <c r="A76" s="5">
        <v>2011</v>
      </c>
      <c r="B76" s="5" t="s">
        <v>201</v>
      </c>
      <c r="C76" s="5" t="s">
        <v>202</v>
      </c>
      <c r="D76" s="5" t="s">
        <v>97</v>
      </c>
      <c r="E76" s="5" t="s">
        <v>203</v>
      </c>
      <c r="F76" s="5" t="s">
        <v>54</v>
      </c>
      <c r="G76" s="5" t="s">
        <v>17</v>
      </c>
      <c r="H76" s="5" t="s">
        <v>263</v>
      </c>
      <c r="I76" s="5" t="s">
        <v>81</v>
      </c>
      <c r="J76" s="9">
        <v>600</v>
      </c>
      <c r="K76" s="5" t="s">
        <v>267</v>
      </c>
      <c r="L76" s="7">
        <v>1</v>
      </c>
    </row>
    <row r="77" spans="1:12" ht="15.75" customHeight="1" x14ac:dyDescent="0.2">
      <c r="A77" s="5">
        <v>2011</v>
      </c>
      <c r="B77" s="5" t="s">
        <v>73</v>
      </c>
      <c r="C77" s="5" t="s">
        <v>74</v>
      </c>
      <c r="D77" s="5" t="s">
        <v>14</v>
      </c>
      <c r="E77" s="5" t="s">
        <v>268</v>
      </c>
      <c r="F77" s="5" t="s">
        <v>91</v>
      </c>
      <c r="G77" s="5" t="s">
        <v>92</v>
      </c>
      <c r="H77" s="5" t="s">
        <v>18</v>
      </c>
      <c r="I77" s="5" t="s">
        <v>19</v>
      </c>
      <c r="J77" s="5">
        <v>300</v>
      </c>
      <c r="K77" s="5" t="s">
        <v>269</v>
      </c>
      <c r="L77" s="7">
        <v>1</v>
      </c>
    </row>
    <row r="78" spans="1:12" ht="15.75" customHeight="1" x14ac:dyDescent="0.2">
      <c r="A78" s="5">
        <v>2011</v>
      </c>
      <c r="B78" s="5" t="s">
        <v>105</v>
      </c>
      <c r="C78" s="5" t="s">
        <v>106</v>
      </c>
      <c r="D78" s="5" t="s">
        <v>14</v>
      </c>
      <c r="E78" s="5" t="s">
        <v>270</v>
      </c>
      <c r="F78" s="5" t="s">
        <v>262</v>
      </c>
      <c r="G78" s="5" t="s">
        <v>17</v>
      </c>
      <c r="H78" s="9" t="s">
        <v>271</v>
      </c>
      <c r="I78" s="5" t="s">
        <v>19</v>
      </c>
      <c r="J78" s="5">
        <v>99.45</v>
      </c>
      <c r="K78" s="5" t="s">
        <v>272</v>
      </c>
      <c r="L78" s="7">
        <v>1</v>
      </c>
    </row>
    <row r="79" spans="1:12" ht="15.75" customHeight="1" x14ac:dyDescent="0.2">
      <c r="A79" s="5">
        <v>2011</v>
      </c>
      <c r="B79" s="5" t="s">
        <v>109</v>
      </c>
      <c r="C79" s="5" t="s">
        <v>110</v>
      </c>
      <c r="D79" s="5" t="s">
        <v>14</v>
      </c>
      <c r="E79" s="5" t="s">
        <v>273</v>
      </c>
      <c r="F79" s="5" t="s">
        <v>16</v>
      </c>
      <c r="G79" s="5" t="s">
        <v>57</v>
      </c>
      <c r="H79" s="5" t="s">
        <v>274</v>
      </c>
      <c r="I79" s="5" t="s">
        <v>81</v>
      </c>
      <c r="J79" s="5">
        <v>1000</v>
      </c>
      <c r="K79" s="5" t="s">
        <v>275</v>
      </c>
      <c r="L79" s="7">
        <v>1</v>
      </c>
    </row>
    <row r="80" spans="1:12" ht="15.75" customHeight="1" x14ac:dyDescent="0.2">
      <c r="A80" s="5">
        <v>2011</v>
      </c>
      <c r="B80" s="5" t="s">
        <v>276</v>
      </c>
      <c r="C80" s="5" t="s">
        <v>277</v>
      </c>
      <c r="D80" s="5" t="s">
        <v>14</v>
      </c>
      <c r="E80" s="5" t="s">
        <v>278</v>
      </c>
      <c r="F80" s="5" t="s">
        <v>25</v>
      </c>
      <c r="G80" s="5" t="s">
        <v>17</v>
      </c>
      <c r="H80" s="5" t="s">
        <v>18</v>
      </c>
      <c r="I80" s="5" t="s">
        <v>19</v>
      </c>
      <c r="J80" s="8">
        <v>335</v>
      </c>
      <c r="K80" s="5" t="s">
        <v>279</v>
      </c>
      <c r="L80" s="7">
        <v>1</v>
      </c>
    </row>
    <row r="81" spans="1:31" ht="15.75" customHeight="1" x14ac:dyDescent="0.2">
      <c r="A81" s="5">
        <v>2011</v>
      </c>
      <c r="B81" s="5" t="s">
        <v>280</v>
      </c>
      <c r="C81" s="5" t="s">
        <v>281</v>
      </c>
      <c r="D81" s="5" t="s">
        <v>97</v>
      </c>
      <c r="E81" s="5" t="s">
        <v>282</v>
      </c>
      <c r="F81" s="5" t="s">
        <v>91</v>
      </c>
      <c r="G81" s="5" t="s">
        <v>92</v>
      </c>
      <c r="H81" s="5" t="s">
        <v>18</v>
      </c>
      <c r="I81" s="5" t="s">
        <v>19</v>
      </c>
      <c r="J81" s="8">
        <v>38.96</v>
      </c>
      <c r="K81" s="5" t="s">
        <v>283</v>
      </c>
      <c r="L81" s="7">
        <v>1</v>
      </c>
    </row>
    <row r="82" spans="1:31" ht="15.75" customHeight="1" x14ac:dyDescent="0.2">
      <c r="A82" s="5">
        <v>2011</v>
      </c>
      <c r="B82" s="5" t="s">
        <v>113</v>
      </c>
      <c r="C82" s="5" t="s">
        <v>114</v>
      </c>
      <c r="D82" s="5" t="s">
        <v>29</v>
      </c>
      <c r="E82" s="5" t="s">
        <v>284</v>
      </c>
      <c r="F82" s="5" t="s">
        <v>43</v>
      </c>
      <c r="G82" s="5" t="s">
        <v>17</v>
      </c>
      <c r="H82" s="5" t="s">
        <v>18</v>
      </c>
      <c r="I82" s="5" t="s">
        <v>19</v>
      </c>
      <c r="J82" s="13">
        <v>133</v>
      </c>
      <c r="K82" s="5" t="s">
        <v>285</v>
      </c>
      <c r="L82" s="7">
        <v>1</v>
      </c>
    </row>
    <row r="83" spans="1:31" ht="15.75" customHeight="1" x14ac:dyDescent="0.2">
      <c r="A83" s="8">
        <v>2011</v>
      </c>
      <c r="B83" s="8" t="s">
        <v>286</v>
      </c>
      <c r="C83" s="8" t="s">
        <v>287</v>
      </c>
      <c r="D83" s="8" t="s">
        <v>23</v>
      </c>
      <c r="E83" s="8" t="s">
        <v>288</v>
      </c>
      <c r="F83" s="8" t="s">
        <v>25</v>
      </c>
      <c r="G83" s="8" t="s">
        <v>17</v>
      </c>
      <c r="H83" s="8" t="s">
        <v>18</v>
      </c>
      <c r="I83" s="8" t="s">
        <v>19</v>
      </c>
      <c r="J83" s="8">
        <v>115</v>
      </c>
      <c r="K83" s="8" t="s">
        <v>289</v>
      </c>
      <c r="L83" s="7">
        <v>1</v>
      </c>
    </row>
    <row r="84" spans="1:31" ht="15.75" customHeight="1" x14ac:dyDescent="0.2">
      <c r="A84" s="5">
        <v>2011</v>
      </c>
      <c r="B84" s="5" t="s">
        <v>21</v>
      </c>
      <c r="C84" s="5" t="s">
        <v>22</v>
      </c>
      <c r="D84" s="5" t="s">
        <v>23</v>
      </c>
      <c r="E84" s="5" t="s">
        <v>68</v>
      </c>
      <c r="F84" s="5" t="s">
        <v>69</v>
      </c>
      <c r="G84" s="5" t="s">
        <v>17</v>
      </c>
      <c r="H84" s="5" t="s">
        <v>18</v>
      </c>
      <c r="I84" s="5" t="s">
        <v>19</v>
      </c>
      <c r="J84" s="8">
        <v>1570</v>
      </c>
      <c r="K84" s="5" t="s">
        <v>292</v>
      </c>
      <c r="L84" s="7">
        <v>1</v>
      </c>
    </row>
    <row r="85" spans="1:31" ht="15.75" customHeight="1" x14ac:dyDescent="0.2">
      <c r="A85" s="9">
        <v>2011</v>
      </c>
      <c r="B85" s="9" t="s">
        <v>185</v>
      </c>
      <c r="C85" s="9" t="s">
        <v>186</v>
      </c>
      <c r="D85" s="9" t="s">
        <v>79</v>
      </c>
      <c r="E85" s="9" t="s">
        <v>293</v>
      </c>
      <c r="F85" s="9" t="s">
        <v>16</v>
      </c>
      <c r="G85" s="9" t="s">
        <v>119</v>
      </c>
      <c r="H85" s="9" t="s">
        <v>188</v>
      </c>
      <c r="I85" s="9" t="s">
        <v>81</v>
      </c>
      <c r="J85" s="9">
        <v>4100</v>
      </c>
      <c r="K85" s="9" t="s">
        <v>294</v>
      </c>
      <c r="L85" s="7">
        <v>0</v>
      </c>
    </row>
    <row r="86" spans="1:31" ht="15.75" customHeight="1" x14ac:dyDescent="0.2">
      <c r="A86" s="8">
        <v>2011</v>
      </c>
      <c r="B86" s="8" t="s">
        <v>117</v>
      </c>
      <c r="C86" s="8" t="s">
        <v>118</v>
      </c>
      <c r="D86" s="8" t="s">
        <v>79</v>
      </c>
      <c r="E86" s="8" t="s">
        <v>295</v>
      </c>
      <c r="F86" s="8" t="s">
        <v>16</v>
      </c>
      <c r="G86" s="8" t="s">
        <v>92</v>
      </c>
      <c r="H86" s="8" t="s">
        <v>18</v>
      </c>
      <c r="I86" s="8" t="s">
        <v>81</v>
      </c>
      <c r="J86" s="8">
        <v>2200</v>
      </c>
      <c r="K86" s="8" t="s">
        <v>296</v>
      </c>
      <c r="L86" s="7">
        <v>1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.75" customHeight="1" x14ac:dyDescent="0.2">
      <c r="A87" s="5">
        <v>2011</v>
      </c>
      <c r="B87" s="5" t="s">
        <v>40</v>
      </c>
      <c r="C87" s="5" t="s">
        <v>41</v>
      </c>
      <c r="D87" s="5" t="s">
        <v>29</v>
      </c>
      <c r="E87" s="5" t="s">
        <v>297</v>
      </c>
      <c r="F87" s="5" t="s">
        <v>43</v>
      </c>
      <c r="G87" s="5" t="s">
        <v>17</v>
      </c>
      <c r="H87" s="5" t="s">
        <v>298</v>
      </c>
      <c r="I87" s="5" t="s">
        <v>81</v>
      </c>
      <c r="J87" s="5">
        <v>673</v>
      </c>
      <c r="K87" s="5" t="s">
        <v>299</v>
      </c>
      <c r="L87" s="7">
        <v>1</v>
      </c>
    </row>
    <row r="88" spans="1:31" ht="15.75" customHeight="1" x14ac:dyDescent="0.2">
      <c r="A88" s="9">
        <v>2011</v>
      </c>
      <c r="B88" s="9" t="s">
        <v>40</v>
      </c>
      <c r="C88" s="9" t="s">
        <v>41</v>
      </c>
      <c r="D88" s="9" t="s">
        <v>29</v>
      </c>
      <c r="E88" s="9" t="s">
        <v>300</v>
      </c>
      <c r="F88" s="9" t="s">
        <v>43</v>
      </c>
      <c r="G88" s="9" t="s">
        <v>17</v>
      </c>
      <c r="H88" s="9" t="s">
        <v>18</v>
      </c>
      <c r="I88" s="9" t="s">
        <v>19</v>
      </c>
      <c r="J88" s="8">
        <v>1008</v>
      </c>
      <c r="K88" s="9" t="s">
        <v>301</v>
      </c>
      <c r="L88" s="7">
        <v>1</v>
      </c>
    </row>
    <row r="89" spans="1:31" ht="15.75" customHeight="1" x14ac:dyDescent="0.2">
      <c r="A89" s="5">
        <v>2012</v>
      </c>
      <c r="B89" s="5" t="s">
        <v>302</v>
      </c>
      <c r="C89" s="5" t="s">
        <v>303</v>
      </c>
      <c r="D89" s="5" t="s">
        <v>97</v>
      </c>
      <c r="E89" s="5" t="s">
        <v>91</v>
      </c>
      <c r="F89" s="5" t="s">
        <v>25</v>
      </c>
      <c r="G89" s="5" t="s">
        <v>17</v>
      </c>
      <c r="H89" s="5" t="s">
        <v>18</v>
      </c>
      <c r="I89" s="5" t="s">
        <v>81</v>
      </c>
      <c r="J89" s="5">
        <v>200</v>
      </c>
      <c r="K89" s="5" t="s">
        <v>304</v>
      </c>
      <c r="L89" s="7">
        <v>0</v>
      </c>
    </row>
    <row r="90" spans="1:31" ht="15.75" customHeight="1" x14ac:dyDescent="0.2">
      <c r="A90" s="8">
        <v>2012</v>
      </c>
      <c r="B90" s="8" t="s">
        <v>249</v>
      </c>
      <c r="C90" s="8" t="s">
        <v>250</v>
      </c>
      <c r="D90" s="8" t="s">
        <v>79</v>
      </c>
      <c r="E90" s="8" t="s">
        <v>305</v>
      </c>
      <c r="F90" s="8" t="s">
        <v>43</v>
      </c>
      <c r="G90" s="8" t="s">
        <v>17</v>
      </c>
      <c r="H90" s="8" t="s">
        <v>306</v>
      </c>
      <c r="I90" s="8" t="s">
        <v>81</v>
      </c>
      <c r="J90" s="8">
        <f>350*1.2943</f>
        <v>453.005</v>
      </c>
      <c r="K90" s="8" t="s">
        <v>307</v>
      </c>
      <c r="L90" s="7">
        <v>1</v>
      </c>
    </row>
    <row r="91" spans="1:31" ht="15.75" customHeight="1" x14ac:dyDescent="0.2">
      <c r="A91" s="5">
        <v>2012</v>
      </c>
      <c r="B91" s="5" t="s">
        <v>197</v>
      </c>
      <c r="C91" s="5" t="s">
        <v>198</v>
      </c>
      <c r="D91" s="5" t="s">
        <v>14</v>
      </c>
      <c r="E91" s="5" t="s">
        <v>308</v>
      </c>
      <c r="F91" s="5" t="s">
        <v>25</v>
      </c>
      <c r="G91" s="5" t="s">
        <v>17</v>
      </c>
      <c r="H91" s="5" t="s">
        <v>18</v>
      </c>
      <c r="I91" s="5" t="s">
        <v>19</v>
      </c>
      <c r="J91" s="9">
        <v>402</v>
      </c>
      <c r="K91" s="5" t="s">
        <v>309</v>
      </c>
      <c r="L91" s="7">
        <v>1</v>
      </c>
    </row>
    <row r="92" spans="1:31" ht="15.75" customHeight="1" x14ac:dyDescent="0.2">
      <c r="A92" s="8">
        <v>2012</v>
      </c>
      <c r="B92" s="9" t="s">
        <v>310</v>
      </c>
      <c r="C92" s="9" t="s">
        <v>311</v>
      </c>
      <c r="D92" s="9" t="s">
        <v>97</v>
      </c>
      <c r="E92" s="8" t="s">
        <v>91</v>
      </c>
      <c r="F92" s="9" t="s">
        <v>226</v>
      </c>
      <c r="G92" s="9" t="s">
        <v>17</v>
      </c>
      <c r="H92" s="9" t="s">
        <v>312</v>
      </c>
      <c r="I92" s="9" t="s">
        <v>81</v>
      </c>
      <c r="J92" s="8">
        <v>900</v>
      </c>
      <c r="K92" s="8" t="s">
        <v>313</v>
      </c>
      <c r="L92" s="7">
        <v>1</v>
      </c>
    </row>
    <row r="93" spans="1:31" ht="15.75" customHeight="1" x14ac:dyDescent="0.2">
      <c r="A93" s="5">
        <v>2012</v>
      </c>
      <c r="B93" s="5" t="s">
        <v>113</v>
      </c>
      <c r="C93" s="5" t="s">
        <v>114</v>
      </c>
      <c r="D93" s="5" t="s">
        <v>29</v>
      </c>
      <c r="E93" s="5" t="s">
        <v>315</v>
      </c>
      <c r="F93" s="5" t="s">
        <v>43</v>
      </c>
      <c r="G93" s="5" t="s">
        <v>17</v>
      </c>
      <c r="H93" s="8" t="s">
        <v>18</v>
      </c>
      <c r="I93" s="5" t="s">
        <v>81</v>
      </c>
      <c r="J93" s="17">
        <v>473</v>
      </c>
      <c r="K93" s="5" t="s">
        <v>316</v>
      </c>
      <c r="L93" s="7">
        <v>1</v>
      </c>
    </row>
    <row r="94" spans="1:31" ht="15.75" customHeight="1" x14ac:dyDescent="0.2">
      <c r="A94" s="9">
        <v>2012</v>
      </c>
      <c r="B94" s="5" t="s">
        <v>21</v>
      </c>
      <c r="C94" s="5" t="s">
        <v>22</v>
      </c>
      <c r="D94" s="5" t="s">
        <v>23</v>
      </c>
      <c r="E94" s="9" t="s">
        <v>317</v>
      </c>
      <c r="F94" s="5" t="s">
        <v>25</v>
      </c>
      <c r="G94" s="5" t="s">
        <v>17</v>
      </c>
      <c r="H94" s="5" t="s">
        <v>18</v>
      </c>
      <c r="I94" s="5" t="s">
        <v>19</v>
      </c>
      <c r="J94" s="9">
        <v>448</v>
      </c>
      <c r="K94" s="9" t="s">
        <v>318</v>
      </c>
      <c r="L94" s="7">
        <v>1</v>
      </c>
    </row>
    <row r="95" spans="1:31" ht="15.75" customHeight="1" x14ac:dyDescent="0.2">
      <c r="A95" s="5">
        <v>2012</v>
      </c>
      <c r="B95" s="5" t="s">
        <v>83</v>
      </c>
      <c r="C95" s="5" t="s">
        <v>84</v>
      </c>
      <c r="D95" s="5" t="s">
        <v>23</v>
      </c>
      <c r="E95" s="5" t="s">
        <v>321</v>
      </c>
      <c r="F95" s="5" t="s">
        <v>25</v>
      </c>
      <c r="G95" s="5" t="s">
        <v>17</v>
      </c>
      <c r="H95" s="9" t="s">
        <v>18</v>
      </c>
      <c r="I95" s="5" t="s">
        <v>81</v>
      </c>
      <c r="J95" s="8">
        <v>214</v>
      </c>
      <c r="K95" s="5" t="s">
        <v>322</v>
      </c>
      <c r="L95" s="7">
        <v>1</v>
      </c>
    </row>
    <row r="96" spans="1:31" ht="15.75" customHeight="1" x14ac:dyDescent="0.2">
      <c r="A96" s="5">
        <v>2012</v>
      </c>
      <c r="B96" s="5" t="s">
        <v>323</v>
      </c>
      <c r="C96" s="18" t="s">
        <v>324</v>
      </c>
      <c r="D96" s="5" t="s">
        <v>14</v>
      </c>
      <c r="E96" s="5" t="s">
        <v>325</v>
      </c>
      <c r="F96" s="5" t="s">
        <v>16</v>
      </c>
      <c r="G96" s="5" t="s">
        <v>92</v>
      </c>
      <c r="H96" s="5" t="s">
        <v>18</v>
      </c>
      <c r="I96" s="5" t="s">
        <v>19</v>
      </c>
      <c r="J96" s="9">
        <v>1225</v>
      </c>
      <c r="K96" s="8" t="s">
        <v>326</v>
      </c>
      <c r="L96" s="7">
        <v>1</v>
      </c>
    </row>
    <row r="97" spans="1:31" ht="15.75" customHeight="1" x14ac:dyDescent="0.2">
      <c r="A97" s="5">
        <v>2012</v>
      </c>
      <c r="B97" s="5" t="s">
        <v>327</v>
      </c>
      <c r="C97" s="5" t="s">
        <v>328</v>
      </c>
      <c r="D97" s="5" t="s">
        <v>79</v>
      </c>
      <c r="E97" s="5" t="s">
        <v>91</v>
      </c>
      <c r="F97" s="5" t="s">
        <v>43</v>
      </c>
      <c r="G97" s="5" t="s">
        <v>329</v>
      </c>
      <c r="H97" s="8" t="s">
        <v>330</v>
      </c>
      <c r="I97" s="5" t="s">
        <v>81</v>
      </c>
      <c r="J97" s="9">
        <v>3500</v>
      </c>
      <c r="K97" s="5" t="s">
        <v>331</v>
      </c>
      <c r="L97" s="7">
        <v>1</v>
      </c>
    </row>
    <row r="98" spans="1:31" ht="15.75" customHeight="1" x14ac:dyDescent="0.2">
      <c r="A98" s="5">
        <v>2013</v>
      </c>
      <c r="B98" s="5" t="s">
        <v>333</v>
      </c>
      <c r="C98" s="5" t="s">
        <v>334</v>
      </c>
      <c r="D98" s="5" t="s">
        <v>23</v>
      </c>
      <c r="E98" s="5" t="s">
        <v>335</v>
      </c>
      <c r="F98" s="5" t="s">
        <v>43</v>
      </c>
      <c r="G98" s="5" t="s">
        <v>17</v>
      </c>
      <c r="H98" s="5" t="s">
        <v>18</v>
      </c>
      <c r="I98" s="5" t="s">
        <v>19</v>
      </c>
      <c r="J98" s="5">
        <v>132</v>
      </c>
      <c r="K98" s="9" t="s">
        <v>336</v>
      </c>
      <c r="L98" s="7">
        <v>1</v>
      </c>
    </row>
    <row r="99" spans="1:31" ht="15.75" customHeight="1" x14ac:dyDescent="0.2">
      <c r="A99" s="9">
        <v>2011</v>
      </c>
      <c r="B99" s="5" t="s">
        <v>337</v>
      </c>
      <c r="C99" s="5" t="s">
        <v>338</v>
      </c>
      <c r="D99" s="5" t="s">
        <v>79</v>
      </c>
      <c r="E99" s="9" t="s">
        <v>339</v>
      </c>
      <c r="F99" s="5" t="s">
        <v>226</v>
      </c>
      <c r="G99" s="5" t="s">
        <v>17</v>
      </c>
      <c r="H99" s="9" t="s">
        <v>340</v>
      </c>
      <c r="I99" s="5" t="s">
        <v>81</v>
      </c>
      <c r="J99" s="9">
        <v>248.1</v>
      </c>
      <c r="K99" s="9" t="s">
        <v>341</v>
      </c>
      <c r="L99" s="7">
        <v>1</v>
      </c>
    </row>
    <row r="100" spans="1:31" ht="15.75" customHeight="1" x14ac:dyDescent="0.2">
      <c r="A100" s="5">
        <v>2013</v>
      </c>
      <c r="B100" s="5" t="s">
        <v>27</v>
      </c>
      <c r="C100" s="5" t="s">
        <v>28</v>
      </c>
      <c r="D100" s="5" t="s">
        <v>29</v>
      </c>
      <c r="E100" s="5" t="s">
        <v>342</v>
      </c>
      <c r="F100" s="5" t="s">
        <v>25</v>
      </c>
      <c r="G100" s="5" t="s">
        <v>17</v>
      </c>
      <c r="H100" s="9" t="s">
        <v>343</v>
      </c>
      <c r="I100" s="5" t="s">
        <v>19</v>
      </c>
      <c r="J100" s="9">
        <v>412</v>
      </c>
      <c r="K100" s="5" t="s">
        <v>344</v>
      </c>
      <c r="L100" s="7">
        <v>1</v>
      </c>
    </row>
    <row r="101" spans="1:31" ht="13.5" customHeight="1" x14ac:dyDescent="0.2">
      <c r="A101" s="5">
        <v>2013</v>
      </c>
      <c r="B101" s="5" t="s">
        <v>27</v>
      </c>
      <c r="C101" s="5" t="s">
        <v>28</v>
      </c>
      <c r="D101" s="5" t="s">
        <v>29</v>
      </c>
      <c r="E101" s="5" t="s">
        <v>345</v>
      </c>
      <c r="F101" s="5" t="s">
        <v>54</v>
      </c>
      <c r="G101" s="5" t="s">
        <v>119</v>
      </c>
      <c r="H101" s="8" t="s">
        <v>346</v>
      </c>
      <c r="I101" s="5" t="s">
        <v>19</v>
      </c>
      <c r="J101" s="5">
        <v>1670</v>
      </c>
      <c r="K101" s="5" t="s">
        <v>347</v>
      </c>
      <c r="L101" s="7">
        <v>1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1"/>
    </row>
    <row r="102" spans="1:31" ht="15.75" customHeight="1" x14ac:dyDescent="0.2">
      <c r="A102" s="5">
        <v>2013</v>
      </c>
      <c r="B102" s="5" t="s">
        <v>348</v>
      </c>
      <c r="C102" s="5" t="s">
        <v>349</v>
      </c>
      <c r="D102" s="5" t="s">
        <v>14</v>
      </c>
      <c r="E102" s="5" t="s">
        <v>350</v>
      </c>
      <c r="F102" s="5" t="s">
        <v>25</v>
      </c>
      <c r="G102" s="5" t="s">
        <v>17</v>
      </c>
      <c r="H102" s="5" t="s">
        <v>18</v>
      </c>
      <c r="I102" s="5" t="s">
        <v>19</v>
      </c>
      <c r="J102" s="9">
        <f>571.98*0.85</f>
        <v>486.18299999999999</v>
      </c>
      <c r="K102" s="5" t="s">
        <v>351</v>
      </c>
      <c r="L102" s="7">
        <v>1</v>
      </c>
    </row>
    <row r="103" spans="1:31" ht="15.75" customHeight="1" x14ac:dyDescent="0.2">
      <c r="A103" s="5">
        <v>2013</v>
      </c>
      <c r="B103" s="5" t="s">
        <v>201</v>
      </c>
      <c r="C103" s="5" t="s">
        <v>202</v>
      </c>
      <c r="D103" s="5" t="s">
        <v>97</v>
      </c>
      <c r="E103" s="5" t="s">
        <v>352</v>
      </c>
      <c r="F103" s="5" t="s">
        <v>25</v>
      </c>
      <c r="G103" s="5" t="s">
        <v>17</v>
      </c>
      <c r="H103" s="9" t="s">
        <v>18</v>
      </c>
      <c r="I103" s="5" t="s">
        <v>19</v>
      </c>
      <c r="J103" s="5">
        <v>312.48</v>
      </c>
      <c r="K103" s="9" t="s">
        <v>353</v>
      </c>
      <c r="L103" s="7">
        <v>1</v>
      </c>
    </row>
    <row r="104" spans="1:31" ht="15.75" customHeight="1" x14ac:dyDescent="0.2">
      <c r="A104" s="5">
        <v>2013</v>
      </c>
      <c r="B104" s="5" t="s">
        <v>105</v>
      </c>
      <c r="C104" s="5" t="s">
        <v>106</v>
      </c>
      <c r="D104" s="5" t="s">
        <v>14</v>
      </c>
      <c r="E104" s="5" t="s">
        <v>270</v>
      </c>
      <c r="F104" s="5" t="s">
        <v>262</v>
      </c>
      <c r="G104" s="5" t="s">
        <v>17</v>
      </c>
      <c r="H104" s="9" t="s">
        <v>271</v>
      </c>
      <c r="I104" s="5" t="s">
        <v>19</v>
      </c>
      <c r="J104" s="5">
        <v>293.25</v>
      </c>
      <c r="K104" s="5" t="s">
        <v>354</v>
      </c>
      <c r="L104" s="7">
        <v>1</v>
      </c>
    </row>
    <row r="105" spans="1:31" ht="15.75" customHeight="1" x14ac:dyDescent="0.2">
      <c r="A105" s="5">
        <v>2013</v>
      </c>
      <c r="B105" s="5" t="s">
        <v>207</v>
      </c>
      <c r="C105" s="5" t="s">
        <v>208</v>
      </c>
      <c r="D105" s="5" t="s">
        <v>23</v>
      </c>
      <c r="E105" s="5" t="s">
        <v>355</v>
      </c>
      <c r="F105" s="5" t="s">
        <v>43</v>
      </c>
      <c r="G105" s="5" t="s">
        <v>17</v>
      </c>
      <c r="H105" s="8" t="s">
        <v>356</v>
      </c>
      <c r="I105" s="5" t="s">
        <v>81</v>
      </c>
      <c r="J105" s="5">
        <v>166.67</v>
      </c>
      <c r="K105" s="5" t="s">
        <v>357</v>
      </c>
      <c r="L105" s="7">
        <v>0</v>
      </c>
    </row>
    <row r="106" spans="1:31" ht="15.75" customHeight="1" x14ac:dyDescent="0.2">
      <c r="A106" s="5">
        <v>2013</v>
      </c>
      <c r="B106" s="5" t="s">
        <v>113</v>
      </c>
      <c r="C106" s="5" t="s">
        <v>114</v>
      </c>
      <c r="D106" s="5" t="s">
        <v>29</v>
      </c>
      <c r="E106" s="5" t="s">
        <v>358</v>
      </c>
      <c r="F106" s="5" t="s">
        <v>43</v>
      </c>
      <c r="G106" s="5" t="s">
        <v>17</v>
      </c>
      <c r="H106" s="5" t="s">
        <v>359</v>
      </c>
      <c r="I106" s="5" t="s">
        <v>81</v>
      </c>
      <c r="J106" s="17">
        <v>138</v>
      </c>
      <c r="K106" s="5" t="s">
        <v>360</v>
      </c>
      <c r="L106" s="7">
        <v>1</v>
      </c>
    </row>
    <row r="107" spans="1:31" ht="15.75" customHeight="1" x14ac:dyDescent="0.2">
      <c r="A107" s="5">
        <v>2013</v>
      </c>
      <c r="B107" s="5" t="s">
        <v>113</v>
      </c>
      <c r="C107" s="5" t="s">
        <v>114</v>
      </c>
      <c r="D107" s="5" t="s">
        <v>29</v>
      </c>
      <c r="E107" s="5" t="s">
        <v>361</v>
      </c>
      <c r="F107" s="5" t="s">
        <v>43</v>
      </c>
      <c r="G107" s="5" t="s">
        <v>17</v>
      </c>
      <c r="H107" s="9" t="s">
        <v>362</v>
      </c>
      <c r="I107" s="5" t="s">
        <v>19</v>
      </c>
      <c r="J107" s="14">
        <v>317.459</v>
      </c>
      <c r="K107" s="5" t="s">
        <v>363</v>
      </c>
      <c r="L107" s="7">
        <v>1</v>
      </c>
    </row>
    <row r="108" spans="1:31" ht="15.75" customHeight="1" x14ac:dyDescent="0.2">
      <c r="A108" s="5">
        <v>2013</v>
      </c>
      <c r="B108" s="5" t="s">
        <v>113</v>
      </c>
      <c r="C108" s="5" t="s">
        <v>114</v>
      </c>
      <c r="D108" s="5" t="s">
        <v>29</v>
      </c>
      <c r="E108" s="5" t="s">
        <v>364</v>
      </c>
      <c r="F108" s="5" t="s">
        <v>43</v>
      </c>
      <c r="G108" s="5" t="s">
        <v>17</v>
      </c>
      <c r="H108" s="9" t="s">
        <v>314</v>
      </c>
      <c r="I108" s="5" t="s">
        <v>81</v>
      </c>
      <c r="J108" s="13">
        <v>318</v>
      </c>
      <c r="K108" s="5" t="s">
        <v>365</v>
      </c>
      <c r="L108" s="7">
        <v>1</v>
      </c>
    </row>
    <row r="109" spans="1:31" ht="15.75" customHeight="1" x14ac:dyDescent="0.2">
      <c r="A109" s="5">
        <v>2013</v>
      </c>
      <c r="B109" s="5" t="s">
        <v>113</v>
      </c>
      <c r="C109" s="5" t="s">
        <v>114</v>
      </c>
      <c r="D109" s="5" t="s">
        <v>29</v>
      </c>
      <c r="E109" s="5" t="s">
        <v>366</v>
      </c>
      <c r="F109" s="5" t="s">
        <v>43</v>
      </c>
      <c r="G109" s="5" t="s">
        <v>17</v>
      </c>
      <c r="H109" s="5" t="s">
        <v>18</v>
      </c>
      <c r="I109" s="5" t="s">
        <v>81</v>
      </c>
      <c r="J109" s="14">
        <v>700</v>
      </c>
      <c r="K109" s="5" t="s">
        <v>367</v>
      </c>
      <c r="L109" s="7">
        <v>1</v>
      </c>
    </row>
    <row r="110" spans="1:31" ht="15.75" customHeight="1" x14ac:dyDescent="0.2">
      <c r="A110" s="5">
        <v>2013</v>
      </c>
      <c r="B110" s="5" t="s">
        <v>77</v>
      </c>
      <c r="C110" s="5" t="s">
        <v>78</v>
      </c>
      <c r="D110" s="5" t="s">
        <v>79</v>
      </c>
      <c r="E110" s="5" t="s">
        <v>368</v>
      </c>
      <c r="F110" s="5" t="s">
        <v>43</v>
      </c>
      <c r="G110" s="5" t="s">
        <v>17</v>
      </c>
      <c r="H110" s="5" t="s">
        <v>18</v>
      </c>
      <c r="I110" s="5" t="s">
        <v>81</v>
      </c>
      <c r="J110" s="5">
        <v>400</v>
      </c>
      <c r="K110" s="5" t="s">
        <v>369</v>
      </c>
      <c r="L110" s="7">
        <v>1</v>
      </c>
    </row>
    <row r="111" spans="1:31" ht="15.75" customHeight="1" x14ac:dyDescent="0.2">
      <c r="A111" s="5">
        <v>2013</v>
      </c>
      <c r="B111" s="5" t="s">
        <v>370</v>
      </c>
      <c r="C111" s="5" t="s">
        <v>371</v>
      </c>
      <c r="D111" s="5" t="s">
        <v>79</v>
      </c>
      <c r="E111" s="5" t="s">
        <v>372</v>
      </c>
      <c r="F111" s="5" t="s">
        <v>43</v>
      </c>
      <c r="G111" s="5" t="s">
        <v>17</v>
      </c>
      <c r="H111" s="5" t="s">
        <v>18</v>
      </c>
      <c r="I111" s="5" t="s">
        <v>19</v>
      </c>
      <c r="J111" s="5">
        <v>386</v>
      </c>
      <c r="K111" s="5" t="s">
        <v>373</v>
      </c>
      <c r="L111" s="7">
        <v>1</v>
      </c>
    </row>
    <row r="112" spans="1:31" ht="15.75" customHeight="1" x14ac:dyDescent="0.2">
      <c r="A112" s="5">
        <v>2013</v>
      </c>
      <c r="B112" s="5" t="s">
        <v>62</v>
      </c>
      <c r="C112" s="5" t="s">
        <v>63</v>
      </c>
      <c r="D112" s="5" t="s">
        <v>29</v>
      </c>
      <c r="E112" s="5" t="s">
        <v>374</v>
      </c>
      <c r="F112" s="5" t="s">
        <v>25</v>
      </c>
      <c r="G112" s="5" t="s">
        <v>17</v>
      </c>
      <c r="H112" s="9" t="s">
        <v>375</v>
      </c>
      <c r="I112" s="5" t="s">
        <v>81</v>
      </c>
      <c r="J112" s="5">
        <v>660</v>
      </c>
      <c r="K112" s="5" t="s">
        <v>376</v>
      </c>
      <c r="L112" s="7">
        <v>1</v>
      </c>
    </row>
    <row r="113" spans="1:31" ht="15.75" customHeight="1" x14ac:dyDescent="0.2">
      <c r="A113" s="5">
        <v>2013</v>
      </c>
      <c r="B113" s="5" t="s">
        <v>377</v>
      </c>
      <c r="C113" s="5" t="s">
        <v>378</v>
      </c>
      <c r="D113" s="5" t="s">
        <v>14</v>
      </c>
      <c r="E113" s="5" t="s">
        <v>379</v>
      </c>
      <c r="F113" s="5" t="s">
        <v>25</v>
      </c>
      <c r="G113" s="5" t="s">
        <v>17</v>
      </c>
      <c r="H113" s="5" t="s">
        <v>18</v>
      </c>
      <c r="I113" s="5" t="s">
        <v>19</v>
      </c>
      <c r="J113" s="9">
        <v>415</v>
      </c>
      <c r="K113" s="5" t="s">
        <v>380</v>
      </c>
      <c r="L113" s="7">
        <v>1</v>
      </c>
    </row>
    <row r="114" spans="1:31" ht="15.75" customHeight="1" x14ac:dyDescent="0.2">
      <c r="A114" s="19">
        <v>2013</v>
      </c>
      <c r="B114" s="16" t="s">
        <v>381</v>
      </c>
      <c r="C114" s="11" t="s">
        <v>382</v>
      </c>
      <c r="D114" s="16" t="s">
        <v>97</v>
      </c>
      <c r="E114" s="16" t="s">
        <v>91</v>
      </c>
      <c r="F114" s="16" t="s">
        <v>54</v>
      </c>
      <c r="G114" s="16" t="s">
        <v>119</v>
      </c>
      <c r="H114" s="16" t="s">
        <v>383</v>
      </c>
      <c r="I114" s="16" t="s">
        <v>19</v>
      </c>
      <c r="J114" s="16">
        <v>1000</v>
      </c>
      <c r="K114" s="16" t="s">
        <v>384</v>
      </c>
      <c r="L114" s="7">
        <v>0</v>
      </c>
    </row>
    <row r="115" spans="1:31" ht="15.75" customHeight="1" x14ac:dyDescent="0.2">
      <c r="A115" s="5">
        <v>2013</v>
      </c>
      <c r="B115" s="5" t="s">
        <v>290</v>
      </c>
      <c r="C115" s="5" t="s">
        <v>291</v>
      </c>
      <c r="D115" s="5" t="s">
        <v>14</v>
      </c>
      <c r="E115" s="5" t="s">
        <v>385</v>
      </c>
      <c r="F115" s="5" t="s">
        <v>91</v>
      </c>
      <c r="G115" s="5" t="s">
        <v>92</v>
      </c>
      <c r="H115" s="5" t="s">
        <v>18</v>
      </c>
      <c r="I115" s="5" t="s">
        <v>19</v>
      </c>
      <c r="J115" s="5">
        <v>73.3</v>
      </c>
      <c r="K115" s="5" t="s">
        <v>386</v>
      </c>
      <c r="L115" s="7">
        <v>1</v>
      </c>
    </row>
    <row r="116" spans="1:31" ht="15.75" customHeight="1" x14ac:dyDescent="0.2">
      <c r="A116" s="9">
        <v>2013</v>
      </c>
      <c r="B116" s="5" t="s">
        <v>34</v>
      </c>
      <c r="C116" s="5" t="s">
        <v>35</v>
      </c>
      <c r="D116" s="5" t="s">
        <v>14</v>
      </c>
      <c r="E116" s="5" t="s">
        <v>91</v>
      </c>
      <c r="F116" s="5" t="s">
        <v>91</v>
      </c>
      <c r="G116" s="5" t="s">
        <v>92</v>
      </c>
      <c r="H116" s="5" t="s">
        <v>18</v>
      </c>
      <c r="I116" s="5" t="s">
        <v>19</v>
      </c>
      <c r="J116" s="5">
        <v>500</v>
      </c>
      <c r="K116" s="5" t="s">
        <v>387</v>
      </c>
      <c r="L116" s="7">
        <v>1</v>
      </c>
    </row>
    <row r="117" spans="1:31" ht="15.75" customHeight="1" x14ac:dyDescent="0.2">
      <c r="A117" s="5">
        <v>2013</v>
      </c>
      <c r="B117" s="5" t="s">
        <v>34</v>
      </c>
      <c r="C117" s="5" t="s">
        <v>35</v>
      </c>
      <c r="D117" s="5" t="s">
        <v>14</v>
      </c>
      <c r="E117" s="5" t="s">
        <v>388</v>
      </c>
      <c r="F117" s="5" t="s">
        <v>25</v>
      </c>
      <c r="G117" s="5" t="s">
        <v>17</v>
      </c>
      <c r="H117" s="5" t="s">
        <v>18</v>
      </c>
      <c r="I117" s="5" t="s">
        <v>19</v>
      </c>
      <c r="J117" s="5">
        <f>1300*0.75</f>
        <v>975</v>
      </c>
      <c r="K117" s="5" t="s">
        <v>389</v>
      </c>
      <c r="L117" s="7">
        <v>1</v>
      </c>
    </row>
    <row r="118" spans="1:31" ht="15.75" customHeight="1" x14ac:dyDescent="0.2">
      <c r="A118" s="5">
        <v>2013</v>
      </c>
      <c r="B118" s="5" t="s">
        <v>174</v>
      </c>
      <c r="C118" s="5" t="s">
        <v>175</v>
      </c>
      <c r="D118" s="5" t="s">
        <v>79</v>
      </c>
      <c r="E118" s="5" t="s">
        <v>390</v>
      </c>
      <c r="F118" s="5" t="s">
        <v>43</v>
      </c>
      <c r="G118" s="5" t="s">
        <v>57</v>
      </c>
      <c r="H118" s="8" t="s">
        <v>391</v>
      </c>
      <c r="I118" s="5" t="s">
        <v>81</v>
      </c>
      <c r="J118" s="5">
        <v>2000</v>
      </c>
      <c r="K118" s="5" t="s">
        <v>392</v>
      </c>
      <c r="L118" s="7">
        <v>1</v>
      </c>
    </row>
    <row r="119" spans="1:31" ht="15.75" customHeight="1" x14ac:dyDescent="0.2">
      <c r="A119" s="5">
        <v>2013</v>
      </c>
      <c r="B119" s="5" t="s">
        <v>393</v>
      </c>
      <c r="C119" s="5" t="s">
        <v>394</v>
      </c>
      <c r="D119" s="5" t="s">
        <v>14</v>
      </c>
      <c r="E119" s="5" t="s">
        <v>395</v>
      </c>
      <c r="F119" s="5" t="s">
        <v>25</v>
      </c>
      <c r="G119" s="5" t="s">
        <v>17</v>
      </c>
      <c r="H119" s="5" t="s">
        <v>18</v>
      </c>
      <c r="I119" s="5" t="s">
        <v>19</v>
      </c>
      <c r="J119" s="8">
        <v>1435</v>
      </c>
      <c r="K119" s="5" t="s">
        <v>396</v>
      </c>
      <c r="L119" s="7">
        <v>1</v>
      </c>
    </row>
    <row r="120" spans="1:31" ht="15.75" customHeight="1" x14ac:dyDescent="0.2">
      <c r="A120" s="5">
        <v>2013</v>
      </c>
      <c r="B120" s="5" t="s">
        <v>117</v>
      </c>
      <c r="C120" s="5" t="s">
        <v>118</v>
      </c>
      <c r="D120" s="5" t="s">
        <v>79</v>
      </c>
      <c r="E120" s="5" t="s">
        <v>397</v>
      </c>
      <c r="F120" s="5" t="s">
        <v>43</v>
      </c>
      <c r="G120" s="5" t="s">
        <v>17</v>
      </c>
      <c r="H120" s="9" t="s">
        <v>18</v>
      </c>
      <c r="I120" s="5" t="s">
        <v>19</v>
      </c>
      <c r="J120" s="5">
        <v>166</v>
      </c>
      <c r="K120" s="5" t="s">
        <v>398</v>
      </c>
      <c r="L120" s="7">
        <v>1</v>
      </c>
    </row>
    <row r="121" spans="1:31" ht="15.75" customHeight="1" x14ac:dyDescent="0.2">
      <c r="A121" s="9">
        <v>2011</v>
      </c>
      <c r="B121" s="5" t="s">
        <v>399</v>
      </c>
      <c r="C121" s="5" t="s">
        <v>400</v>
      </c>
      <c r="D121" s="5" t="s">
        <v>97</v>
      </c>
      <c r="E121" s="5" t="s">
        <v>401</v>
      </c>
      <c r="F121" s="5" t="s">
        <v>54</v>
      </c>
      <c r="G121" s="5" t="s">
        <v>119</v>
      </c>
      <c r="H121" s="5" t="s">
        <v>402</v>
      </c>
      <c r="I121" s="5" t="s">
        <v>81</v>
      </c>
      <c r="J121" s="9">
        <v>1500</v>
      </c>
      <c r="K121" s="5" t="s">
        <v>403</v>
      </c>
      <c r="L121" s="7">
        <v>1</v>
      </c>
    </row>
    <row r="122" spans="1:31" ht="15.75" customHeight="1" x14ac:dyDescent="0.2">
      <c r="A122" s="5">
        <v>2013</v>
      </c>
      <c r="B122" s="5" t="s">
        <v>399</v>
      </c>
      <c r="C122" s="5" t="s">
        <v>400</v>
      </c>
      <c r="D122" s="5" t="s">
        <v>97</v>
      </c>
      <c r="E122" s="5" t="s">
        <v>404</v>
      </c>
      <c r="F122" s="5" t="s">
        <v>54</v>
      </c>
      <c r="G122" s="5" t="s">
        <v>119</v>
      </c>
      <c r="H122" s="5" t="s">
        <v>402</v>
      </c>
      <c r="I122" s="5" t="s">
        <v>81</v>
      </c>
      <c r="J122" s="5">
        <v>4000</v>
      </c>
      <c r="K122" s="5" t="s">
        <v>405</v>
      </c>
      <c r="L122" s="7">
        <v>1</v>
      </c>
    </row>
    <row r="123" spans="1:31" ht="15.75" customHeight="1" x14ac:dyDescent="0.2">
      <c r="A123" s="5">
        <v>2013</v>
      </c>
      <c r="B123" s="5" t="s">
        <v>40</v>
      </c>
      <c r="C123" s="5" t="s">
        <v>41</v>
      </c>
      <c r="D123" s="5" t="s">
        <v>29</v>
      </c>
      <c r="E123" s="5" t="s">
        <v>239</v>
      </c>
      <c r="F123" s="5" t="s">
        <v>43</v>
      </c>
      <c r="G123" s="5" t="s">
        <v>17</v>
      </c>
      <c r="H123" s="5" t="s">
        <v>298</v>
      </c>
      <c r="I123" s="5" t="s">
        <v>81</v>
      </c>
      <c r="J123" s="5">
        <v>27.89</v>
      </c>
      <c r="K123" s="5" t="s">
        <v>406</v>
      </c>
      <c r="L123" s="7">
        <v>1</v>
      </c>
    </row>
    <row r="124" spans="1:31" ht="15.75" customHeight="1" x14ac:dyDescent="0.2">
      <c r="A124" s="5">
        <v>2013</v>
      </c>
      <c r="B124" s="5" t="s">
        <v>407</v>
      </c>
      <c r="C124" s="5" t="s">
        <v>408</v>
      </c>
      <c r="D124" s="5" t="s">
        <v>14</v>
      </c>
      <c r="E124" s="5" t="s">
        <v>91</v>
      </c>
      <c r="F124" s="5" t="s">
        <v>25</v>
      </c>
      <c r="G124" s="5" t="s">
        <v>17</v>
      </c>
      <c r="H124" s="5" t="s">
        <v>18</v>
      </c>
      <c r="I124" s="5" t="s">
        <v>19</v>
      </c>
      <c r="J124" s="5">
        <v>320</v>
      </c>
      <c r="K124" s="5" t="s">
        <v>409</v>
      </c>
      <c r="L124" s="7">
        <v>1</v>
      </c>
    </row>
    <row r="125" spans="1:31" ht="15.75" customHeight="1" x14ac:dyDescent="0.2">
      <c r="A125" s="5">
        <v>2014</v>
      </c>
      <c r="B125" s="5" t="s">
        <v>410</v>
      </c>
      <c r="C125" s="5" t="s">
        <v>411</v>
      </c>
      <c r="D125" s="5" t="s">
        <v>14</v>
      </c>
      <c r="E125" s="5" t="s">
        <v>91</v>
      </c>
      <c r="F125" s="5" t="s">
        <v>54</v>
      </c>
      <c r="G125" s="5" t="s">
        <v>119</v>
      </c>
      <c r="H125" s="9" t="s">
        <v>18</v>
      </c>
      <c r="I125" s="5" t="s">
        <v>81</v>
      </c>
      <c r="J125" s="5">
        <v>2000</v>
      </c>
      <c r="K125" s="5" t="s">
        <v>412</v>
      </c>
      <c r="L125" s="7">
        <v>1</v>
      </c>
    </row>
    <row r="126" spans="1:31" ht="15.75" customHeight="1" x14ac:dyDescent="0.2">
      <c r="A126" s="5">
        <v>2014</v>
      </c>
      <c r="B126" s="5" t="s">
        <v>302</v>
      </c>
      <c r="C126" s="5" t="s">
        <v>303</v>
      </c>
      <c r="D126" s="5" t="s">
        <v>97</v>
      </c>
      <c r="E126" s="5" t="s">
        <v>413</v>
      </c>
      <c r="F126" s="5" t="s">
        <v>25</v>
      </c>
      <c r="G126" s="5" t="s">
        <v>17</v>
      </c>
      <c r="H126" s="5" t="s">
        <v>18</v>
      </c>
      <c r="I126" s="5" t="s">
        <v>81</v>
      </c>
      <c r="J126" s="9">
        <v>2500</v>
      </c>
      <c r="K126" s="5" t="s">
        <v>414</v>
      </c>
      <c r="L126" s="7">
        <v>0</v>
      </c>
    </row>
    <row r="127" spans="1:31" s="23" customFormat="1" ht="13.5" customHeight="1" x14ac:dyDescent="0.2">
      <c r="A127" s="5">
        <v>2014</v>
      </c>
      <c r="B127" s="5" t="s">
        <v>201</v>
      </c>
      <c r="C127" s="5" t="s">
        <v>202</v>
      </c>
      <c r="D127" s="5" t="s">
        <v>97</v>
      </c>
      <c r="E127" s="5" t="s">
        <v>415</v>
      </c>
      <c r="F127" s="5" t="s">
        <v>25</v>
      </c>
      <c r="G127" s="5" t="s">
        <v>92</v>
      </c>
      <c r="H127" s="5" t="s">
        <v>18</v>
      </c>
      <c r="I127" s="5" t="s">
        <v>19</v>
      </c>
      <c r="J127" s="5">
        <v>509</v>
      </c>
      <c r="K127" s="5" t="s">
        <v>416</v>
      </c>
      <c r="L127" s="7">
        <v>1</v>
      </c>
      <c r="M127" s="12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</row>
    <row r="128" spans="1:31" ht="15.75" customHeight="1" x14ac:dyDescent="0.2">
      <c r="A128" s="5">
        <v>2014</v>
      </c>
      <c r="B128" s="5" t="s">
        <v>113</v>
      </c>
      <c r="C128" s="5" t="s">
        <v>114</v>
      </c>
      <c r="D128" s="5" t="s">
        <v>29</v>
      </c>
      <c r="E128" s="5" t="s">
        <v>417</v>
      </c>
      <c r="F128" s="5" t="s">
        <v>43</v>
      </c>
      <c r="G128" s="5" t="s">
        <v>17</v>
      </c>
      <c r="H128" s="5" t="s">
        <v>362</v>
      </c>
      <c r="I128" s="5" t="s">
        <v>19</v>
      </c>
      <c r="J128" s="14">
        <v>240.983</v>
      </c>
      <c r="K128" s="5" t="s">
        <v>418</v>
      </c>
      <c r="L128" s="7">
        <v>1</v>
      </c>
    </row>
    <row r="129" spans="1:12" ht="15.75" customHeight="1" x14ac:dyDescent="0.2">
      <c r="A129" s="5">
        <v>2014</v>
      </c>
      <c r="B129" s="5" t="s">
        <v>62</v>
      </c>
      <c r="C129" s="5" t="s">
        <v>63</v>
      </c>
      <c r="D129" s="5" t="s">
        <v>29</v>
      </c>
      <c r="E129" s="5" t="s">
        <v>419</v>
      </c>
      <c r="F129" s="5" t="s">
        <v>25</v>
      </c>
      <c r="G129" s="5" t="s">
        <v>17</v>
      </c>
      <c r="H129" s="5" t="s">
        <v>18</v>
      </c>
      <c r="I129" s="5" t="s">
        <v>19</v>
      </c>
      <c r="J129" s="5">
        <v>50.73</v>
      </c>
      <c r="K129" s="5" t="s">
        <v>420</v>
      </c>
      <c r="L129" s="7">
        <v>1</v>
      </c>
    </row>
    <row r="130" spans="1:12" ht="15.75" customHeight="1" x14ac:dyDescent="0.2">
      <c r="A130" s="5">
        <v>2014</v>
      </c>
      <c r="B130" s="5" t="s">
        <v>377</v>
      </c>
      <c r="C130" s="5" t="s">
        <v>378</v>
      </c>
      <c r="D130" s="5" t="s">
        <v>14</v>
      </c>
      <c r="E130" s="5" t="s">
        <v>421</v>
      </c>
      <c r="F130" s="5" t="s">
        <v>25</v>
      </c>
      <c r="G130" s="5" t="s">
        <v>17</v>
      </c>
      <c r="H130" s="5" t="s">
        <v>18</v>
      </c>
      <c r="I130" s="5" t="s">
        <v>19</v>
      </c>
      <c r="J130" s="5">
        <v>99</v>
      </c>
      <c r="K130" s="5" t="s">
        <v>422</v>
      </c>
      <c r="L130" s="7">
        <v>1</v>
      </c>
    </row>
    <row r="131" spans="1:12" ht="15.75" customHeight="1" x14ac:dyDescent="0.2">
      <c r="A131" s="5">
        <v>2014</v>
      </c>
      <c r="B131" s="5" t="s">
        <v>30</v>
      </c>
      <c r="C131" s="5" t="s">
        <v>31</v>
      </c>
      <c r="D131" s="5" t="s">
        <v>14</v>
      </c>
      <c r="E131" s="5" t="s">
        <v>423</v>
      </c>
      <c r="F131" s="5" t="s">
        <v>43</v>
      </c>
      <c r="G131" s="5" t="s">
        <v>17</v>
      </c>
      <c r="H131" s="5" t="s">
        <v>424</v>
      </c>
      <c r="I131" s="5" t="s">
        <v>19</v>
      </c>
      <c r="J131" s="5">
        <v>300</v>
      </c>
      <c r="K131" s="5" t="s">
        <v>425</v>
      </c>
      <c r="L131" s="7">
        <v>1</v>
      </c>
    </row>
    <row r="132" spans="1:12" ht="15.75" customHeight="1" x14ac:dyDescent="0.2">
      <c r="A132" s="8">
        <v>2014</v>
      </c>
      <c r="B132" s="8" t="s">
        <v>286</v>
      </c>
      <c r="C132" s="8" t="s">
        <v>287</v>
      </c>
      <c r="D132" s="8" t="s">
        <v>23</v>
      </c>
      <c r="E132" s="8" t="s">
        <v>426</v>
      </c>
      <c r="F132" s="8" t="s">
        <v>25</v>
      </c>
      <c r="G132" s="8" t="s">
        <v>17</v>
      </c>
      <c r="H132" s="8" t="s">
        <v>427</v>
      </c>
      <c r="I132" s="8" t="s">
        <v>19</v>
      </c>
      <c r="J132" s="8">
        <v>165.9</v>
      </c>
      <c r="K132" s="8" t="s">
        <v>428</v>
      </c>
      <c r="L132" s="7">
        <v>1</v>
      </c>
    </row>
    <row r="133" spans="1:12" ht="15.75" customHeight="1" x14ac:dyDescent="0.2">
      <c r="A133" s="8">
        <v>2014</v>
      </c>
      <c r="B133" s="8" t="s">
        <v>21</v>
      </c>
      <c r="C133" s="8" t="s">
        <v>22</v>
      </c>
      <c r="D133" s="8" t="s">
        <v>23</v>
      </c>
      <c r="E133" s="8" t="s">
        <v>429</v>
      </c>
      <c r="F133" s="8" t="s">
        <v>69</v>
      </c>
      <c r="G133" s="8" t="s">
        <v>17</v>
      </c>
      <c r="H133" s="8" t="s">
        <v>18</v>
      </c>
      <c r="I133" s="8" t="s">
        <v>19</v>
      </c>
      <c r="J133" s="8">
        <v>6500</v>
      </c>
      <c r="K133" s="8" t="s">
        <v>430</v>
      </c>
      <c r="L133" s="7">
        <v>1</v>
      </c>
    </row>
    <row r="134" spans="1:12" ht="15.75" customHeight="1" x14ac:dyDescent="0.2">
      <c r="A134" s="9">
        <v>2014</v>
      </c>
      <c r="B134" s="9" t="s">
        <v>319</v>
      </c>
      <c r="C134" s="9" t="s">
        <v>320</v>
      </c>
      <c r="D134" s="9" t="s">
        <v>79</v>
      </c>
      <c r="E134" s="9" t="s">
        <v>431</v>
      </c>
      <c r="F134" s="9" t="s">
        <v>43</v>
      </c>
      <c r="G134" s="9" t="s">
        <v>17</v>
      </c>
      <c r="H134" s="9" t="s">
        <v>18</v>
      </c>
      <c r="I134" s="9" t="s">
        <v>19</v>
      </c>
      <c r="J134" s="9">
        <v>608</v>
      </c>
      <c r="K134" s="9" t="s">
        <v>432</v>
      </c>
      <c r="L134" s="7">
        <v>1</v>
      </c>
    </row>
    <row r="135" spans="1:12" ht="15.75" customHeight="1" x14ac:dyDescent="0.2">
      <c r="A135" s="8">
        <v>2014</v>
      </c>
      <c r="B135" s="8" t="s">
        <v>88</v>
      </c>
      <c r="C135" s="8" t="s">
        <v>89</v>
      </c>
      <c r="D135" s="8" t="s">
        <v>79</v>
      </c>
      <c r="E135" s="8" t="s">
        <v>433</v>
      </c>
      <c r="F135" s="8" t="s">
        <v>43</v>
      </c>
      <c r="G135" s="8" t="s">
        <v>17</v>
      </c>
      <c r="H135" s="8" t="s">
        <v>434</v>
      </c>
      <c r="I135" s="8" t="s">
        <v>19</v>
      </c>
      <c r="J135" s="8">
        <f>349-17.4</f>
        <v>331.6</v>
      </c>
      <c r="K135" s="8" t="s">
        <v>435</v>
      </c>
      <c r="L135" s="7">
        <v>1</v>
      </c>
    </row>
    <row r="136" spans="1:12" ht="15.75" customHeight="1" x14ac:dyDescent="0.2">
      <c r="A136" s="5">
        <v>2014</v>
      </c>
      <c r="B136" s="5" t="s">
        <v>40</v>
      </c>
      <c r="C136" s="5" t="s">
        <v>41</v>
      </c>
      <c r="D136" s="5" t="s">
        <v>29</v>
      </c>
      <c r="E136" s="5" t="s">
        <v>190</v>
      </c>
      <c r="F136" s="5" t="s">
        <v>43</v>
      </c>
      <c r="G136" s="5" t="s">
        <v>17</v>
      </c>
      <c r="H136" s="5" t="s">
        <v>436</v>
      </c>
      <c r="I136" s="5" t="s">
        <v>81</v>
      </c>
      <c r="J136" s="5">
        <v>645</v>
      </c>
      <c r="K136" s="5" t="s">
        <v>437</v>
      </c>
      <c r="L136" s="7">
        <v>1</v>
      </c>
    </row>
    <row r="137" spans="1:12" ht="15.75" customHeight="1" x14ac:dyDescent="0.2">
      <c r="A137" s="9">
        <v>2014</v>
      </c>
      <c r="B137" s="9" t="s">
        <v>40</v>
      </c>
      <c r="C137" s="9" t="s">
        <v>41</v>
      </c>
      <c r="D137" s="9" t="s">
        <v>29</v>
      </c>
      <c r="E137" s="9" t="s">
        <v>239</v>
      </c>
      <c r="F137" s="9" t="s">
        <v>43</v>
      </c>
      <c r="G137" s="9" t="s">
        <v>17</v>
      </c>
      <c r="H137" s="9" t="s">
        <v>438</v>
      </c>
      <c r="I137" s="9" t="s">
        <v>211</v>
      </c>
      <c r="J137" s="9">
        <f>1755*0.8</f>
        <v>1404</v>
      </c>
      <c r="K137" s="9" t="s">
        <v>439</v>
      </c>
      <c r="L137" s="7">
        <v>1</v>
      </c>
    </row>
    <row r="138" spans="1:12" ht="15.75" customHeight="1" x14ac:dyDescent="0.2">
      <c r="A138" s="5">
        <v>2014</v>
      </c>
      <c r="B138" s="5" t="s">
        <v>242</v>
      </c>
      <c r="C138" s="5" t="s">
        <v>243</v>
      </c>
      <c r="D138" s="5" t="s">
        <v>14</v>
      </c>
      <c r="E138" s="5" t="s">
        <v>440</v>
      </c>
      <c r="F138" s="5" t="s">
        <v>91</v>
      </c>
      <c r="G138" s="5" t="s">
        <v>92</v>
      </c>
      <c r="H138" s="5" t="s">
        <v>18</v>
      </c>
      <c r="I138" s="5" t="s">
        <v>19</v>
      </c>
      <c r="J138" s="5">
        <v>41</v>
      </c>
      <c r="K138" s="5" t="s">
        <v>441</v>
      </c>
      <c r="L138" s="7">
        <v>1</v>
      </c>
    </row>
    <row r="139" spans="1:12" ht="15.75" customHeight="1" x14ac:dyDescent="0.2">
      <c r="A139" s="8">
        <v>2015</v>
      </c>
      <c r="B139" s="8" t="s">
        <v>442</v>
      </c>
      <c r="C139" s="8" t="s">
        <v>443</v>
      </c>
      <c r="D139" s="8" t="s">
        <v>14</v>
      </c>
      <c r="E139" s="8" t="s">
        <v>444</v>
      </c>
      <c r="F139" s="8" t="s">
        <v>25</v>
      </c>
      <c r="G139" s="8" t="s">
        <v>17</v>
      </c>
      <c r="H139" s="8" t="s">
        <v>18</v>
      </c>
      <c r="I139" s="8" t="s">
        <v>19</v>
      </c>
      <c r="J139" s="8">
        <v>550</v>
      </c>
      <c r="K139" s="8" t="s">
        <v>445</v>
      </c>
      <c r="L139" s="7">
        <v>1</v>
      </c>
    </row>
    <row r="140" spans="1:12" ht="15.75" customHeight="1" x14ac:dyDescent="0.2">
      <c r="A140" s="5">
        <v>2015</v>
      </c>
      <c r="B140" s="5" t="s">
        <v>95</v>
      </c>
      <c r="C140" s="5" t="s">
        <v>96</v>
      </c>
      <c r="D140" s="5" t="s">
        <v>97</v>
      </c>
      <c r="E140" s="5" t="s">
        <v>91</v>
      </c>
      <c r="F140" s="5" t="s">
        <v>54</v>
      </c>
      <c r="G140" s="5" t="s">
        <v>119</v>
      </c>
      <c r="H140" s="5" t="s">
        <v>446</v>
      </c>
      <c r="I140" s="5" t="s">
        <v>81</v>
      </c>
      <c r="J140" s="5">
        <v>1500</v>
      </c>
      <c r="K140" s="5" t="s">
        <v>447</v>
      </c>
      <c r="L140" s="7">
        <v>0</v>
      </c>
    </row>
    <row r="141" spans="1:12" ht="15.75" customHeight="1" x14ac:dyDescent="0.2">
      <c r="A141" s="9">
        <v>2015</v>
      </c>
      <c r="B141" s="9" t="s">
        <v>95</v>
      </c>
      <c r="C141" s="9" t="s">
        <v>96</v>
      </c>
      <c r="D141" s="9" t="s">
        <v>97</v>
      </c>
      <c r="E141" s="9" t="s">
        <v>91</v>
      </c>
      <c r="F141" s="9" t="s">
        <v>54</v>
      </c>
      <c r="G141" s="9" t="s">
        <v>119</v>
      </c>
      <c r="H141" s="9" t="s">
        <v>127</v>
      </c>
      <c r="I141" s="9" t="s">
        <v>19</v>
      </c>
      <c r="J141" s="9">
        <v>3150</v>
      </c>
      <c r="K141" s="9" t="s">
        <v>448</v>
      </c>
      <c r="L141" s="7">
        <v>0</v>
      </c>
    </row>
    <row r="142" spans="1:12" ht="15.75" customHeight="1" x14ac:dyDescent="0.2">
      <c r="A142" s="5">
        <v>2015</v>
      </c>
      <c r="B142" s="5" t="s">
        <v>95</v>
      </c>
      <c r="C142" s="5" t="s">
        <v>96</v>
      </c>
      <c r="D142" s="5" t="s">
        <v>97</v>
      </c>
      <c r="E142" s="5" t="s">
        <v>91</v>
      </c>
      <c r="F142" s="5" t="s">
        <v>54</v>
      </c>
      <c r="G142" s="5" t="s">
        <v>119</v>
      </c>
      <c r="H142" s="5" t="s">
        <v>127</v>
      </c>
      <c r="I142" s="5" t="s">
        <v>81</v>
      </c>
      <c r="J142" s="5">
        <v>3500</v>
      </c>
      <c r="K142" s="5" t="s">
        <v>177</v>
      </c>
      <c r="L142" s="7">
        <v>0</v>
      </c>
    </row>
    <row r="143" spans="1:12" ht="15.75" customHeight="1" x14ac:dyDescent="0.2">
      <c r="A143" s="9">
        <v>2015</v>
      </c>
      <c r="B143" s="9" t="s">
        <v>449</v>
      </c>
      <c r="C143" s="9" t="s">
        <v>450</v>
      </c>
      <c r="D143" s="9" t="s">
        <v>97</v>
      </c>
      <c r="E143" s="9" t="s">
        <v>451</v>
      </c>
      <c r="F143" s="9" t="s">
        <v>452</v>
      </c>
      <c r="G143" s="9" t="s">
        <v>17</v>
      </c>
      <c r="H143" s="9" t="s">
        <v>18</v>
      </c>
      <c r="I143" s="9" t="s">
        <v>19</v>
      </c>
      <c r="J143" s="9">
        <v>60</v>
      </c>
      <c r="K143" s="9" t="s">
        <v>453</v>
      </c>
      <c r="L143" s="7">
        <v>1</v>
      </c>
    </row>
    <row r="144" spans="1:12" ht="15.75" customHeight="1" x14ac:dyDescent="0.2">
      <c r="A144" s="5">
        <v>2015</v>
      </c>
      <c r="B144" s="5" t="s">
        <v>201</v>
      </c>
      <c r="C144" s="5" t="s">
        <v>202</v>
      </c>
      <c r="D144" s="5" t="s">
        <v>97</v>
      </c>
      <c r="E144" s="5" t="s">
        <v>454</v>
      </c>
      <c r="F144" s="5" t="s">
        <v>91</v>
      </c>
      <c r="G144" s="5" t="s">
        <v>329</v>
      </c>
      <c r="H144" s="8" t="s">
        <v>18</v>
      </c>
      <c r="I144" s="8" t="s">
        <v>19</v>
      </c>
      <c r="J144" s="5">
        <v>250</v>
      </c>
      <c r="K144" s="5" t="s">
        <v>455</v>
      </c>
      <c r="L144" s="7">
        <v>1</v>
      </c>
    </row>
    <row r="145" spans="1:12" ht="15.75" customHeight="1" x14ac:dyDescent="0.2">
      <c r="A145" s="5">
        <v>2015</v>
      </c>
      <c r="B145" s="5" t="s">
        <v>105</v>
      </c>
      <c r="C145" s="5" t="s">
        <v>106</v>
      </c>
      <c r="D145" s="5" t="s">
        <v>14</v>
      </c>
      <c r="E145" s="5" t="s">
        <v>456</v>
      </c>
      <c r="F145" s="5" t="s">
        <v>25</v>
      </c>
      <c r="G145" s="5" t="s">
        <v>92</v>
      </c>
      <c r="H145" s="5" t="s">
        <v>18</v>
      </c>
      <c r="I145" s="5" t="s">
        <v>19</v>
      </c>
      <c r="J145" s="5">
        <v>250</v>
      </c>
      <c r="K145" s="5" t="s">
        <v>457</v>
      </c>
      <c r="L145" s="7">
        <v>1</v>
      </c>
    </row>
    <row r="146" spans="1:12" ht="15.75" customHeight="1" x14ac:dyDescent="0.2">
      <c r="A146" s="5">
        <v>2015</v>
      </c>
      <c r="B146" s="5" t="s">
        <v>113</v>
      </c>
      <c r="C146" s="5" t="s">
        <v>114</v>
      </c>
      <c r="D146" s="5" t="s">
        <v>29</v>
      </c>
      <c r="E146" s="5" t="s">
        <v>458</v>
      </c>
      <c r="F146" s="5" t="s">
        <v>43</v>
      </c>
      <c r="G146" s="5" t="s">
        <v>17</v>
      </c>
      <c r="H146" s="9" t="s">
        <v>459</v>
      </c>
      <c r="I146" s="9" t="s">
        <v>81</v>
      </c>
      <c r="J146" s="14">
        <v>150</v>
      </c>
      <c r="K146" s="5" t="s">
        <v>460</v>
      </c>
      <c r="L146" s="7">
        <v>1</v>
      </c>
    </row>
    <row r="147" spans="1:12" ht="15.75" customHeight="1" x14ac:dyDescent="0.2">
      <c r="A147" s="5">
        <v>2015</v>
      </c>
      <c r="B147" s="5" t="s">
        <v>113</v>
      </c>
      <c r="C147" s="5" t="s">
        <v>114</v>
      </c>
      <c r="D147" s="5" t="s">
        <v>29</v>
      </c>
      <c r="E147" s="18" t="s">
        <v>461</v>
      </c>
      <c r="F147" s="5" t="s">
        <v>43</v>
      </c>
      <c r="G147" s="5" t="s">
        <v>17</v>
      </c>
      <c r="H147" s="5" t="s">
        <v>314</v>
      </c>
      <c r="I147" s="5" t="s">
        <v>81</v>
      </c>
      <c r="J147" s="14">
        <v>500</v>
      </c>
      <c r="K147" s="5" t="s">
        <v>462</v>
      </c>
      <c r="L147" s="7">
        <v>1</v>
      </c>
    </row>
    <row r="148" spans="1:12" ht="15.75" customHeight="1" x14ac:dyDescent="0.2">
      <c r="A148" s="5">
        <v>2015</v>
      </c>
      <c r="B148" s="5" t="s">
        <v>113</v>
      </c>
      <c r="C148" s="5" t="s">
        <v>114</v>
      </c>
      <c r="D148" s="5" t="s">
        <v>29</v>
      </c>
      <c r="E148" s="5" t="s">
        <v>463</v>
      </c>
      <c r="F148" s="5" t="s">
        <v>43</v>
      </c>
      <c r="G148" s="5" t="s">
        <v>17</v>
      </c>
      <c r="H148" s="9" t="s">
        <v>464</v>
      </c>
      <c r="I148" s="9" t="s">
        <v>19</v>
      </c>
      <c r="J148" s="14">
        <v>1200</v>
      </c>
      <c r="K148" s="5" t="s">
        <v>465</v>
      </c>
      <c r="L148" s="7">
        <v>1</v>
      </c>
    </row>
    <row r="149" spans="1:12" ht="15.75" customHeight="1" x14ac:dyDescent="0.2">
      <c r="A149" s="8">
        <v>2015</v>
      </c>
      <c r="B149" s="5" t="s">
        <v>229</v>
      </c>
      <c r="C149" s="5" t="s">
        <v>230</v>
      </c>
      <c r="D149" s="5" t="s">
        <v>14</v>
      </c>
      <c r="E149" s="5" t="s">
        <v>91</v>
      </c>
      <c r="F149" s="5" t="s">
        <v>232</v>
      </c>
      <c r="G149" s="5" t="s">
        <v>119</v>
      </c>
      <c r="H149" s="5" t="s">
        <v>466</v>
      </c>
      <c r="I149" s="5" t="s">
        <v>19</v>
      </c>
      <c r="J149" s="5">
        <v>400</v>
      </c>
      <c r="K149" s="5" t="s">
        <v>467</v>
      </c>
      <c r="L149" s="7">
        <v>1</v>
      </c>
    </row>
    <row r="150" spans="1:12" ht="15.75" customHeight="1" x14ac:dyDescent="0.2">
      <c r="A150" s="16">
        <v>2015</v>
      </c>
      <c r="B150" s="16" t="s">
        <v>21</v>
      </c>
      <c r="C150" s="11" t="s">
        <v>22</v>
      </c>
      <c r="D150" s="16" t="s">
        <v>23</v>
      </c>
      <c r="E150" s="16" t="s">
        <v>468</v>
      </c>
      <c r="F150" s="16" t="s">
        <v>262</v>
      </c>
      <c r="G150" s="16" t="s">
        <v>17</v>
      </c>
      <c r="H150" s="16" t="s">
        <v>469</v>
      </c>
      <c r="I150" s="16" t="s">
        <v>81</v>
      </c>
      <c r="J150" s="16">
        <v>250</v>
      </c>
      <c r="K150" s="20" t="s">
        <v>470</v>
      </c>
      <c r="L150" s="7">
        <v>1</v>
      </c>
    </row>
    <row r="151" spans="1:12" ht="15.75" customHeight="1" x14ac:dyDescent="0.2">
      <c r="A151" s="9">
        <v>2015</v>
      </c>
      <c r="B151" s="5" t="s">
        <v>21</v>
      </c>
      <c r="C151" s="5" t="s">
        <v>22</v>
      </c>
      <c r="D151" s="5" t="s">
        <v>23</v>
      </c>
      <c r="E151" s="5" t="s">
        <v>471</v>
      </c>
      <c r="F151" s="5" t="s">
        <v>25</v>
      </c>
      <c r="G151" s="5" t="s">
        <v>17</v>
      </c>
      <c r="H151" s="5" t="s">
        <v>18</v>
      </c>
      <c r="I151" s="5" t="s">
        <v>19</v>
      </c>
      <c r="J151" s="8">
        <v>576</v>
      </c>
      <c r="K151" s="5" t="s">
        <v>472</v>
      </c>
      <c r="L151" s="7">
        <v>1</v>
      </c>
    </row>
    <row r="152" spans="1:12" ht="15.75" customHeight="1" x14ac:dyDescent="0.2">
      <c r="A152" s="5">
        <v>2015</v>
      </c>
      <c r="B152" s="5" t="s">
        <v>21</v>
      </c>
      <c r="C152" s="5" t="s">
        <v>22</v>
      </c>
      <c r="D152" s="5" t="s">
        <v>23</v>
      </c>
      <c r="E152" s="5" t="s">
        <v>473</v>
      </c>
      <c r="F152" s="5" t="s">
        <v>43</v>
      </c>
      <c r="G152" s="5" t="s">
        <v>17</v>
      </c>
      <c r="H152" s="5" t="s">
        <v>474</v>
      </c>
      <c r="I152" s="5" t="s">
        <v>81</v>
      </c>
      <c r="J152" s="5">
        <v>820</v>
      </c>
      <c r="K152" s="5" t="s">
        <v>475</v>
      </c>
      <c r="L152" s="7">
        <v>1</v>
      </c>
    </row>
    <row r="153" spans="1:12" ht="15.75" customHeight="1" x14ac:dyDescent="0.2">
      <c r="A153" s="9">
        <v>2017</v>
      </c>
      <c r="B153" s="5" t="s">
        <v>21</v>
      </c>
      <c r="C153" s="5" t="s">
        <v>22</v>
      </c>
      <c r="D153" s="5" t="s">
        <v>23</v>
      </c>
      <c r="E153" s="5" t="s">
        <v>476</v>
      </c>
      <c r="F153" s="5" t="s">
        <v>25</v>
      </c>
      <c r="G153" s="5" t="s">
        <v>17</v>
      </c>
      <c r="H153" s="5" t="s">
        <v>477</v>
      </c>
      <c r="I153" s="5" t="s">
        <v>19</v>
      </c>
      <c r="J153" s="9">
        <v>1350</v>
      </c>
      <c r="K153" s="5" t="s">
        <v>478</v>
      </c>
      <c r="L153" s="7">
        <v>1</v>
      </c>
    </row>
    <row r="154" spans="1:12" ht="15.75" customHeight="1" x14ac:dyDescent="0.2">
      <c r="A154" s="5">
        <v>2015</v>
      </c>
      <c r="B154" s="5" t="s">
        <v>21</v>
      </c>
      <c r="C154" s="5" t="s">
        <v>22</v>
      </c>
      <c r="D154" s="5" t="s">
        <v>23</v>
      </c>
      <c r="E154" s="5" t="s">
        <v>479</v>
      </c>
      <c r="F154" s="5" t="s">
        <v>226</v>
      </c>
      <c r="G154" s="5" t="s">
        <v>17</v>
      </c>
      <c r="H154" s="5" t="s">
        <v>18</v>
      </c>
      <c r="I154" s="5" t="s">
        <v>211</v>
      </c>
      <c r="J154" s="5">
        <v>1500</v>
      </c>
      <c r="K154" s="5" t="s">
        <v>480</v>
      </c>
      <c r="L154" s="7">
        <v>1</v>
      </c>
    </row>
    <row r="155" spans="1:12" ht="15.75" customHeight="1" x14ac:dyDescent="0.2">
      <c r="A155" s="8">
        <v>2015</v>
      </c>
      <c r="B155" s="8" t="s">
        <v>21</v>
      </c>
      <c r="C155" s="8" t="s">
        <v>22</v>
      </c>
      <c r="D155" s="8" t="s">
        <v>23</v>
      </c>
      <c r="E155" s="8" t="s">
        <v>481</v>
      </c>
      <c r="F155" s="8" t="s">
        <v>43</v>
      </c>
      <c r="G155" s="8" t="s">
        <v>17</v>
      </c>
      <c r="H155" s="8" t="s">
        <v>482</v>
      </c>
      <c r="I155" s="8" t="s">
        <v>19</v>
      </c>
      <c r="J155" s="8">
        <f>2085*0.75</f>
        <v>1563.75</v>
      </c>
      <c r="K155" s="8" t="s">
        <v>483</v>
      </c>
      <c r="L155" s="7">
        <v>1</v>
      </c>
    </row>
    <row r="156" spans="1:12" ht="15.75" customHeight="1" x14ac:dyDescent="0.2">
      <c r="A156" s="5">
        <v>2015</v>
      </c>
      <c r="B156" s="5" t="s">
        <v>21</v>
      </c>
      <c r="C156" s="5" t="s">
        <v>22</v>
      </c>
      <c r="D156" s="5" t="s">
        <v>23</v>
      </c>
      <c r="E156" s="5" t="s">
        <v>484</v>
      </c>
      <c r="F156" s="5" t="s">
        <v>16</v>
      </c>
      <c r="G156" s="5" t="s">
        <v>92</v>
      </c>
      <c r="H156" s="5" t="s">
        <v>18</v>
      </c>
      <c r="I156" s="5" t="s">
        <v>19</v>
      </c>
      <c r="J156" s="5">
        <v>2706</v>
      </c>
      <c r="K156" s="5" t="s">
        <v>485</v>
      </c>
      <c r="L156" s="7">
        <v>1</v>
      </c>
    </row>
    <row r="157" spans="1:12" ht="15.75" customHeight="1" x14ac:dyDescent="0.2">
      <c r="A157" s="8">
        <v>2015</v>
      </c>
      <c r="B157" s="9" t="s">
        <v>393</v>
      </c>
      <c r="C157" s="9" t="s">
        <v>394</v>
      </c>
      <c r="D157" s="9" t="s">
        <v>14</v>
      </c>
      <c r="E157" s="9" t="s">
        <v>395</v>
      </c>
      <c r="F157" s="9" t="s">
        <v>25</v>
      </c>
      <c r="G157" s="9" t="s">
        <v>17</v>
      </c>
      <c r="H157" s="8" t="s">
        <v>18</v>
      </c>
      <c r="I157" s="9" t="s">
        <v>19</v>
      </c>
      <c r="J157" s="9">
        <v>482.5</v>
      </c>
      <c r="K157" s="9" t="s">
        <v>486</v>
      </c>
      <c r="L157" s="7">
        <v>1</v>
      </c>
    </row>
    <row r="158" spans="1:12" ht="15.75" customHeight="1" x14ac:dyDescent="0.2">
      <c r="A158" s="5">
        <v>2015</v>
      </c>
      <c r="B158" s="5" t="s">
        <v>487</v>
      </c>
      <c r="C158" s="5" t="s">
        <v>488</v>
      </c>
      <c r="D158" s="5" t="s">
        <v>79</v>
      </c>
      <c r="E158" s="5" t="s">
        <v>489</v>
      </c>
      <c r="F158" s="5" t="s">
        <v>69</v>
      </c>
      <c r="G158" s="5" t="s">
        <v>17</v>
      </c>
      <c r="H158" s="8" t="s">
        <v>490</v>
      </c>
      <c r="I158" s="5" t="s">
        <v>81</v>
      </c>
      <c r="J158" s="5">
        <f>29*0.335*0.8*1000</f>
        <v>7772</v>
      </c>
      <c r="K158" s="5" t="s">
        <v>491</v>
      </c>
      <c r="L158" s="7">
        <v>0</v>
      </c>
    </row>
    <row r="159" spans="1:12" ht="15.75" customHeight="1" x14ac:dyDescent="0.2">
      <c r="A159" s="9">
        <v>2015</v>
      </c>
      <c r="B159" s="5" t="s">
        <v>242</v>
      </c>
      <c r="C159" s="5" t="s">
        <v>243</v>
      </c>
      <c r="D159" s="5" t="s">
        <v>14</v>
      </c>
      <c r="E159" s="5" t="s">
        <v>492</v>
      </c>
      <c r="F159" s="5" t="s">
        <v>25</v>
      </c>
      <c r="G159" s="5" t="s">
        <v>17</v>
      </c>
      <c r="H159" s="9" t="s">
        <v>18</v>
      </c>
      <c r="I159" s="5" t="s">
        <v>19</v>
      </c>
      <c r="J159" s="5">
        <v>1700</v>
      </c>
      <c r="K159" s="5" t="s">
        <v>493</v>
      </c>
      <c r="L159" s="7">
        <v>1</v>
      </c>
    </row>
    <row r="160" spans="1:12" ht="15.75" customHeight="1" x14ac:dyDescent="0.2">
      <c r="A160" s="9">
        <v>2018</v>
      </c>
      <c r="B160" s="5" t="s">
        <v>407</v>
      </c>
      <c r="C160" s="5" t="s">
        <v>408</v>
      </c>
      <c r="D160" s="5" t="s">
        <v>14</v>
      </c>
      <c r="E160" s="5" t="s">
        <v>494</v>
      </c>
      <c r="F160" s="5" t="s">
        <v>43</v>
      </c>
      <c r="G160" s="5" t="s">
        <v>17</v>
      </c>
      <c r="H160" s="9" t="s">
        <v>495</v>
      </c>
      <c r="I160" s="5" t="s">
        <v>19</v>
      </c>
      <c r="J160" s="5">
        <v>998</v>
      </c>
      <c r="K160" s="5" t="s">
        <v>496</v>
      </c>
      <c r="L160" s="7">
        <v>1</v>
      </c>
    </row>
    <row r="161" spans="1:12" ht="15.75" customHeight="1" x14ac:dyDescent="0.2">
      <c r="A161" s="5">
        <v>2016</v>
      </c>
      <c r="B161" s="5" t="s">
        <v>410</v>
      </c>
      <c r="C161" s="5" t="s">
        <v>411</v>
      </c>
      <c r="D161" s="5" t="s">
        <v>14</v>
      </c>
      <c r="E161" s="5" t="s">
        <v>91</v>
      </c>
      <c r="F161" s="5" t="s">
        <v>54</v>
      </c>
      <c r="G161" s="5" t="s">
        <v>119</v>
      </c>
      <c r="H161" s="9" t="s">
        <v>18</v>
      </c>
      <c r="I161" s="5" t="s">
        <v>81</v>
      </c>
      <c r="J161" s="5">
        <v>6900</v>
      </c>
      <c r="K161" s="5" t="s">
        <v>412</v>
      </c>
      <c r="L161" s="7">
        <v>1</v>
      </c>
    </row>
    <row r="162" spans="1:12" ht="15.75" customHeight="1" x14ac:dyDescent="0.2">
      <c r="A162" s="5">
        <v>2016</v>
      </c>
      <c r="B162" s="5" t="s">
        <v>333</v>
      </c>
      <c r="C162" s="5" t="s">
        <v>334</v>
      </c>
      <c r="D162" s="5" t="s">
        <v>23</v>
      </c>
      <c r="E162" s="5" t="s">
        <v>497</v>
      </c>
      <c r="F162" s="5" t="s">
        <v>16</v>
      </c>
      <c r="G162" s="5" t="s">
        <v>92</v>
      </c>
      <c r="H162" s="5" t="s">
        <v>498</v>
      </c>
      <c r="I162" s="5" t="s">
        <v>19</v>
      </c>
      <c r="J162" s="5">
        <v>542.04</v>
      </c>
      <c r="K162" s="5" t="s">
        <v>499</v>
      </c>
      <c r="L162" s="7">
        <v>1</v>
      </c>
    </row>
    <row r="163" spans="1:12" ht="15.75" customHeight="1" x14ac:dyDescent="0.2">
      <c r="A163" s="5">
        <v>2016</v>
      </c>
      <c r="B163" s="5" t="s">
        <v>333</v>
      </c>
      <c r="C163" s="5" t="s">
        <v>334</v>
      </c>
      <c r="D163" s="5" t="s">
        <v>23</v>
      </c>
      <c r="E163" s="5" t="s">
        <v>500</v>
      </c>
      <c r="F163" s="5" t="s">
        <v>43</v>
      </c>
      <c r="G163" s="5" t="s">
        <v>17</v>
      </c>
      <c r="H163" s="5" t="s">
        <v>501</v>
      </c>
      <c r="I163" s="5" t="s">
        <v>19</v>
      </c>
      <c r="J163" s="5">
        <f>2480*0.8</f>
        <v>1984</v>
      </c>
      <c r="K163" s="5" t="s">
        <v>502</v>
      </c>
      <c r="L163" s="7">
        <v>1</v>
      </c>
    </row>
    <row r="164" spans="1:12" ht="15.75" customHeight="1" x14ac:dyDescent="0.2">
      <c r="A164" s="5">
        <v>2016</v>
      </c>
      <c r="B164" s="5" t="s">
        <v>144</v>
      </c>
      <c r="C164" s="5" t="s">
        <v>145</v>
      </c>
      <c r="D164" s="5" t="s">
        <v>97</v>
      </c>
      <c r="E164" s="5" t="s">
        <v>503</v>
      </c>
      <c r="F164" s="5" t="s">
        <v>25</v>
      </c>
      <c r="G164" s="5" t="s">
        <v>17</v>
      </c>
      <c r="H164" s="5" t="s">
        <v>504</v>
      </c>
      <c r="I164" s="5" t="s">
        <v>19</v>
      </c>
      <c r="J164" s="5">
        <v>1000</v>
      </c>
      <c r="K164" s="5" t="s">
        <v>505</v>
      </c>
      <c r="L164" s="7">
        <v>1</v>
      </c>
    </row>
    <row r="165" spans="1:12" ht="15.75" customHeight="1" x14ac:dyDescent="0.2">
      <c r="A165" s="5">
        <v>2016</v>
      </c>
      <c r="B165" s="5" t="s">
        <v>95</v>
      </c>
      <c r="C165" s="5" t="s">
        <v>96</v>
      </c>
      <c r="D165" s="5" t="s">
        <v>97</v>
      </c>
      <c r="E165" s="5" t="s">
        <v>91</v>
      </c>
      <c r="F165" s="5" t="s">
        <v>54</v>
      </c>
      <c r="G165" s="5" t="s">
        <v>119</v>
      </c>
      <c r="H165" s="5" t="s">
        <v>127</v>
      </c>
      <c r="I165" s="5" t="s">
        <v>81</v>
      </c>
      <c r="J165" s="8">
        <v>5000</v>
      </c>
      <c r="K165" s="5" t="s">
        <v>506</v>
      </c>
      <c r="L165" s="7">
        <v>0</v>
      </c>
    </row>
    <row r="166" spans="1:12" ht="15.75" customHeight="1" x14ac:dyDescent="0.2">
      <c r="A166" s="5">
        <v>2016</v>
      </c>
      <c r="B166" s="5" t="s">
        <v>95</v>
      </c>
      <c r="C166" s="5" t="s">
        <v>96</v>
      </c>
      <c r="D166" s="5" t="s">
        <v>97</v>
      </c>
      <c r="E166" s="5" t="s">
        <v>91</v>
      </c>
      <c r="F166" s="5" t="s">
        <v>54</v>
      </c>
      <c r="G166" s="5" t="s">
        <v>119</v>
      </c>
      <c r="H166" s="5" t="s">
        <v>127</v>
      </c>
      <c r="I166" s="8" t="s">
        <v>81</v>
      </c>
      <c r="J166" s="5">
        <v>10000</v>
      </c>
      <c r="K166" s="5" t="s">
        <v>507</v>
      </c>
      <c r="L166" s="7">
        <v>0</v>
      </c>
    </row>
    <row r="167" spans="1:12" ht="15.75" customHeight="1" x14ac:dyDescent="0.2">
      <c r="A167" s="5">
        <v>2016</v>
      </c>
      <c r="B167" s="5" t="s">
        <v>27</v>
      </c>
      <c r="C167" s="5" t="s">
        <v>28</v>
      </c>
      <c r="D167" s="5" t="s">
        <v>29</v>
      </c>
      <c r="E167" s="5" t="s">
        <v>454</v>
      </c>
      <c r="F167" s="5" t="s">
        <v>91</v>
      </c>
      <c r="G167" s="5" t="s">
        <v>92</v>
      </c>
      <c r="H167" s="8" t="s">
        <v>18</v>
      </c>
      <c r="I167" s="5" t="s">
        <v>19</v>
      </c>
      <c r="J167" s="8">
        <v>100</v>
      </c>
      <c r="K167" s="5" t="s">
        <v>508</v>
      </c>
      <c r="L167" s="7">
        <v>1</v>
      </c>
    </row>
    <row r="168" spans="1:12" ht="15.75" customHeight="1" x14ac:dyDescent="0.2">
      <c r="A168" s="5">
        <v>2016</v>
      </c>
      <c r="B168" s="5" t="s">
        <v>113</v>
      </c>
      <c r="C168" s="5" t="s">
        <v>114</v>
      </c>
      <c r="D168" s="5" t="s">
        <v>29</v>
      </c>
      <c r="E168" s="5" t="s">
        <v>509</v>
      </c>
      <c r="F168" s="5" t="s">
        <v>43</v>
      </c>
      <c r="G168" s="5" t="s">
        <v>17</v>
      </c>
      <c r="H168" s="5" t="s">
        <v>510</v>
      </c>
      <c r="I168" s="9" t="s">
        <v>81</v>
      </c>
      <c r="J168" s="13">
        <v>1800</v>
      </c>
      <c r="K168" s="5" t="s">
        <v>511</v>
      </c>
      <c r="L168" s="7">
        <v>1</v>
      </c>
    </row>
    <row r="169" spans="1:12" ht="15.75" customHeight="1" x14ac:dyDescent="0.2">
      <c r="A169" s="5">
        <v>2016</v>
      </c>
      <c r="B169" s="5" t="s">
        <v>113</v>
      </c>
      <c r="C169" s="5" t="s">
        <v>114</v>
      </c>
      <c r="D169" s="5" t="s">
        <v>29</v>
      </c>
      <c r="E169" s="5" t="s">
        <v>512</v>
      </c>
      <c r="F169" s="5" t="s">
        <v>43</v>
      </c>
      <c r="G169" s="5" t="s">
        <v>17</v>
      </c>
      <c r="H169" s="9" t="s">
        <v>513</v>
      </c>
      <c r="I169" s="9" t="s">
        <v>19</v>
      </c>
      <c r="J169" s="17">
        <v>270</v>
      </c>
      <c r="K169" s="5" t="s">
        <v>514</v>
      </c>
      <c r="L169" s="7">
        <v>1</v>
      </c>
    </row>
    <row r="170" spans="1:12" ht="15.75" customHeight="1" x14ac:dyDescent="0.2">
      <c r="A170" s="5">
        <v>2016</v>
      </c>
      <c r="B170" s="5" t="s">
        <v>62</v>
      </c>
      <c r="C170" s="5" t="s">
        <v>63</v>
      </c>
      <c r="D170" s="5" t="s">
        <v>29</v>
      </c>
      <c r="E170" s="5" t="s">
        <v>515</v>
      </c>
      <c r="F170" s="5" t="s">
        <v>25</v>
      </c>
      <c r="G170" s="5" t="s">
        <v>92</v>
      </c>
      <c r="H170" s="9" t="s">
        <v>18</v>
      </c>
      <c r="I170" s="5" t="s">
        <v>19</v>
      </c>
      <c r="J170" s="9">
        <v>377</v>
      </c>
      <c r="K170" s="5" t="s">
        <v>516</v>
      </c>
      <c r="L170" s="7">
        <v>1</v>
      </c>
    </row>
    <row r="171" spans="1:12" ht="15.75" customHeight="1" x14ac:dyDescent="0.2">
      <c r="A171" s="5">
        <v>2016</v>
      </c>
      <c r="B171" s="5" t="s">
        <v>174</v>
      </c>
      <c r="C171" s="5" t="s">
        <v>175</v>
      </c>
      <c r="D171" s="5" t="s">
        <v>79</v>
      </c>
      <c r="E171" s="5" t="s">
        <v>91</v>
      </c>
      <c r="F171" s="5" t="s">
        <v>16</v>
      </c>
      <c r="G171" s="5" t="s">
        <v>92</v>
      </c>
      <c r="H171" s="5" t="s">
        <v>517</v>
      </c>
      <c r="I171" s="5" t="s">
        <v>81</v>
      </c>
      <c r="J171" s="9">
        <v>2500</v>
      </c>
      <c r="K171" s="5" t="s">
        <v>518</v>
      </c>
      <c r="L171" s="7">
        <v>1</v>
      </c>
    </row>
    <row r="172" spans="1:12" ht="15.75" customHeight="1" x14ac:dyDescent="0.2">
      <c r="A172" s="8">
        <v>2016</v>
      </c>
      <c r="B172" s="8" t="s">
        <v>174</v>
      </c>
      <c r="C172" s="8" t="s">
        <v>175</v>
      </c>
      <c r="D172" s="8" t="s">
        <v>79</v>
      </c>
      <c r="E172" s="8" t="s">
        <v>519</v>
      </c>
      <c r="F172" s="8" t="s">
        <v>16</v>
      </c>
      <c r="G172" s="8" t="s">
        <v>57</v>
      </c>
      <c r="H172" s="8" t="s">
        <v>520</v>
      </c>
      <c r="I172" s="8" t="s">
        <v>211</v>
      </c>
      <c r="J172" s="8">
        <v>10830</v>
      </c>
      <c r="K172" s="8" t="s">
        <v>520</v>
      </c>
      <c r="L172" s="7">
        <v>1</v>
      </c>
    </row>
    <row r="173" spans="1:12" ht="15.75" customHeight="1" x14ac:dyDescent="0.2">
      <c r="A173" s="5">
        <v>2016</v>
      </c>
      <c r="B173" s="5" t="s">
        <v>319</v>
      </c>
      <c r="C173" s="5" t="s">
        <v>320</v>
      </c>
      <c r="D173" s="5" t="s">
        <v>79</v>
      </c>
      <c r="E173" s="5" t="s">
        <v>521</v>
      </c>
      <c r="F173" s="5" t="s">
        <v>16</v>
      </c>
      <c r="G173" s="5" t="s">
        <v>17</v>
      </c>
      <c r="H173" s="5" t="s">
        <v>522</v>
      </c>
      <c r="I173" s="5" t="s">
        <v>81</v>
      </c>
      <c r="J173" s="5">
        <f>230/0.90072</f>
        <v>255.35127453592682</v>
      </c>
      <c r="K173" s="5" t="s">
        <v>523</v>
      </c>
      <c r="L173" s="7">
        <v>1</v>
      </c>
    </row>
    <row r="174" spans="1:12" ht="15.75" customHeight="1" x14ac:dyDescent="0.2">
      <c r="A174" s="9">
        <v>2016</v>
      </c>
      <c r="B174" s="9" t="s">
        <v>524</v>
      </c>
      <c r="C174" s="9" t="s">
        <v>525</v>
      </c>
      <c r="D174" s="9" t="s">
        <v>14</v>
      </c>
      <c r="E174" s="9" t="s">
        <v>526</v>
      </c>
      <c r="F174" s="9" t="s">
        <v>43</v>
      </c>
      <c r="G174" s="9" t="s">
        <v>17</v>
      </c>
      <c r="H174" s="9" t="s">
        <v>527</v>
      </c>
      <c r="I174" s="9" t="s">
        <v>81</v>
      </c>
      <c r="J174" s="9">
        <v>500</v>
      </c>
      <c r="K174" s="9" t="s">
        <v>528</v>
      </c>
      <c r="L174" s="7">
        <v>1</v>
      </c>
    </row>
    <row r="175" spans="1:12" ht="15.75" customHeight="1" x14ac:dyDescent="0.2">
      <c r="A175" s="5">
        <v>2016</v>
      </c>
      <c r="B175" s="5" t="s">
        <v>399</v>
      </c>
      <c r="C175" s="5" t="s">
        <v>400</v>
      </c>
      <c r="D175" s="5" t="s">
        <v>97</v>
      </c>
      <c r="E175" s="5" t="s">
        <v>404</v>
      </c>
      <c r="F175" s="5" t="s">
        <v>54</v>
      </c>
      <c r="G175" s="8" t="s">
        <v>57</v>
      </c>
      <c r="H175" s="5" t="s">
        <v>531</v>
      </c>
      <c r="I175" s="5" t="s">
        <v>81</v>
      </c>
      <c r="J175" s="5">
        <v>2200</v>
      </c>
      <c r="K175" s="5" t="s">
        <v>532</v>
      </c>
      <c r="L175" s="7">
        <v>1</v>
      </c>
    </row>
    <row r="176" spans="1:12" ht="15.75" customHeight="1" x14ac:dyDescent="0.2">
      <c r="A176" s="5">
        <v>2017</v>
      </c>
      <c r="B176" s="5" t="s">
        <v>302</v>
      </c>
      <c r="C176" s="5" t="s">
        <v>303</v>
      </c>
      <c r="D176" s="5" t="s">
        <v>97</v>
      </c>
      <c r="E176" s="5" t="s">
        <v>533</v>
      </c>
      <c r="F176" s="5" t="s">
        <v>226</v>
      </c>
      <c r="G176" s="9" t="s">
        <v>17</v>
      </c>
      <c r="H176" s="5" t="s">
        <v>18</v>
      </c>
      <c r="I176" s="5" t="s">
        <v>19</v>
      </c>
      <c r="J176" s="5">
        <v>331.5</v>
      </c>
      <c r="K176" s="5" t="s">
        <v>534</v>
      </c>
      <c r="L176" s="7">
        <v>0</v>
      </c>
    </row>
    <row r="177" spans="1:12" ht="15.75" customHeight="1" x14ac:dyDescent="0.2">
      <c r="A177" s="5">
        <v>2017</v>
      </c>
      <c r="B177" s="5" t="s">
        <v>333</v>
      </c>
      <c r="C177" s="5" t="s">
        <v>334</v>
      </c>
      <c r="D177" s="5" t="s">
        <v>23</v>
      </c>
      <c r="E177" s="5" t="s">
        <v>497</v>
      </c>
      <c r="F177" s="5" t="s">
        <v>54</v>
      </c>
      <c r="G177" s="9" t="s">
        <v>92</v>
      </c>
      <c r="H177" s="5" t="s">
        <v>18</v>
      </c>
      <c r="I177" s="5" t="s">
        <v>19</v>
      </c>
      <c r="J177" s="5">
        <v>694</v>
      </c>
      <c r="K177" s="5" t="s">
        <v>535</v>
      </c>
      <c r="L177" s="7">
        <v>1</v>
      </c>
    </row>
    <row r="178" spans="1:12" ht="15.75" customHeight="1" x14ac:dyDescent="0.2">
      <c r="A178" s="5">
        <v>2017</v>
      </c>
      <c r="B178" s="5" t="s">
        <v>95</v>
      </c>
      <c r="C178" s="5" t="s">
        <v>96</v>
      </c>
      <c r="D178" s="5" t="s">
        <v>97</v>
      </c>
      <c r="E178" s="5" t="s">
        <v>91</v>
      </c>
      <c r="F178" s="5" t="s">
        <v>54</v>
      </c>
      <c r="G178" s="5" t="s">
        <v>119</v>
      </c>
      <c r="H178" s="5" t="s">
        <v>127</v>
      </c>
      <c r="I178" s="5" t="s">
        <v>81</v>
      </c>
      <c r="J178" s="5">
        <v>5000</v>
      </c>
      <c r="K178" s="5" t="s">
        <v>536</v>
      </c>
      <c r="L178" s="7">
        <v>0</v>
      </c>
    </row>
    <row r="179" spans="1:12" ht="15.75" customHeight="1" x14ac:dyDescent="0.2">
      <c r="A179" s="5">
        <v>2017</v>
      </c>
      <c r="B179" s="5" t="s">
        <v>197</v>
      </c>
      <c r="C179" s="5" t="s">
        <v>198</v>
      </c>
      <c r="D179" s="5" t="s">
        <v>14</v>
      </c>
      <c r="E179" s="5" t="s">
        <v>308</v>
      </c>
      <c r="F179" s="5" t="s">
        <v>25</v>
      </c>
      <c r="G179" s="5" t="s">
        <v>17</v>
      </c>
      <c r="H179" s="5" t="s">
        <v>18</v>
      </c>
      <c r="I179" s="8" t="s">
        <v>19</v>
      </c>
      <c r="J179" s="5">
        <v>142</v>
      </c>
      <c r="K179" s="5" t="s">
        <v>537</v>
      </c>
      <c r="L179" s="7">
        <v>1</v>
      </c>
    </row>
    <row r="180" spans="1:12" ht="15.75" customHeight="1" x14ac:dyDescent="0.2">
      <c r="A180" s="5">
        <v>2017</v>
      </c>
      <c r="B180" s="5" t="s">
        <v>449</v>
      </c>
      <c r="C180" s="5" t="s">
        <v>450</v>
      </c>
      <c r="D180" s="5" t="s">
        <v>97</v>
      </c>
      <c r="E180" s="5" t="s">
        <v>538</v>
      </c>
      <c r="F180" s="5" t="s">
        <v>226</v>
      </c>
      <c r="G180" s="5" t="s">
        <v>17</v>
      </c>
      <c r="H180" s="5" t="s">
        <v>18</v>
      </c>
      <c r="I180" s="9" t="s">
        <v>19</v>
      </c>
      <c r="J180" s="5">
        <v>60</v>
      </c>
      <c r="K180" s="5" t="s">
        <v>539</v>
      </c>
      <c r="L180" s="7">
        <v>1</v>
      </c>
    </row>
    <row r="181" spans="1:12" ht="15.75" customHeight="1" x14ac:dyDescent="0.2">
      <c r="A181" s="5">
        <v>2017</v>
      </c>
      <c r="B181" s="5" t="s">
        <v>540</v>
      </c>
      <c r="C181" s="5" t="s">
        <v>541</v>
      </c>
      <c r="D181" s="5" t="s">
        <v>14</v>
      </c>
      <c r="E181" s="5" t="s">
        <v>454</v>
      </c>
      <c r="F181" s="5" t="s">
        <v>91</v>
      </c>
      <c r="G181" s="5" t="s">
        <v>92</v>
      </c>
      <c r="H181" s="5" t="s">
        <v>542</v>
      </c>
      <c r="I181" s="21" t="s">
        <v>211</v>
      </c>
      <c r="J181" s="8">
        <v>757</v>
      </c>
      <c r="K181" s="5" t="s">
        <v>543</v>
      </c>
      <c r="L181" s="7">
        <v>1</v>
      </c>
    </row>
    <row r="182" spans="1:12" ht="15.75" customHeight="1" x14ac:dyDescent="0.2">
      <c r="A182" s="5">
        <v>2017</v>
      </c>
      <c r="B182" s="5" t="s">
        <v>105</v>
      </c>
      <c r="C182" s="5" t="s">
        <v>106</v>
      </c>
      <c r="D182" s="5" t="s">
        <v>14</v>
      </c>
      <c r="E182" s="5" t="s">
        <v>544</v>
      </c>
      <c r="F182" s="5" t="s">
        <v>91</v>
      </c>
      <c r="G182" s="5" t="s">
        <v>92</v>
      </c>
      <c r="H182" s="5" t="s">
        <v>150</v>
      </c>
      <c r="I182" s="5" t="s">
        <v>19</v>
      </c>
      <c r="J182" s="9">
        <v>83.3</v>
      </c>
      <c r="K182" s="5" t="s">
        <v>545</v>
      </c>
      <c r="L182" s="7">
        <v>1</v>
      </c>
    </row>
    <row r="183" spans="1:12" ht="15.75" customHeight="1" x14ac:dyDescent="0.2">
      <c r="A183" s="5">
        <v>2017</v>
      </c>
      <c r="B183" s="5" t="s">
        <v>105</v>
      </c>
      <c r="C183" s="5" t="s">
        <v>106</v>
      </c>
      <c r="D183" s="5" t="s">
        <v>14</v>
      </c>
      <c r="E183" s="5" t="s">
        <v>546</v>
      </c>
      <c r="F183" s="5" t="s">
        <v>262</v>
      </c>
      <c r="G183" s="5" t="s">
        <v>17</v>
      </c>
      <c r="H183" s="5" t="s">
        <v>18</v>
      </c>
      <c r="I183" s="5" t="s">
        <v>19</v>
      </c>
      <c r="J183" s="9">
        <f>0.85*257</f>
        <v>218.45</v>
      </c>
      <c r="K183" s="5" t="s">
        <v>547</v>
      </c>
      <c r="L183" s="7">
        <v>1</v>
      </c>
    </row>
    <row r="184" spans="1:12" ht="15.75" customHeight="1" x14ac:dyDescent="0.2">
      <c r="A184" s="5">
        <v>2017</v>
      </c>
      <c r="B184" s="5" t="s">
        <v>113</v>
      </c>
      <c r="C184" s="5" t="s">
        <v>114</v>
      </c>
      <c r="D184" s="5" t="s">
        <v>29</v>
      </c>
      <c r="E184" s="5" t="s">
        <v>548</v>
      </c>
      <c r="F184" s="5" t="s">
        <v>43</v>
      </c>
      <c r="G184" s="5" t="s">
        <v>17</v>
      </c>
      <c r="H184" s="5" t="s">
        <v>549</v>
      </c>
      <c r="I184" s="6" t="s">
        <v>19</v>
      </c>
      <c r="J184" s="17">
        <v>700</v>
      </c>
      <c r="K184" s="5" t="s">
        <v>550</v>
      </c>
      <c r="L184" s="7">
        <v>1</v>
      </c>
    </row>
    <row r="185" spans="1:12" ht="15.75" customHeight="1" x14ac:dyDescent="0.2">
      <c r="A185" s="5">
        <v>2017</v>
      </c>
      <c r="B185" s="5" t="s">
        <v>551</v>
      </c>
      <c r="C185" s="5" t="s">
        <v>552</v>
      </c>
      <c r="D185" s="5" t="s">
        <v>553</v>
      </c>
      <c r="E185" s="5" t="s">
        <v>554</v>
      </c>
      <c r="F185" s="5" t="s">
        <v>91</v>
      </c>
      <c r="G185" s="5" t="s">
        <v>92</v>
      </c>
      <c r="H185" s="5" t="s">
        <v>555</v>
      </c>
      <c r="I185" s="9" t="s">
        <v>19</v>
      </c>
      <c r="J185" s="9">
        <v>1500</v>
      </c>
      <c r="K185" s="5" t="s">
        <v>556</v>
      </c>
      <c r="L185" s="7">
        <v>1</v>
      </c>
    </row>
    <row r="186" spans="1:12" ht="15.75" customHeight="1" x14ac:dyDescent="0.2">
      <c r="A186" s="5">
        <v>2017</v>
      </c>
      <c r="B186" s="5" t="s">
        <v>557</v>
      </c>
      <c r="C186" s="5" t="s">
        <v>558</v>
      </c>
      <c r="D186" s="5" t="s">
        <v>553</v>
      </c>
      <c r="E186" s="5" t="s">
        <v>559</v>
      </c>
      <c r="F186" s="5" t="s">
        <v>54</v>
      </c>
      <c r="G186" s="5" t="s">
        <v>17</v>
      </c>
      <c r="H186" s="5" t="s">
        <v>560</v>
      </c>
      <c r="I186" s="21" t="s">
        <v>19</v>
      </c>
      <c r="J186" s="9">
        <v>150</v>
      </c>
      <c r="K186" s="5" t="s">
        <v>561</v>
      </c>
      <c r="L186" s="7">
        <v>0</v>
      </c>
    </row>
    <row r="187" spans="1:12" ht="15.75" customHeight="1" x14ac:dyDescent="0.2">
      <c r="A187" s="5">
        <v>2017</v>
      </c>
      <c r="B187" s="5" t="s">
        <v>229</v>
      </c>
      <c r="C187" s="5" t="s">
        <v>230</v>
      </c>
      <c r="D187" s="5" t="s">
        <v>14</v>
      </c>
      <c r="E187" s="5" t="s">
        <v>562</v>
      </c>
      <c r="F187" s="5" t="s">
        <v>91</v>
      </c>
      <c r="G187" s="5" t="s">
        <v>92</v>
      </c>
      <c r="H187" s="5" t="s">
        <v>18</v>
      </c>
      <c r="I187" s="5" t="s">
        <v>19</v>
      </c>
      <c r="J187" s="5">
        <v>128</v>
      </c>
      <c r="K187" s="5" t="s">
        <v>563</v>
      </c>
      <c r="L187" s="7">
        <v>1</v>
      </c>
    </row>
    <row r="188" spans="1:12" ht="15.75" customHeight="1" x14ac:dyDescent="0.2">
      <c r="A188" s="5">
        <v>2017</v>
      </c>
      <c r="B188" s="5" t="s">
        <v>229</v>
      </c>
      <c r="C188" s="5" t="s">
        <v>230</v>
      </c>
      <c r="D188" s="5" t="s">
        <v>14</v>
      </c>
      <c r="E188" s="5" t="s">
        <v>564</v>
      </c>
      <c r="F188" s="5" t="s">
        <v>91</v>
      </c>
      <c r="G188" s="5" t="s">
        <v>92</v>
      </c>
      <c r="H188" s="5" t="s">
        <v>565</v>
      </c>
      <c r="I188" s="5" t="s">
        <v>19</v>
      </c>
      <c r="J188" s="8">
        <v>134</v>
      </c>
      <c r="K188" s="5" t="s">
        <v>566</v>
      </c>
      <c r="L188" s="7">
        <v>1</v>
      </c>
    </row>
    <row r="189" spans="1:12" ht="15.75" customHeight="1" x14ac:dyDescent="0.2">
      <c r="A189" s="5">
        <v>2017</v>
      </c>
      <c r="B189" s="5" t="s">
        <v>229</v>
      </c>
      <c r="C189" s="5" t="s">
        <v>230</v>
      </c>
      <c r="D189" s="5" t="s">
        <v>14</v>
      </c>
      <c r="E189" s="5" t="s">
        <v>567</v>
      </c>
      <c r="F189" s="5" t="s">
        <v>226</v>
      </c>
      <c r="G189" s="5" t="s">
        <v>17</v>
      </c>
      <c r="H189" s="8" t="s">
        <v>18</v>
      </c>
      <c r="I189" s="5" t="s">
        <v>19</v>
      </c>
      <c r="J189" s="9">
        <v>135.69999999999999</v>
      </c>
      <c r="K189" s="5" t="s">
        <v>568</v>
      </c>
      <c r="L189" s="7">
        <v>1</v>
      </c>
    </row>
    <row r="190" spans="1:12" ht="15.75" customHeight="1" x14ac:dyDescent="0.2">
      <c r="A190" s="5">
        <v>2017</v>
      </c>
      <c r="B190" s="5" t="s">
        <v>62</v>
      </c>
      <c r="C190" s="5" t="s">
        <v>63</v>
      </c>
      <c r="D190" s="5" t="s">
        <v>29</v>
      </c>
      <c r="E190" s="5" t="s">
        <v>569</v>
      </c>
      <c r="F190" s="5" t="s">
        <v>25</v>
      </c>
      <c r="G190" s="5" t="s">
        <v>17</v>
      </c>
      <c r="H190" s="8" t="s">
        <v>18</v>
      </c>
      <c r="I190" s="5" t="s">
        <v>19</v>
      </c>
      <c r="J190" s="9">
        <v>1700</v>
      </c>
      <c r="K190" s="5" t="s">
        <v>570</v>
      </c>
      <c r="L190" s="7">
        <v>1</v>
      </c>
    </row>
    <row r="191" spans="1:12" ht="15.75" customHeight="1" x14ac:dyDescent="0.2">
      <c r="A191" s="8">
        <v>2017</v>
      </c>
      <c r="B191" s="8" t="s">
        <v>62</v>
      </c>
      <c r="C191" s="8" t="s">
        <v>63</v>
      </c>
      <c r="D191" s="8" t="s">
        <v>29</v>
      </c>
      <c r="E191" s="8" t="s">
        <v>571</v>
      </c>
      <c r="F191" s="8" t="s">
        <v>25</v>
      </c>
      <c r="G191" s="8" t="s">
        <v>92</v>
      </c>
      <c r="H191" s="8" t="s">
        <v>572</v>
      </c>
      <c r="I191" s="8" t="s">
        <v>19</v>
      </c>
      <c r="J191" s="8">
        <v>169</v>
      </c>
      <c r="K191" s="8" t="s">
        <v>573</v>
      </c>
      <c r="L191" s="7">
        <v>1</v>
      </c>
    </row>
    <row r="192" spans="1:12" ht="15.75" customHeight="1" x14ac:dyDescent="0.2">
      <c r="A192" s="9">
        <v>2017</v>
      </c>
      <c r="B192" s="9" t="s">
        <v>62</v>
      </c>
      <c r="C192" s="9" t="s">
        <v>63</v>
      </c>
      <c r="D192" s="9" t="s">
        <v>29</v>
      </c>
      <c r="E192" s="9" t="s">
        <v>574</v>
      </c>
      <c r="F192" s="9" t="s">
        <v>25</v>
      </c>
      <c r="G192" s="9" t="s">
        <v>17</v>
      </c>
      <c r="H192" s="9" t="s">
        <v>575</v>
      </c>
      <c r="I192" s="9" t="s">
        <v>19</v>
      </c>
      <c r="J192" s="9">
        <v>367.29</v>
      </c>
      <c r="K192" s="9" t="s">
        <v>576</v>
      </c>
      <c r="L192" s="7">
        <v>1</v>
      </c>
    </row>
    <row r="193" spans="1:31" ht="15.75" customHeight="1" x14ac:dyDescent="0.2">
      <c r="A193" s="5">
        <v>2017</v>
      </c>
      <c r="B193" s="5" t="s">
        <v>34</v>
      </c>
      <c r="C193" s="5" t="s">
        <v>35</v>
      </c>
      <c r="D193" s="5" t="s">
        <v>14</v>
      </c>
      <c r="E193" s="5" t="s">
        <v>577</v>
      </c>
      <c r="F193" s="5" t="s">
        <v>25</v>
      </c>
      <c r="G193" s="5" t="s">
        <v>17</v>
      </c>
      <c r="H193" s="5" t="s">
        <v>18</v>
      </c>
      <c r="I193" s="5" t="s">
        <v>19</v>
      </c>
      <c r="J193" s="5">
        <v>4930</v>
      </c>
      <c r="K193" s="5" t="s">
        <v>578</v>
      </c>
      <c r="L193" s="7">
        <v>1</v>
      </c>
    </row>
    <row r="194" spans="1:31" ht="15.75" customHeight="1" x14ac:dyDescent="0.2">
      <c r="A194" s="5">
        <v>2017</v>
      </c>
      <c r="B194" s="5" t="s">
        <v>21</v>
      </c>
      <c r="C194" s="5" t="s">
        <v>22</v>
      </c>
      <c r="D194" s="5" t="s">
        <v>23</v>
      </c>
      <c r="E194" s="5" t="s">
        <v>579</v>
      </c>
      <c r="F194" s="5" t="s">
        <v>43</v>
      </c>
      <c r="G194" s="5" t="s">
        <v>17</v>
      </c>
      <c r="H194" s="8" t="s">
        <v>580</v>
      </c>
      <c r="I194" s="5" t="s">
        <v>81</v>
      </c>
      <c r="J194" s="5">
        <v>497.7</v>
      </c>
      <c r="K194" s="5" t="s">
        <v>581</v>
      </c>
      <c r="L194" s="7">
        <v>1</v>
      </c>
    </row>
    <row r="195" spans="1:31" ht="15.75" customHeight="1" x14ac:dyDescent="0.2">
      <c r="A195" s="5">
        <v>2017</v>
      </c>
      <c r="B195" s="5" t="s">
        <v>21</v>
      </c>
      <c r="C195" s="5" t="s">
        <v>22</v>
      </c>
      <c r="D195" s="5" t="s">
        <v>23</v>
      </c>
      <c r="E195" s="5" t="s">
        <v>582</v>
      </c>
      <c r="F195" s="5" t="s">
        <v>25</v>
      </c>
      <c r="G195" s="5" t="s">
        <v>17</v>
      </c>
      <c r="H195" s="9" t="s">
        <v>583</v>
      </c>
      <c r="I195" s="6" t="s">
        <v>211</v>
      </c>
      <c r="J195" s="8">
        <f>0.8*1698.26-100</f>
        <v>1258.6080000000002</v>
      </c>
      <c r="K195" s="5" t="s">
        <v>584</v>
      </c>
      <c r="L195" s="7">
        <v>1</v>
      </c>
    </row>
    <row r="196" spans="1:31" s="23" customFormat="1" ht="15.75" customHeight="1" x14ac:dyDescent="0.2">
      <c r="A196" s="8">
        <v>2017</v>
      </c>
      <c r="B196" s="8" t="s">
        <v>21</v>
      </c>
      <c r="C196" s="8" t="s">
        <v>22</v>
      </c>
      <c r="D196" s="8" t="s">
        <v>23</v>
      </c>
      <c r="E196" s="8" t="s">
        <v>585</v>
      </c>
      <c r="F196" s="8" t="s">
        <v>43</v>
      </c>
      <c r="G196" s="8" t="s">
        <v>17</v>
      </c>
      <c r="H196" s="8" t="s">
        <v>18</v>
      </c>
      <c r="I196" s="6" t="s">
        <v>211</v>
      </c>
      <c r="J196" s="8">
        <v>1496</v>
      </c>
      <c r="K196" s="8" t="s">
        <v>586</v>
      </c>
      <c r="L196" s="7">
        <v>1</v>
      </c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 spans="1:31" ht="15.75" customHeight="1" x14ac:dyDescent="0.2">
      <c r="A197" s="5">
        <v>2017</v>
      </c>
      <c r="B197" s="5" t="s">
        <v>589</v>
      </c>
      <c r="C197" s="5" t="s">
        <v>590</v>
      </c>
      <c r="D197" s="5" t="s">
        <v>97</v>
      </c>
      <c r="E197" s="5" t="s">
        <v>591</v>
      </c>
      <c r="F197" s="5" t="s">
        <v>25</v>
      </c>
      <c r="G197" s="5" t="s">
        <v>17</v>
      </c>
      <c r="H197" s="5" t="s">
        <v>592</v>
      </c>
      <c r="I197" s="5" t="s">
        <v>81</v>
      </c>
      <c r="J197" s="5">
        <v>365</v>
      </c>
      <c r="K197" s="5" t="s">
        <v>593</v>
      </c>
      <c r="L197" s="7">
        <v>1</v>
      </c>
    </row>
    <row r="198" spans="1:31" ht="15.75" customHeight="1" x14ac:dyDescent="0.2">
      <c r="A198" s="5">
        <v>2017</v>
      </c>
      <c r="B198" s="5" t="s">
        <v>174</v>
      </c>
      <c r="C198" s="5" t="s">
        <v>175</v>
      </c>
      <c r="D198" s="5" t="s">
        <v>79</v>
      </c>
      <c r="E198" s="5" t="s">
        <v>594</v>
      </c>
      <c r="F198" s="5" t="s">
        <v>16</v>
      </c>
      <c r="G198" s="5" t="s">
        <v>119</v>
      </c>
      <c r="H198" s="5" t="s">
        <v>595</v>
      </c>
      <c r="I198" s="5" t="s">
        <v>81</v>
      </c>
      <c r="J198" s="5">
        <v>1200</v>
      </c>
      <c r="K198" s="5" t="s">
        <v>596</v>
      </c>
      <c r="L198" s="7">
        <v>1</v>
      </c>
    </row>
    <row r="199" spans="1:31" ht="15.75" customHeight="1" x14ac:dyDescent="0.2">
      <c r="A199" s="5">
        <v>2017</v>
      </c>
      <c r="B199" s="5" t="s">
        <v>524</v>
      </c>
      <c r="C199" s="5" t="s">
        <v>525</v>
      </c>
      <c r="D199" s="5" t="s">
        <v>14</v>
      </c>
      <c r="E199" s="5" t="s">
        <v>597</v>
      </c>
      <c r="F199" s="5" t="s">
        <v>43</v>
      </c>
      <c r="G199" s="5" t="s">
        <v>17</v>
      </c>
      <c r="H199" s="5" t="s">
        <v>527</v>
      </c>
      <c r="I199" s="5" t="s">
        <v>81</v>
      </c>
      <c r="J199" s="5">
        <v>1500</v>
      </c>
      <c r="K199" s="5" t="s">
        <v>598</v>
      </c>
      <c r="L199" s="7">
        <v>1</v>
      </c>
    </row>
    <row r="200" spans="1:31" ht="15.75" customHeight="1" x14ac:dyDescent="0.2">
      <c r="A200" s="5">
        <v>2017</v>
      </c>
      <c r="B200" s="5" t="s">
        <v>88</v>
      </c>
      <c r="C200" s="5" t="s">
        <v>89</v>
      </c>
      <c r="D200" s="5" t="s">
        <v>79</v>
      </c>
      <c r="E200" s="5" t="s">
        <v>454</v>
      </c>
      <c r="F200" s="5" t="s">
        <v>91</v>
      </c>
      <c r="G200" s="5" t="s">
        <v>92</v>
      </c>
      <c r="H200" s="5" t="s">
        <v>18</v>
      </c>
      <c r="I200" s="5" t="s">
        <v>19</v>
      </c>
      <c r="J200" s="5">
        <v>79</v>
      </c>
      <c r="K200" s="5" t="s">
        <v>599</v>
      </c>
      <c r="L200" s="7">
        <v>1</v>
      </c>
    </row>
    <row r="201" spans="1:31" ht="15.75" customHeight="1" x14ac:dyDescent="0.2">
      <c r="A201" s="5">
        <v>2017</v>
      </c>
      <c r="B201" s="5" t="s">
        <v>117</v>
      </c>
      <c r="C201" s="5" t="s">
        <v>118</v>
      </c>
      <c r="D201" s="5" t="s">
        <v>79</v>
      </c>
      <c r="E201" s="5" t="s">
        <v>600</v>
      </c>
      <c r="F201" s="5" t="s">
        <v>25</v>
      </c>
      <c r="G201" s="5" t="s">
        <v>17</v>
      </c>
      <c r="H201" s="5" t="s">
        <v>18</v>
      </c>
      <c r="I201" s="5" t="s">
        <v>19</v>
      </c>
      <c r="J201" s="5">
        <v>240</v>
      </c>
      <c r="K201" s="5" t="s">
        <v>601</v>
      </c>
      <c r="L201" s="7">
        <v>1</v>
      </c>
    </row>
    <row r="202" spans="1:31" ht="15.75" customHeight="1" x14ac:dyDescent="0.2">
      <c r="A202" s="5">
        <v>2017</v>
      </c>
      <c r="B202" s="5" t="s">
        <v>117</v>
      </c>
      <c r="C202" s="5" t="s">
        <v>118</v>
      </c>
      <c r="D202" s="5" t="s">
        <v>79</v>
      </c>
      <c r="E202" s="5" t="s">
        <v>602</v>
      </c>
      <c r="F202" s="5" t="s">
        <v>54</v>
      </c>
      <c r="G202" s="5" t="s">
        <v>119</v>
      </c>
      <c r="H202" s="5" t="s">
        <v>120</v>
      </c>
      <c r="I202" s="5" t="s">
        <v>81</v>
      </c>
      <c r="J202" s="5">
        <v>1200</v>
      </c>
      <c r="K202" s="5" t="s">
        <v>603</v>
      </c>
      <c r="L202" s="7">
        <v>1</v>
      </c>
    </row>
    <row r="203" spans="1:31" ht="15.75" customHeight="1" x14ac:dyDescent="0.2">
      <c r="A203" s="5">
        <v>2017</v>
      </c>
      <c r="B203" s="5" t="s">
        <v>40</v>
      </c>
      <c r="C203" s="5" t="s">
        <v>41</v>
      </c>
      <c r="D203" s="5" t="s">
        <v>29</v>
      </c>
      <c r="E203" s="5" t="s">
        <v>300</v>
      </c>
      <c r="F203" s="5" t="s">
        <v>43</v>
      </c>
      <c r="G203" s="5" t="s">
        <v>17</v>
      </c>
      <c r="H203" s="5" t="s">
        <v>604</v>
      </c>
      <c r="I203" s="18" t="s">
        <v>19</v>
      </c>
      <c r="J203" s="5">
        <v>1800</v>
      </c>
      <c r="K203" s="5" t="s">
        <v>605</v>
      </c>
      <c r="L203" s="7">
        <v>1</v>
      </c>
    </row>
    <row r="204" spans="1:31" ht="15.75" customHeight="1" x14ac:dyDescent="0.2">
      <c r="A204" s="5">
        <v>2018</v>
      </c>
      <c r="B204" s="5" t="s">
        <v>606</v>
      </c>
      <c r="C204" s="5" t="s">
        <v>607</v>
      </c>
      <c r="D204" s="5" t="s">
        <v>97</v>
      </c>
      <c r="E204" s="5" t="s">
        <v>606</v>
      </c>
      <c r="F204" s="5" t="s">
        <v>91</v>
      </c>
      <c r="G204" s="5" t="s">
        <v>92</v>
      </c>
      <c r="H204" s="5" t="s">
        <v>18</v>
      </c>
      <c r="I204" s="5" t="s">
        <v>19</v>
      </c>
      <c r="J204" s="5">
        <v>600</v>
      </c>
      <c r="K204" s="5" t="s">
        <v>608</v>
      </c>
      <c r="L204" s="7">
        <v>1</v>
      </c>
    </row>
    <row r="205" spans="1:31" ht="15.75" customHeight="1" x14ac:dyDescent="0.2">
      <c r="A205" s="5">
        <v>2018</v>
      </c>
      <c r="B205" s="5" t="s">
        <v>276</v>
      </c>
      <c r="C205" s="5" t="s">
        <v>277</v>
      </c>
      <c r="D205" s="5" t="s">
        <v>14</v>
      </c>
      <c r="E205" s="5" t="s">
        <v>609</v>
      </c>
      <c r="F205" s="5" t="s">
        <v>25</v>
      </c>
      <c r="G205" s="5" t="s">
        <v>17</v>
      </c>
      <c r="H205" s="5" t="s">
        <v>18</v>
      </c>
      <c r="I205" s="5" t="s">
        <v>19</v>
      </c>
      <c r="J205" s="5">
        <v>1175</v>
      </c>
      <c r="K205" s="5" t="s">
        <v>610</v>
      </c>
      <c r="L205" s="7">
        <v>1</v>
      </c>
    </row>
    <row r="206" spans="1:31" ht="15.75" customHeight="1" x14ac:dyDescent="0.2">
      <c r="A206" s="5">
        <v>2018</v>
      </c>
      <c r="B206" s="5" t="s">
        <v>62</v>
      </c>
      <c r="C206" s="5" t="s">
        <v>63</v>
      </c>
      <c r="D206" s="5" t="s">
        <v>29</v>
      </c>
      <c r="E206" s="5" t="s">
        <v>611</v>
      </c>
      <c r="F206" s="5" t="s">
        <v>91</v>
      </c>
      <c r="G206" s="5" t="s">
        <v>92</v>
      </c>
      <c r="H206" s="5" t="s">
        <v>18</v>
      </c>
      <c r="I206" s="5" t="s">
        <v>19</v>
      </c>
      <c r="J206" s="5">
        <v>199</v>
      </c>
      <c r="K206" s="5" t="s">
        <v>612</v>
      </c>
      <c r="L206" s="7">
        <v>1</v>
      </c>
    </row>
    <row r="207" spans="1:31" ht="15.75" customHeight="1" x14ac:dyDescent="0.2">
      <c r="A207" s="5">
        <v>2018</v>
      </c>
      <c r="B207" s="5" t="s">
        <v>62</v>
      </c>
      <c r="C207" s="5" t="s">
        <v>63</v>
      </c>
      <c r="D207" s="5" t="s">
        <v>29</v>
      </c>
      <c r="E207" s="5" t="s">
        <v>613</v>
      </c>
      <c r="F207" s="5" t="s">
        <v>25</v>
      </c>
      <c r="G207" s="5" t="s">
        <v>17</v>
      </c>
      <c r="H207" s="5" t="s">
        <v>614</v>
      </c>
      <c r="I207" s="5" t="s">
        <v>19</v>
      </c>
      <c r="J207" s="5">
        <v>400</v>
      </c>
      <c r="K207" s="5" t="s">
        <v>615</v>
      </c>
      <c r="L207" s="7">
        <v>1</v>
      </c>
    </row>
    <row r="208" spans="1:31" ht="15.75" customHeight="1" x14ac:dyDescent="0.2">
      <c r="A208" s="5">
        <v>2018</v>
      </c>
      <c r="B208" s="5" t="s">
        <v>616</v>
      </c>
      <c r="C208" s="5" t="s">
        <v>617</v>
      </c>
      <c r="D208" s="5" t="s">
        <v>14</v>
      </c>
      <c r="E208" s="5" t="s">
        <v>618</v>
      </c>
      <c r="F208" s="5" t="s">
        <v>43</v>
      </c>
      <c r="G208" s="5" t="s">
        <v>17</v>
      </c>
      <c r="H208" s="5" t="s">
        <v>18</v>
      </c>
      <c r="I208" s="5" t="s">
        <v>19</v>
      </c>
      <c r="J208" s="8">
        <v>667</v>
      </c>
      <c r="K208" s="5" t="s">
        <v>619</v>
      </c>
      <c r="L208" s="7">
        <v>0</v>
      </c>
    </row>
    <row r="209" spans="1:12" ht="15.75" customHeight="1" x14ac:dyDescent="0.2">
      <c r="A209" s="5">
        <v>2018</v>
      </c>
      <c r="B209" s="5" t="s">
        <v>34</v>
      </c>
      <c r="C209" s="5" t="s">
        <v>35</v>
      </c>
      <c r="D209" s="5" t="s">
        <v>14</v>
      </c>
      <c r="E209" s="5" t="s">
        <v>620</v>
      </c>
      <c r="F209" s="5" t="s">
        <v>16</v>
      </c>
      <c r="G209" s="5" t="s">
        <v>119</v>
      </c>
      <c r="H209" s="5" t="s">
        <v>18</v>
      </c>
      <c r="I209" s="5" t="s">
        <v>19</v>
      </c>
      <c r="J209" s="5">
        <v>500</v>
      </c>
      <c r="K209" s="5" t="s">
        <v>621</v>
      </c>
      <c r="L209" s="7">
        <v>1</v>
      </c>
    </row>
    <row r="210" spans="1:12" ht="15.75" customHeight="1" x14ac:dyDescent="0.2">
      <c r="A210" s="5">
        <v>2018</v>
      </c>
      <c r="B210" s="5" t="s">
        <v>21</v>
      </c>
      <c r="C210" s="5" t="s">
        <v>22</v>
      </c>
      <c r="D210" s="5" t="s">
        <v>23</v>
      </c>
      <c r="E210" s="5" t="s">
        <v>579</v>
      </c>
      <c r="F210" s="5" t="s">
        <v>43</v>
      </c>
      <c r="G210" s="5" t="s">
        <v>17</v>
      </c>
      <c r="H210" s="5" t="s">
        <v>622</v>
      </c>
      <c r="I210" s="5" t="s">
        <v>81</v>
      </c>
      <c r="J210" s="5">
        <v>497.7</v>
      </c>
      <c r="K210" s="5" t="s">
        <v>623</v>
      </c>
      <c r="L210" s="7">
        <v>1</v>
      </c>
    </row>
    <row r="211" spans="1:12" ht="15.75" customHeight="1" x14ac:dyDescent="0.2">
      <c r="A211" s="5">
        <v>2018</v>
      </c>
      <c r="B211" s="5" t="s">
        <v>524</v>
      </c>
      <c r="C211" s="5" t="s">
        <v>525</v>
      </c>
      <c r="D211" s="5" t="s">
        <v>14</v>
      </c>
      <c r="E211" s="5"/>
      <c r="F211" s="5" t="s">
        <v>43</v>
      </c>
      <c r="G211" s="5" t="s">
        <v>17</v>
      </c>
      <c r="H211" s="5" t="s">
        <v>527</v>
      </c>
      <c r="I211" s="5" t="s">
        <v>81</v>
      </c>
      <c r="J211" s="5">
        <v>2500</v>
      </c>
      <c r="K211" s="5" t="s">
        <v>624</v>
      </c>
      <c r="L211" s="7">
        <v>1</v>
      </c>
    </row>
    <row r="212" spans="1:12" ht="15.75" customHeight="1" x14ac:dyDescent="0.2">
      <c r="A212" s="5">
        <v>2018</v>
      </c>
      <c r="B212" s="5" t="s">
        <v>83</v>
      </c>
      <c r="C212" s="5" t="s">
        <v>84</v>
      </c>
      <c r="D212" s="5" t="s">
        <v>23</v>
      </c>
      <c r="E212" s="5" t="s">
        <v>625</v>
      </c>
      <c r="F212" s="5" t="s">
        <v>25</v>
      </c>
      <c r="G212" s="5" t="s">
        <v>17</v>
      </c>
      <c r="H212" s="5" t="s">
        <v>626</v>
      </c>
      <c r="I212" s="5" t="s">
        <v>19</v>
      </c>
      <c r="J212" s="5">
        <v>148</v>
      </c>
      <c r="K212" s="5" t="s">
        <v>627</v>
      </c>
      <c r="L212" s="7">
        <v>1</v>
      </c>
    </row>
    <row r="213" spans="1:12" ht="15.75" customHeight="1" x14ac:dyDescent="0.2">
      <c r="A213" s="5">
        <v>2018</v>
      </c>
      <c r="B213" s="5" t="s">
        <v>83</v>
      </c>
      <c r="C213" s="5" t="s">
        <v>84</v>
      </c>
      <c r="D213" s="5" t="s">
        <v>23</v>
      </c>
      <c r="E213" s="5" t="s">
        <v>628</v>
      </c>
      <c r="F213" s="5" t="s">
        <v>16</v>
      </c>
      <c r="G213" s="5" t="s">
        <v>17</v>
      </c>
      <c r="H213" s="5" t="s">
        <v>18</v>
      </c>
      <c r="I213" s="5" t="s">
        <v>19</v>
      </c>
      <c r="J213" s="5">
        <v>1000</v>
      </c>
      <c r="K213" s="5" t="s">
        <v>629</v>
      </c>
      <c r="L213" s="7">
        <v>1</v>
      </c>
    </row>
    <row r="214" spans="1:12" ht="15.75" customHeight="1" x14ac:dyDescent="0.2">
      <c r="A214" s="5">
        <v>2018</v>
      </c>
      <c r="B214" s="5" t="s">
        <v>117</v>
      </c>
      <c r="C214" s="5" t="s">
        <v>118</v>
      </c>
      <c r="D214" s="5" t="s">
        <v>79</v>
      </c>
      <c r="E214" s="5" t="s">
        <v>630</v>
      </c>
      <c r="F214" s="5" t="s">
        <v>16</v>
      </c>
      <c r="G214" s="5" t="s">
        <v>119</v>
      </c>
      <c r="H214" s="8" t="s">
        <v>120</v>
      </c>
      <c r="I214" s="5" t="s">
        <v>81</v>
      </c>
      <c r="J214" s="5">
        <v>1000</v>
      </c>
      <c r="K214" s="5" t="s">
        <v>631</v>
      </c>
      <c r="L214" s="7">
        <v>1</v>
      </c>
    </row>
    <row r="215" spans="1:12" ht="15.75" customHeight="1" x14ac:dyDescent="0.2">
      <c r="A215" s="8">
        <v>2009</v>
      </c>
      <c r="B215" s="8" t="s">
        <v>105</v>
      </c>
      <c r="C215" s="8" t="s">
        <v>106</v>
      </c>
      <c r="D215" s="8" t="s">
        <v>14</v>
      </c>
      <c r="E215" s="8" t="s">
        <v>632</v>
      </c>
      <c r="F215" s="8" t="s">
        <v>25</v>
      </c>
      <c r="G215" s="8" t="s">
        <v>17</v>
      </c>
      <c r="H215" s="8" t="s">
        <v>150</v>
      </c>
      <c r="I215" s="8" t="s">
        <v>19</v>
      </c>
      <c r="J215" s="8">
        <v>555</v>
      </c>
      <c r="K215" s="8" t="s">
        <v>633</v>
      </c>
      <c r="L215" s="7">
        <v>1</v>
      </c>
    </row>
    <row r="216" spans="1:12" ht="15.75" customHeight="1" x14ac:dyDescent="0.2">
      <c r="A216" s="8">
        <v>2011</v>
      </c>
      <c r="B216" s="8" t="s">
        <v>634</v>
      </c>
      <c r="C216" s="6" t="s">
        <v>635</v>
      </c>
      <c r="D216" s="8" t="s">
        <v>14</v>
      </c>
      <c r="E216" s="8" t="s">
        <v>636</v>
      </c>
      <c r="F216" s="8" t="s">
        <v>25</v>
      </c>
      <c r="G216" s="8" t="s">
        <v>17</v>
      </c>
      <c r="H216" s="8" t="s">
        <v>18</v>
      </c>
      <c r="I216" s="8" t="s">
        <v>19</v>
      </c>
      <c r="J216" s="8">
        <v>30</v>
      </c>
      <c r="K216" s="8" t="s">
        <v>637</v>
      </c>
      <c r="L216" s="7">
        <v>0</v>
      </c>
    </row>
    <row r="217" spans="1:12" ht="15.75" customHeight="1" x14ac:dyDescent="0.2">
      <c r="A217" s="8">
        <v>2011</v>
      </c>
      <c r="B217" s="8" t="s">
        <v>201</v>
      </c>
      <c r="C217" s="8" t="s">
        <v>202</v>
      </c>
      <c r="D217" s="8" t="s">
        <v>97</v>
      </c>
      <c r="E217" s="8" t="s">
        <v>638</v>
      </c>
      <c r="F217" s="8" t="s">
        <v>25</v>
      </c>
      <c r="G217" s="8" t="s">
        <v>17</v>
      </c>
      <c r="H217" s="8" t="s">
        <v>18</v>
      </c>
      <c r="I217" s="8" t="s">
        <v>81</v>
      </c>
      <c r="J217" s="8">
        <v>41.6</v>
      </c>
      <c r="K217" s="8" t="s">
        <v>639</v>
      </c>
      <c r="L217" s="7">
        <v>1</v>
      </c>
    </row>
    <row r="218" spans="1:12" ht="15.75" customHeight="1" x14ac:dyDescent="0.2">
      <c r="A218" s="8">
        <v>2011</v>
      </c>
      <c r="B218" s="8" t="s">
        <v>201</v>
      </c>
      <c r="C218" s="8" t="s">
        <v>202</v>
      </c>
      <c r="D218" s="8" t="s">
        <v>97</v>
      </c>
      <c r="E218" s="8" t="s">
        <v>640</v>
      </c>
      <c r="F218" s="8" t="s">
        <v>25</v>
      </c>
      <c r="G218" s="8" t="s">
        <v>17</v>
      </c>
      <c r="H218" s="8" t="s">
        <v>18</v>
      </c>
      <c r="I218" s="8" t="s">
        <v>81</v>
      </c>
      <c r="J218" s="8">
        <v>95.5</v>
      </c>
      <c r="K218" s="8" t="s">
        <v>641</v>
      </c>
      <c r="L218" s="7">
        <v>1</v>
      </c>
    </row>
    <row r="219" spans="1:12" ht="15.75" customHeight="1" x14ac:dyDescent="0.2">
      <c r="A219" s="8">
        <v>2011</v>
      </c>
      <c r="B219" s="8" t="s">
        <v>201</v>
      </c>
      <c r="C219" s="8" t="s">
        <v>202</v>
      </c>
      <c r="D219" s="8" t="s">
        <v>97</v>
      </c>
      <c r="E219" s="8" t="s">
        <v>642</v>
      </c>
      <c r="F219" s="8" t="s">
        <v>25</v>
      </c>
      <c r="G219" s="8" t="s">
        <v>17</v>
      </c>
      <c r="H219" s="8" t="s">
        <v>18</v>
      </c>
      <c r="I219" s="8" t="s">
        <v>81</v>
      </c>
      <c r="J219" s="8">
        <v>185</v>
      </c>
      <c r="K219" s="8" t="s">
        <v>643</v>
      </c>
      <c r="L219" s="7">
        <v>1</v>
      </c>
    </row>
    <row r="220" spans="1:12" ht="15.75" customHeight="1" x14ac:dyDescent="0.2">
      <c r="A220" s="8">
        <v>2013</v>
      </c>
      <c r="B220" s="8" t="s">
        <v>644</v>
      </c>
      <c r="C220" s="8" t="s">
        <v>645</v>
      </c>
      <c r="D220" s="8" t="s">
        <v>79</v>
      </c>
      <c r="E220" s="8" t="s">
        <v>646</v>
      </c>
      <c r="F220" s="8" t="s">
        <v>226</v>
      </c>
      <c r="G220" s="8" t="s">
        <v>17</v>
      </c>
      <c r="H220" s="8" t="s">
        <v>647</v>
      </c>
      <c r="I220" s="8" t="s">
        <v>81</v>
      </c>
      <c r="J220" s="8">
        <v>83</v>
      </c>
      <c r="K220" s="8" t="s">
        <v>648</v>
      </c>
      <c r="L220" s="7">
        <v>1</v>
      </c>
    </row>
    <row r="221" spans="1:12" ht="15.75" customHeight="1" x14ac:dyDescent="0.2">
      <c r="A221" s="8">
        <v>2014</v>
      </c>
      <c r="B221" s="8" t="s">
        <v>105</v>
      </c>
      <c r="C221" s="8" t="s">
        <v>106</v>
      </c>
      <c r="D221" s="8" t="s">
        <v>14</v>
      </c>
      <c r="E221" s="8" t="s">
        <v>649</v>
      </c>
      <c r="F221" s="8" t="s">
        <v>25</v>
      </c>
      <c r="G221" s="8" t="s">
        <v>17</v>
      </c>
      <c r="H221" s="8" t="s">
        <v>150</v>
      </c>
      <c r="I221" s="8" t="s">
        <v>19</v>
      </c>
      <c r="J221" s="8">
        <f>583*0.8</f>
        <v>466.40000000000003</v>
      </c>
      <c r="K221" s="8" t="s">
        <v>650</v>
      </c>
      <c r="L221" s="7">
        <v>1</v>
      </c>
    </row>
    <row r="222" spans="1:12" ht="15.75" customHeight="1" x14ac:dyDescent="0.2">
      <c r="A222" s="8">
        <v>2016</v>
      </c>
      <c r="B222" s="8" t="s">
        <v>21</v>
      </c>
      <c r="C222" s="8" t="s">
        <v>22</v>
      </c>
      <c r="D222" s="8" t="s">
        <v>23</v>
      </c>
      <c r="E222" s="8" t="s">
        <v>481</v>
      </c>
      <c r="F222" s="8" t="s">
        <v>43</v>
      </c>
      <c r="G222" s="8" t="s">
        <v>17</v>
      </c>
      <c r="H222" s="8" t="s">
        <v>18</v>
      </c>
      <c r="I222" s="8" t="s">
        <v>81</v>
      </c>
      <c r="J222" s="8">
        <v>750</v>
      </c>
      <c r="K222" s="8" t="s">
        <v>651</v>
      </c>
      <c r="L222" s="7">
        <v>1</v>
      </c>
    </row>
    <row r="223" spans="1:12" ht="15.75" customHeight="1" x14ac:dyDescent="0.2">
      <c r="A223" s="8">
        <v>2017</v>
      </c>
      <c r="B223" s="8" t="s">
        <v>21</v>
      </c>
      <c r="C223" s="8" t="s">
        <v>22</v>
      </c>
      <c r="D223" s="8" t="s">
        <v>23</v>
      </c>
      <c r="E223" s="8" t="s">
        <v>652</v>
      </c>
      <c r="F223" s="8" t="s">
        <v>262</v>
      </c>
      <c r="G223" s="8" t="s">
        <v>17</v>
      </c>
      <c r="H223" s="8" t="s">
        <v>653</v>
      </c>
      <c r="I223" s="8" t="s">
        <v>81</v>
      </c>
      <c r="J223" s="8">
        <v>224</v>
      </c>
      <c r="K223" s="8" t="s">
        <v>654</v>
      </c>
      <c r="L223" s="7">
        <v>1</v>
      </c>
    </row>
    <row r="224" spans="1:12" ht="15.75" customHeight="1" x14ac:dyDescent="0.2">
      <c r="A224" s="8">
        <v>2018</v>
      </c>
      <c r="B224" s="8" t="s">
        <v>348</v>
      </c>
      <c r="C224" s="8" t="s">
        <v>349</v>
      </c>
      <c r="D224" s="8" t="s">
        <v>14</v>
      </c>
      <c r="E224" s="8"/>
      <c r="F224" s="6" t="s">
        <v>91</v>
      </c>
      <c r="G224" s="8" t="s">
        <v>92</v>
      </c>
      <c r="H224" s="8" t="s">
        <v>18</v>
      </c>
      <c r="I224" s="8" t="s">
        <v>19</v>
      </c>
      <c r="J224" s="8">
        <v>824</v>
      </c>
      <c r="K224" s="8" t="s">
        <v>655</v>
      </c>
      <c r="L224" s="7">
        <v>1</v>
      </c>
    </row>
    <row r="225" spans="1:12" ht="15.75" customHeight="1" x14ac:dyDescent="0.2">
      <c r="A225" s="8">
        <v>2018</v>
      </c>
      <c r="B225" s="8" t="s">
        <v>587</v>
      </c>
      <c r="C225" s="8" t="s">
        <v>588</v>
      </c>
      <c r="D225" s="8" t="s">
        <v>29</v>
      </c>
      <c r="E225" s="8" t="s">
        <v>656</v>
      </c>
      <c r="F225" s="8" t="s">
        <v>91</v>
      </c>
      <c r="G225" s="8" t="s">
        <v>92</v>
      </c>
      <c r="H225" s="8" t="s">
        <v>18</v>
      </c>
      <c r="I225" s="8" t="s">
        <v>19</v>
      </c>
      <c r="J225" s="8">
        <v>157</v>
      </c>
      <c r="K225" s="8" t="s">
        <v>657</v>
      </c>
      <c r="L225" s="7">
        <v>1</v>
      </c>
    </row>
    <row r="226" spans="1:12" ht="15.75" customHeight="1" x14ac:dyDescent="0.2">
      <c r="A226" s="8">
        <v>2015</v>
      </c>
      <c r="B226" s="8" t="s">
        <v>658</v>
      </c>
      <c r="C226" s="6" t="s">
        <v>659</v>
      </c>
      <c r="D226" s="8" t="s">
        <v>660</v>
      </c>
      <c r="E226" s="8" t="s">
        <v>661</v>
      </c>
      <c r="F226" s="8" t="s">
        <v>91</v>
      </c>
      <c r="G226" s="8" t="s">
        <v>92</v>
      </c>
      <c r="H226" s="8" t="s">
        <v>626</v>
      </c>
      <c r="I226" s="8" t="s">
        <v>19</v>
      </c>
      <c r="J226" s="8">
        <v>113.04</v>
      </c>
      <c r="K226" s="8" t="s">
        <v>662</v>
      </c>
      <c r="L226" s="7">
        <v>1</v>
      </c>
    </row>
    <row r="227" spans="1:12" ht="15.75" customHeight="1" x14ac:dyDescent="0.2">
      <c r="A227" s="8">
        <v>2001</v>
      </c>
      <c r="B227" s="8" t="s">
        <v>663</v>
      </c>
      <c r="C227" s="8" t="s">
        <v>664</v>
      </c>
      <c r="D227" s="6" t="s">
        <v>79</v>
      </c>
      <c r="E227" s="8" t="s">
        <v>665</v>
      </c>
      <c r="F227" s="8" t="s">
        <v>25</v>
      </c>
      <c r="G227" s="8" t="s">
        <v>17</v>
      </c>
      <c r="H227" s="8"/>
      <c r="I227" s="8" t="s">
        <v>19</v>
      </c>
      <c r="J227" s="8">
        <v>150</v>
      </c>
      <c r="K227" s="8" t="s">
        <v>666</v>
      </c>
      <c r="L227" s="7">
        <v>1</v>
      </c>
    </row>
    <row r="228" spans="1:12" ht="15.75" customHeight="1" x14ac:dyDescent="0.2">
      <c r="A228" s="8">
        <v>2001</v>
      </c>
      <c r="B228" s="8" t="s">
        <v>551</v>
      </c>
      <c r="C228" s="8" t="s">
        <v>552</v>
      </c>
      <c r="D228" s="8" t="s">
        <v>553</v>
      </c>
      <c r="E228" s="8" t="s">
        <v>667</v>
      </c>
      <c r="F228" s="8" t="s">
        <v>25</v>
      </c>
      <c r="G228" s="8" t="s">
        <v>17</v>
      </c>
      <c r="H228" s="8" t="s">
        <v>668</v>
      </c>
      <c r="I228" s="8" t="s">
        <v>19</v>
      </c>
      <c r="J228" s="8">
        <f>153*0.85</f>
        <v>130.04999999999998</v>
      </c>
      <c r="K228" s="8" t="s">
        <v>669</v>
      </c>
      <c r="L228" s="7">
        <v>1</v>
      </c>
    </row>
    <row r="229" spans="1:12" ht="15.75" customHeight="1" x14ac:dyDescent="0.2">
      <c r="A229" s="8">
        <v>2002</v>
      </c>
      <c r="B229" s="8" t="s">
        <v>105</v>
      </c>
      <c r="C229" s="8" t="s">
        <v>106</v>
      </c>
      <c r="D229" s="8" t="s">
        <v>14</v>
      </c>
      <c r="E229" s="8" t="s">
        <v>670</v>
      </c>
      <c r="F229" s="8" t="s">
        <v>25</v>
      </c>
      <c r="G229" s="8" t="s">
        <v>17</v>
      </c>
      <c r="H229" s="8" t="s">
        <v>18</v>
      </c>
      <c r="I229" s="8" t="s">
        <v>19</v>
      </c>
      <c r="J229" s="8">
        <v>50</v>
      </c>
      <c r="K229" s="8" t="s">
        <v>671</v>
      </c>
      <c r="L229" s="7">
        <v>1</v>
      </c>
    </row>
    <row r="230" spans="1:12" ht="15.75" customHeight="1" x14ac:dyDescent="0.2">
      <c r="A230" s="8">
        <v>2006</v>
      </c>
      <c r="B230" s="8" t="s">
        <v>62</v>
      </c>
      <c r="C230" s="8" t="s">
        <v>63</v>
      </c>
      <c r="D230" s="8" t="s">
        <v>29</v>
      </c>
      <c r="E230" s="8" t="s">
        <v>672</v>
      </c>
      <c r="F230" s="8" t="s">
        <v>25</v>
      </c>
      <c r="G230" s="8" t="s">
        <v>17</v>
      </c>
      <c r="H230" s="8" t="s">
        <v>673</v>
      </c>
      <c r="I230" s="8" t="s">
        <v>81</v>
      </c>
      <c r="J230" s="8">
        <f>149.2-30</f>
        <v>119.19999999999999</v>
      </c>
      <c r="K230" s="8" t="s">
        <v>674</v>
      </c>
      <c r="L230" s="7">
        <v>1</v>
      </c>
    </row>
    <row r="231" spans="1:12" ht="15.75" customHeight="1" x14ac:dyDescent="0.2">
      <c r="A231" s="8">
        <v>2007</v>
      </c>
      <c r="B231" s="8" t="s">
        <v>117</v>
      </c>
      <c r="C231" s="8" t="s">
        <v>118</v>
      </c>
      <c r="D231" s="8" t="s">
        <v>79</v>
      </c>
      <c r="E231" s="8" t="s">
        <v>675</v>
      </c>
      <c r="F231" s="8" t="s">
        <v>25</v>
      </c>
      <c r="G231" s="8" t="s">
        <v>17</v>
      </c>
      <c r="H231" s="8" t="s">
        <v>18</v>
      </c>
      <c r="I231" s="8" t="s">
        <v>19</v>
      </c>
      <c r="J231" s="8">
        <v>18</v>
      </c>
      <c r="K231" s="8" t="s">
        <v>676</v>
      </c>
      <c r="L231" s="7">
        <v>1</v>
      </c>
    </row>
    <row r="232" spans="1:12" ht="15.75" customHeight="1" x14ac:dyDescent="0.2">
      <c r="A232" s="8">
        <v>2009</v>
      </c>
      <c r="B232" s="8" t="s">
        <v>73</v>
      </c>
      <c r="C232" s="8" t="s">
        <v>74</v>
      </c>
      <c r="D232" s="8" t="s">
        <v>14</v>
      </c>
      <c r="E232" s="8" t="s">
        <v>677</v>
      </c>
      <c r="F232" s="8" t="s">
        <v>16</v>
      </c>
      <c r="G232" s="8" t="s">
        <v>17</v>
      </c>
      <c r="H232" s="8" t="s">
        <v>18</v>
      </c>
      <c r="I232" s="8" t="s">
        <v>19</v>
      </c>
      <c r="J232" s="8">
        <f>99.91*1.39</f>
        <v>138.8749</v>
      </c>
      <c r="K232" s="12" t="s">
        <v>678</v>
      </c>
      <c r="L232" s="7">
        <v>1</v>
      </c>
    </row>
    <row r="233" spans="1:12" ht="15.75" customHeight="1" x14ac:dyDescent="0.2">
      <c r="A233" s="8">
        <v>2009</v>
      </c>
      <c r="B233" s="8" t="s">
        <v>105</v>
      </c>
      <c r="C233" s="8" t="s">
        <v>106</v>
      </c>
      <c r="D233" s="8" t="s">
        <v>14</v>
      </c>
      <c r="E233" s="8" t="s">
        <v>679</v>
      </c>
      <c r="F233" s="8" t="s">
        <v>25</v>
      </c>
      <c r="G233" s="8" t="s">
        <v>17</v>
      </c>
      <c r="H233" s="8" t="s">
        <v>18</v>
      </c>
      <c r="I233" s="8" t="s">
        <v>19</v>
      </c>
      <c r="J233" s="8">
        <f>2670*0.85</f>
        <v>2269.5</v>
      </c>
      <c r="K233" s="8" t="s">
        <v>680</v>
      </c>
      <c r="L233" s="7">
        <v>1</v>
      </c>
    </row>
    <row r="234" spans="1:12" ht="15.75" customHeight="1" x14ac:dyDescent="0.2">
      <c r="A234" s="8">
        <v>2009</v>
      </c>
      <c r="B234" s="8" t="s">
        <v>117</v>
      </c>
      <c r="C234" s="8" t="s">
        <v>118</v>
      </c>
      <c r="D234" s="8" t="s">
        <v>79</v>
      </c>
      <c r="E234" s="8" t="s">
        <v>681</v>
      </c>
      <c r="F234" s="8" t="s">
        <v>91</v>
      </c>
      <c r="G234" s="8" t="s">
        <v>92</v>
      </c>
      <c r="H234" s="8" t="s">
        <v>682</v>
      </c>
      <c r="I234" s="8" t="s">
        <v>19</v>
      </c>
      <c r="J234" s="8">
        <v>26.3</v>
      </c>
      <c r="K234" s="8" t="s">
        <v>683</v>
      </c>
      <c r="L234" s="7">
        <v>1</v>
      </c>
    </row>
    <row r="235" spans="1:12" ht="15.75" customHeight="1" x14ac:dyDescent="0.2">
      <c r="A235" s="8">
        <v>2009</v>
      </c>
      <c r="B235" s="8" t="s">
        <v>40</v>
      </c>
      <c r="C235" s="8" t="s">
        <v>41</v>
      </c>
      <c r="D235" s="8" t="s">
        <v>29</v>
      </c>
      <c r="E235" s="8" t="s">
        <v>684</v>
      </c>
      <c r="F235" s="8" t="s">
        <v>43</v>
      </c>
      <c r="G235" s="8" t="s">
        <v>17</v>
      </c>
      <c r="H235" s="8" t="s">
        <v>332</v>
      </c>
      <c r="I235" s="8" t="s">
        <v>19</v>
      </c>
      <c r="J235" s="8">
        <v>178.5</v>
      </c>
      <c r="K235" s="8" t="s">
        <v>685</v>
      </c>
      <c r="L235" s="7">
        <v>1</v>
      </c>
    </row>
    <row r="236" spans="1:12" ht="15.75" customHeight="1" x14ac:dyDescent="0.2">
      <c r="A236" s="8">
        <v>2009</v>
      </c>
      <c r="B236" s="8" t="s">
        <v>242</v>
      </c>
      <c r="C236" s="8" t="s">
        <v>243</v>
      </c>
      <c r="D236" s="8" t="s">
        <v>14</v>
      </c>
      <c r="E236" s="8" t="s">
        <v>686</v>
      </c>
      <c r="F236" s="8" t="s">
        <v>25</v>
      </c>
      <c r="G236" s="8" t="s">
        <v>17</v>
      </c>
      <c r="H236" s="8" t="s">
        <v>18</v>
      </c>
      <c r="I236" s="8" t="s">
        <v>19</v>
      </c>
      <c r="J236" s="8">
        <v>189.9</v>
      </c>
      <c r="K236" s="12" t="s">
        <v>687</v>
      </c>
      <c r="L236" s="7">
        <v>1</v>
      </c>
    </row>
    <row r="237" spans="1:12" ht="15.75" customHeight="1" x14ac:dyDescent="0.2">
      <c r="A237" s="8">
        <v>2011</v>
      </c>
      <c r="B237" s="8" t="s">
        <v>131</v>
      </c>
      <c r="C237" s="8" t="s">
        <v>132</v>
      </c>
      <c r="D237" s="8" t="s">
        <v>14</v>
      </c>
      <c r="E237" s="8" t="s">
        <v>688</v>
      </c>
      <c r="F237" s="8" t="s">
        <v>91</v>
      </c>
      <c r="G237" s="8" t="s">
        <v>92</v>
      </c>
      <c r="H237" s="8" t="s">
        <v>18</v>
      </c>
      <c r="I237" s="8" t="s">
        <v>19</v>
      </c>
      <c r="J237" s="8">
        <v>130</v>
      </c>
      <c r="K237" s="8" t="s">
        <v>689</v>
      </c>
      <c r="L237" s="7">
        <v>1</v>
      </c>
    </row>
    <row r="238" spans="1:12" ht="15.75" customHeight="1" x14ac:dyDescent="0.2">
      <c r="A238" s="12">
        <v>2011</v>
      </c>
      <c r="B238" s="12" t="s">
        <v>62</v>
      </c>
      <c r="C238" s="12" t="s">
        <v>63</v>
      </c>
      <c r="D238" s="8" t="s">
        <v>29</v>
      </c>
      <c r="E238" s="12" t="s">
        <v>690</v>
      </c>
      <c r="F238" s="8" t="s">
        <v>25</v>
      </c>
      <c r="G238" s="8" t="s">
        <v>17</v>
      </c>
      <c r="H238" s="8" t="s">
        <v>691</v>
      </c>
      <c r="I238" s="8" t="s">
        <v>81</v>
      </c>
      <c r="J238" s="12">
        <v>770</v>
      </c>
      <c r="K238" s="8" t="s">
        <v>692</v>
      </c>
      <c r="L238" s="7">
        <v>1</v>
      </c>
    </row>
    <row r="239" spans="1:12" ht="15.75" customHeight="1" x14ac:dyDescent="0.2">
      <c r="A239" s="8">
        <v>2011</v>
      </c>
      <c r="B239" s="8" t="s">
        <v>62</v>
      </c>
      <c r="C239" s="8" t="s">
        <v>63</v>
      </c>
      <c r="D239" s="8" t="s">
        <v>29</v>
      </c>
      <c r="E239" s="8" t="s">
        <v>693</v>
      </c>
      <c r="F239" s="8" t="s">
        <v>25</v>
      </c>
      <c r="G239" s="8" t="s">
        <v>17</v>
      </c>
      <c r="H239" s="8" t="s">
        <v>673</v>
      </c>
      <c r="I239" s="8" t="s">
        <v>81</v>
      </c>
      <c r="J239" s="8">
        <v>345</v>
      </c>
      <c r="K239" s="8" t="s">
        <v>694</v>
      </c>
      <c r="L239" s="7">
        <v>1</v>
      </c>
    </row>
    <row r="240" spans="1:12" ht="15.75" customHeight="1" x14ac:dyDescent="0.2">
      <c r="A240" s="8">
        <v>2012</v>
      </c>
      <c r="B240" s="8" t="s">
        <v>410</v>
      </c>
      <c r="C240" s="8" t="s">
        <v>411</v>
      </c>
      <c r="D240" s="8" t="s">
        <v>14</v>
      </c>
      <c r="E240" s="8" t="s">
        <v>695</v>
      </c>
      <c r="F240" s="8" t="s">
        <v>91</v>
      </c>
      <c r="G240" s="8" t="s">
        <v>92</v>
      </c>
      <c r="H240" s="8" t="s">
        <v>18</v>
      </c>
      <c r="I240" s="8" t="s">
        <v>19</v>
      </c>
      <c r="J240" s="8">
        <v>53</v>
      </c>
      <c r="K240" s="8" t="s">
        <v>696</v>
      </c>
      <c r="L240" s="7">
        <v>1</v>
      </c>
    </row>
    <row r="241" spans="1:12" ht="15.75" customHeight="1" x14ac:dyDescent="0.2">
      <c r="A241" s="8">
        <v>2012</v>
      </c>
      <c r="B241" s="8" t="s">
        <v>49</v>
      </c>
      <c r="C241" s="8" t="s">
        <v>50</v>
      </c>
      <c r="D241" s="8" t="s">
        <v>14</v>
      </c>
      <c r="E241" s="8" t="s">
        <v>697</v>
      </c>
      <c r="F241" s="8" t="s">
        <v>25</v>
      </c>
      <c r="G241" s="8" t="s">
        <v>17</v>
      </c>
      <c r="H241" s="8" t="s">
        <v>18</v>
      </c>
      <c r="I241" s="8" t="s">
        <v>19</v>
      </c>
      <c r="J241" s="8">
        <v>110</v>
      </c>
      <c r="K241" s="12" t="s">
        <v>698</v>
      </c>
      <c r="L241" s="7">
        <v>1</v>
      </c>
    </row>
    <row r="242" spans="1:12" ht="15.75" customHeight="1" x14ac:dyDescent="0.2">
      <c r="A242" s="8">
        <v>2012</v>
      </c>
      <c r="B242" s="8" t="s">
        <v>117</v>
      </c>
      <c r="C242" s="8" t="s">
        <v>118</v>
      </c>
      <c r="D242" s="8" t="s">
        <v>79</v>
      </c>
      <c r="E242" s="8" t="s">
        <v>681</v>
      </c>
      <c r="F242" s="8" t="s">
        <v>16</v>
      </c>
      <c r="G242" s="8" t="s">
        <v>17</v>
      </c>
      <c r="H242" s="8" t="s">
        <v>682</v>
      </c>
      <c r="I242" s="8" t="s">
        <v>81</v>
      </c>
      <c r="J242" s="8">
        <v>220</v>
      </c>
      <c r="K242" s="8" t="s">
        <v>699</v>
      </c>
      <c r="L242" s="7">
        <v>1</v>
      </c>
    </row>
    <row r="243" spans="1:12" ht="15.75" customHeight="1" x14ac:dyDescent="0.2">
      <c r="A243" s="8">
        <v>2012</v>
      </c>
      <c r="B243" s="8" t="s">
        <v>117</v>
      </c>
      <c r="C243" s="8" t="s">
        <v>118</v>
      </c>
      <c r="D243" s="8" t="s">
        <v>79</v>
      </c>
      <c r="E243" s="8" t="s">
        <v>700</v>
      </c>
      <c r="F243" s="8" t="s">
        <v>91</v>
      </c>
      <c r="G243" s="8" t="s">
        <v>92</v>
      </c>
      <c r="H243" s="8" t="s">
        <v>682</v>
      </c>
      <c r="I243" s="8" t="s">
        <v>19</v>
      </c>
      <c r="J243" s="8">
        <v>37.1</v>
      </c>
      <c r="K243" s="8" t="s">
        <v>701</v>
      </c>
      <c r="L243" s="7">
        <v>1</v>
      </c>
    </row>
    <row r="244" spans="1:12" ht="15.75" customHeight="1" x14ac:dyDescent="0.2">
      <c r="A244" s="8">
        <v>2013</v>
      </c>
      <c r="B244" s="8" t="s">
        <v>410</v>
      </c>
      <c r="C244" s="8" t="s">
        <v>411</v>
      </c>
      <c r="D244" s="8" t="s">
        <v>14</v>
      </c>
      <c r="E244" s="8" t="s">
        <v>91</v>
      </c>
      <c r="F244" s="8" t="s">
        <v>54</v>
      </c>
      <c r="G244" s="8" t="s">
        <v>119</v>
      </c>
      <c r="H244" s="8" t="s">
        <v>702</v>
      </c>
      <c r="I244" s="8" t="s">
        <v>81</v>
      </c>
      <c r="J244" s="8">
        <f>1000*1.32</f>
        <v>1320</v>
      </c>
      <c r="K244" s="8" t="s">
        <v>703</v>
      </c>
      <c r="L244" s="7">
        <v>1</v>
      </c>
    </row>
    <row r="245" spans="1:12" ht="15.75" customHeight="1" x14ac:dyDescent="0.2">
      <c r="A245" s="8">
        <v>2013</v>
      </c>
      <c r="B245" s="8" t="s">
        <v>27</v>
      </c>
      <c r="C245" s="8" t="s">
        <v>28</v>
      </c>
      <c r="D245" s="8" t="s">
        <v>29</v>
      </c>
      <c r="E245" s="8" t="s">
        <v>704</v>
      </c>
      <c r="F245" s="8" t="s">
        <v>91</v>
      </c>
      <c r="G245" s="8" t="s">
        <v>92</v>
      </c>
      <c r="H245" s="8" t="s">
        <v>18</v>
      </c>
      <c r="I245" s="8" t="s">
        <v>19</v>
      </c>
      <c r="J245" s="8">
        <v>75.86</v>
      </c>
      <c r="K245" s="8" t="s">
        <v>705</v>
      </c>
      <c r="L245" s="7">
        <v>1</v>
      </c>
    </row>
    <row r="246" spans="1:12" ht="15.75" customHeight="1" x14ac:dyDescent="0.2">
      <c r="A246" s="8">
        <v>2013</v>
      </c>
      <c r="B246" s="8" t="s">
        <v>27</v>
      </c>
      <c r="C246" s="8" t="s">
        <v>28</v>
      </c>
      <c r="D246" s="8" t="s">
        <v>29</v>
      </c>
      <c r="E246" s="8" t="s">
        <v>706</v>
      </c>
      <c r="F246" s="8" t="s">
        <v>91</v>
      </c>
      <c r="G246" s="8" t="s">
        <v>92</v>
      </c>
      <c r="H246" s="8" t="s">
        <v>18</v>
      </c>
      <c r="I246" s="8" t="s">
        <v>19</v>
      </c>
      <c r="J246" s="8">
        <v>121</v>
      </c>
      <c r="K246" s="8" t="s">
        <v>707</v>
      </c>
      <c r="L246" s="7">
        <v>1</v>
      </c>
    </row>
    <row r="247" spans="1:12" ht="15.75" customHeight="1" x14ac:dyDescent="0.2">
      <c r="A247" s="8">
        <v>2013</v>
      </c>
      <c r="B247" s="8" t="s">
        <v>529</v>
      </c>
      <c r="C247" s="8" t="s">
        <v>530</v>
      </c>
      <c r="D247" s="8" t="s">
        <v>14</v>
      </c>
      <c r="E247" s="8" t="s">
        <v>708</v>
      </c>
      <c r="F247" s="8" t="s">
        <v>25</v>
      </c>
      <c r="G247" s="8" t="s">
        <v>17</v>
      </c>
      <c r="H247" s="8" t="s">
        <v>18</v>
      </c>
      <c r="I247" s="8" t="s">
        <v>19</v>
      </c>
      <c r="J247" s="8">
        <v>27</v>
      </c>
      <c r="K247" s="8" t="s">
        <v>709</v>
      </c>
      <c r="L247" s="7">
        <v>1</v>
      </c>
    </row>
    <row r="248" spans="1:12" ht="15.75" customHeight="1" x14ac:dyDescent="0.2">
      <c r="A248" s="8">
        <v>2015</v>
      </c>
      <c r="B248" s="8" t="s">
        <v>442</v>
      </c>
      <c r="C248" s="8" t="s">
        <v>443</v>
      </c>
      <c r="D248" s="8" t="s">
        <v>14</v>
      </c>
      <c r="E248" s="8" t="s">
        <v>710</v>
      </c>
      <c r="F248" s="8" t="s">
        <v>91</v>
      </c>
      <c r="G248" s="8" t="s">
        <v>92</v>
      </c>
      <c r="H248" s="8" t="s">
        <v>18</v>
      </c>
      <c r="I248" s="8" t="s">
        <v>19</v>
      </c>
      <c r="J248" s="8">
        <v>19</v>
      </c>
      <c r="K248" s="8" t="s">
        <v>711</v>
      </c>
      <c r="L248" s="7">
        <v>1</v>
      </c>
    </row>
    <row r="249" spans="1:12" ht="15.75" customHeight="1" x14ac:dyDescent="0.2">
      <c r="A249" s="8">
        <v>2015</v>
      </c>
      <c r="B249" s="8" t="s">
        <v>27</v>
      </c>
      <c r="C249" s="8" t="s">
        <v>28</v>
      </c>
      <c r="D249" s="8" t="s">
        <v>29</v>
      </c>
      <c r="E249" s="8" t="s">
        <v>712</v>
      </c>
      <c r="F249" s="8" t="s">
        <v>91</v>
      </c>
      <c r="G249" s="8" t="s">
        <v>92</v>
      </c>
      <c r="H249" s="8" t="s">
        <v>18</v>
      </c>
      <c r="I249" s="8" t="s">
        <v>19</v>
      </c>
      <c r="J249" s="8">
        <v>90</v>
      </c>
      <c r="K249" s="8" t="s">
        <v>713</v>
      </c>
      <c r="L249" s="7">
        <v>1</v>
      </c>
    </row>
    <row r="250" spans="1:12" ht="15.75" customHeight="1" x14ac:dyDescent="0.2">
      <c r="A250" s="8">
        <v>2015</v>
      </c>
      <c r="B250" s="8" t="s">
        <v>348</v>
      </c>
      <c r="C250" s="8" t="s">
        <v>349</v>
      </c>
      <c r="D250" s="8" t="s">
        <v>14</v>
      </c>
      <c r="E250" s="8" t="s">
        <v>714</v>
      </c>
      <c r="F250" s="8" t="s">
        <v>91</v>
      </c>
      <c r="G250" s="8" t="s">
        <v>92</v>
      </c>
      <c r="H250" s="8" t="s">
        <v>626</v>
      </c>
      <c r="I250" s="8" t="s">
        <v>19</v>
      </c>
      <c r="J250" s="8">
        <v>778</v>
      </c>
      <c r="K250" s="12" t="s">
        <v>715</v>
      </c>
      <c r="L250" s="7">
        <v>1</v>
      </c>
    </row>
    <row r="251" spans="1:12" ht="15.75" customHeight="1" x14ac:dyDescent="0.2">
      <c r="A251" s="8">
        <v>2015</v>
      </c>
      <c r="B251" s="8" t="s">
        <v>716</v>
      </c>
      <c r="C251" s="8" t="s">
        <v>717</v>
      </c>
      <c r="D251" s="8" t="s">
        <v>14</v>
      </c>
      <c r="E251" s="8" t="s">
        <v>718</v>
      </c>
      <c r="F251" s="8" t="s">
        <v>25</v>
      </c>
      <c r="G251" s="8" t="s">
        <v>17</v>
      </c>
      <c r="H251" s="8" t="s">
        <v>18</v>
      </c>
      <c r="I251" s="8" t="s">
        <v>19</v>
      </c>
      <c r="J251" s="8">
        <v>98</v>
      </c>
      <c r="K251" s="8" t="s">
        <v>719</v>
      </c>
      <c r="L251" s="7">
        <v>0</v>
      </c>
    </row>
    <row r="252" spans="1:12" ht="15.75" customHeight="1" x14ac:dyDescent="0.2">
      <c r="A252" s="12">
        <v>2015</v>
      </c>
      <c r="B252" s="12" t="s">
        <v>105</v>
      </c>
      <c r="C252" s="8" t="s">
        <v>106</v>
      </c>
      <c r="D252" s="8" t="s">
        <v>14</v>
      </c>
      <c r="E252" s="8" t="s">
        <v>720</v>
      </c>
      <c r="F252" s="8" t="s">
        <v>91</v>
      </c>
      <c r="G252" s="8" t="s">
        <v>92</v>
      </c>
      <c r="H252" s="8" t="s">
        <v>150</v>
      </c>
      <c r="I252" s="8" t="s">
        <v>19</v>
      </c>
      <c r="J252" s="22">
        <v>27.7</v>
      </c>
      <c r="K252" s="12" t="s">
        <v>721</v>
      </c>
      <c r="L252" s="7">
        <v>1</v>
      </c>
    </row>
    <row r="253" spans="1:12" ht="15.75" customHeight="1" x14ac:dyDescent="0.2">
      <c r="A253" s="8">
        <v>2015</v>
      </c>
      <c r="B253" s="8" t="s">
        <v>229</v>
      </c>
      <c r="C253" s="8" t="s">
        <v>230</v>
      </c>
      <c r="D253" s="8" t="s">
        <v>14</v>
      </c>
      <c r="E253" s="12" t="s">
        <v>722</v>
      </c>
      <c r="F253" s="8" t="s">
        <v>91</v>
      </c>
      <c r="G253" s="8" t="s">
        <v>92</v>
      </c>
      <c r="H253" s="8" t="s">
        <v>18</v>
      </c>
      <c r="I253" s="8" t="s">
        <v>19</v>
      </c>
      <c r="J253" s="8">
        <f>9700/102.86</f>
        <v>94.302936029554729</v>
      </c>
      <c r="K253" s="12" t="s">
        <v>723</v>
      </c>
      <c r="L253" s="7">
        <v>1</v>
      </c>
    </row>
    <row r="254" spans="1:12" ht="15.75" customHeight="1" x14ac:dyDescent="0.2">
      <c r="A254" s="8">
        <v>2016</v>
      </c>
      <c r="B254" s="8" t="s">
        <v>27</v>
      </c>
      <c r="C254" s="8" t="s">
        <v>28</v>
      </c>
      <c r="D254" s="8" t="s">
        <v>29</v>
      </c>
      <c r="E254" s="8" t="s">
        <v>724</v>
      </c>
      <c r="F254" s="8" t="s">
        <v>91</v>
      </c>
      <c r="G254" s="8" t="s">
        <v>92</v>
      </c>
      <c r="H254" s="8" t="s">
        <v>18</v>
      </c>
      <c r="I254" s="8" t="s">
        <v>19</v>
      </c>
      <c r="J254" s="8">
        <v>90</v>
      </c>
      <c r="K254" s="8" t="s">
        <v>725</v>
      </c>
      <c r="L254" s="7">
        <v>1</v>
      </c>
    </row>
    <row r="255" spans="1:12" ht="15.75" customHeight="1" x14ac:dyDescent="0.2">
      <c r="A255" s="8">
        <v>2016</v>
      </c>
      <c r="B255" s="8" t="s">
        <v>27</v>
      </c>
      <c r="C255" s="8" t="s">
        <v>28</v>
      </c>
      <c r="D255" s="8" t="s">
        <v>29</v>
      </c>
      <c r="E255" s="8" t="s">
        <v>726</v>
      </c>
      <c r="F255" s="8" t="s">
        <v>91</v>
      </c>
      <c r="G255" s="8" t="s">
        <v>92</v>
      </c>
      <c r="H255" s="8" t="s">
        <v>18</v>
      </c>
      <c r="I255" s="8" t="s">
        <v>19</v>
      </c>
      <c r="J255" s="8">
        <v>90</v>
      </c>
      <c r="K255" s="8" t="s">
        <v>727</v>
      </c>
      <c r="L255" s="7">
        <v>1</v>
      </c>
    </row>
    <row r="256" spans="1:12" ht="15.75" customHeight="1" x14ac:dyDescent="0.2">
      <c r="A256" s="8">
        <v>2016</v>
      </c>
      <c r="B256" s="8" t="s">
        <v>728</v>
      </c>
      <c r="C256" s="8" t="s">
        <v>729</v>
      </c>
      <c r="D256" s="8" t="s">
        <v>14</v>
      </c>
      <c r="E256" s="8" t="s">
        <v>730</v>
      </c>
      <c r="F256" s="8" t="s">
        <v>91</v>
      </c>
      <c r="G256" s="8" t="s">
        <v>92</v>
      </c>
      <c r="H256" s="8" t="s">
        <v>18</v>
      </c>
      <c r="I256" s="8" t="s">
        <v>19</v>
      </c>
      <c r="J256" s="8">
        <v>24</v>
      </c>
      <c r="K256" s="8" t="s">
        <v>731</v>
      </c>
      <c r="L256" s="7">
        <v>1</v>
      </c>
    </row>
    <row r="257" spans="1:12" ht="15.75" customHeight="1" x14ac:dyDescent="0.2">
      <c r="A257" s="12">
        <v>2016</v>
      </c>
      <c r="B257" s="12" t="s">
        <v>105</v>
      </c>
      <c r="C257" s="8" t="s">
        <v>106</v>
      </c>
      <c r="D257" s="8" t="s">
        <v>14</v>
      </c>
      <c r="E257" s="8" t="s">
        <v>732</v>
      </c>
      <c r="F257" s="8" t="s">
        <v>91</v>
      </c>
      <c r="G257" s="8" t="s">
        <v>92</v>
      </c>
      <c r="H257" s="8" t="s">
        <v>150</v>
      </c>
      <c r="I257" s="8" t="s">
        <v>19</v>
      </c>
      <c r="J257" s="22">
        <f>2000/21.7*0.85</f>
        <v>78.341013824884797</v>
      </c>
      <c r="K257" s="12" t="s">
        <v>733</v>
      </c>
      <c r="L257" s="7">
        <v>1</v>
      </c>
    </row>
    <row r="258" spans="1:12" ht="15.75" customHeight="1" x14ac:dyDescent="0.2">
      <c r="A258" s="8">
        <v>2016</v>
      </c>
      <c r="B258" s="8" t="s">
        <v>62</v>
      </c>
      <c r="C258" s="8" t="s">
        <v>63</v>
      </c>
      <c r="D258" s="8" t="s">
        <v>29</v>
      </c>
      <c r="E258" s="8" t="s">
        <v>734</v>
      </c>
      <c r="F258" s="8" t="s">
        <v>25</v>
      </c>
      <c r="G258" s="8" t="s">
        <v>17</v>
      </c>
      <c r="H258" s="8" t="s">
        <v>18</v>
      </c>
      <c r="I258" s="8" t="s">
        <v>19</v>
      </c>
      <c r="J258" s="8">
        <v>322</v>
      </c>
      <c r="K258" s="8" t="s">
        <v>735</v>
      </c>
      <c r="L258" s="7">
        <v>1</v>
      </c>
    </row>
    <row r="259" spans="1:12" ht="15.75" customHeight="1" x14ac:dyDescent="0.2">
      <c r="A259" s="8">
        <v>2016</v>
      </c>
      <c r="B259" s="8" t="s">
        <v>393</v>
      </c>
      <c r="C259" s="8" t="s">
        <v>394</v>
      </c>
      <c r="D259" s="8" t="s">
        <v>14</v>
      </c>
      <c r="E259" s="8" t="s">
        <v>736</v>
      </c>
      <c r="F259" s="8" t="s">
        <v>91</v>
      </c>
      <c r="G259" s="8" t="s">
        <v>92</v>
      </c>
      <c r="H259" s="8" t="s">
        <v>18</v>
      </c>
      <c r="I259" s="8" t="s">
        <v>19</v>
      </c>
      <c r="J259" s="8">
        <v>100</v>
      </c>
      <c r="K259" s="12" t="s">
        <v>737</v>
      </c>
      <c r="L259" s="7">
        <v>1</v>
      </c>
    </row>
    <row r="260" spans="1:12" ht="15.75" customHeight="1" x14ac:dyDescent="0.2">
      <c r="A260" s="8">
        <v>2017</v>
      </c>
      <c r="B260" s="8" t="s">
        <v>410</v>
      </c>
      <c r="C260" s="8" t="s">
        <v>411</v>
      </c>
      <c r="D260" s="8" t="s">
        <v>14</v>
      </c>
      <c r="E260" s="8" t="s">
        <v>738</v>
      </c>
      <c r="F260" s="8" t="s">
        <v>91</v>
      </c>
      <c r="G260" s="8" t="s">
        <v>92</v>
      </c>
      <c r="H260" s="8" t="s">
        <v>18</v>
      </c>
      <c r="I260" s="8" t="s">
        <v>81</v>
      </c>
      <c r="J260" s="8">
        <v>675</v>
      </c>
      <c r="K260" s="8" t="s">
        <v>739</v>
      </c>
      <c r="L260" s="7">
        <v>1</v>
      </c>
    </row>
    <row r="261" spans="1:12" ht="15.75" customHeight="1" x14ac:dyDescent="0.2">
      <c r="A261" s="8">
        <v>2017</v>
      </c>
      <c r="B261" s="8" t="s">
        <v>27</v>
      </c>
      <c r="C261" s="8" t="s">
        <v>28</v>
      </c>
      <c r="D261" s="8" t="s">
        <v>29</v>
      </c>
      <c r="E261" s="8" t="s">
        <v>740</v>
      </c>
      <c r="F261" s="8" t="s">
        <v>91</v>
      </c>
      <c r="G261" s="8" t="s">
        <v>92</v>
      </c>
      <c r="H261" s="8" t="s">
        <v>18</v>
      </c>
      <c r="I261" s="8" t="s">
        <v>19</v>
      </c>
      <c r="J261" s="8">
        <v>123</v>
      </c>
      <c r="K261" s="8" t="s">
        <v>741</v>
      </c>
      <c r="L261" s="7">
        <v>1</v>
      </c>
    </row>
    <row r="262" spans="1:12" ht="15.75" customHeight="1" x14ac:dyDescent="0.2">
      <c r="A262" s="8">
        <v>2017</v>
      </c>
      <c r="B262" s="8" t="s">
        <v>27</v>
      </c>
      <c r="C262" s="8" t="s">
        <v>28</v>
      </c>
      <c r="D262" s="8" t="s">
        <v>29</v>
      </c>
      <c r="E262" s="8" t="s">
        <v>742</v>
      </c>
      <c r="F262" s="8" t="s">
        <v>91</v>
      </c>
      <c r="G262" s="8" t="s">
        <v>92</v>
      </c>
      <c r="H262" s="8" t="s">
        <v>18</v>
      </c>
      <c r="I262" s="8" t="s">
        <v>19</v>
      </c>
      <c r="J262" s="8">
        <f>930-750</f>
        <v>180</v>
      </c>
      <c r="K262" s="8" t="s">
        <v>743</v>
      </c>
      <c r="L262" s="7">
        <v>1</v>
      </c>
    </row>
    <row r="263" spans="1:12" ht="15.75" customHeight="1" x14ac:dyDescent="0.2">
      <c r="A263" s="8">
        <v>2017</v>
      </c>
      <c r="B263" s="8" t="s">
        <v>62</v>
      </c>
      <c r="C263" s="8" t="s">
        <v>63</v>
      </c>
      <c r="D263" s="8" t="s">
        <v>29</v>
      </c>
      <c r="E263" s="8" t="s">
        <v>744</v>
      </c>
      <c r="F263" s="8" t="s">
        <v>25</v>
      </c>
      <c r="G263" s="8" t="s">
        <v>17</v>
      </c>
      <c r="H263" s="8" t="s">
        <v>18</v>
      </c>
      <c r="I263" s="8" t="s">
        <v>19</v>
      </c>
      <c r="J263" s="8">
        <v>89.77</v>
      </c>
      <c r="K263" s="8" t="s">
        <v>745</v>
      </c>
      <c r="L263" s="7">
        <v>1</v>
      </c>
    </row>
    <row r="264" spans="1:12" ht="15.75" customHeight="1" x14ac:dyDescent="0.2">
      <c r="A264" s="8">
        <v>2018</v>
      </c>
      <c r="B264" s="8" t="s">
        <v>746</v>
      </c>
      <c r="C264" s="8" t="s">
        <v>747</v>
      </c>
      <c r="D264" s="8" t="s">
        <v>14</v>
      </c>
      <c r="E264" s="8" t="s">
        <v>91</v>
      </c>
      <c r="F264" s="8" t="s">
        <v>226</v>
      </c>
      <c r="G264" s="8" t="s">
        <v>17</v>
      </c>
      <c r="H264" s="8" t="s">
        <v>18</v>
      </c>
      <c r="I264" s="8" t="s">
        <v>19</v>
      </c>
      <c r="J264" s="8">
        <f>77.7-7.8</f>
        <v>69.900000000000006</v>
      </c>
      <c r="K264" s="8" t="s">
        <v>748</v>
      </c>
      <c r="L264" s="7">
        <v>1</v>
      </c>
    </row>
    <row r="265" spans="1:12" ht="15.75" customHeight="1" x14ac:dyDescent="0.2">
      <c r="A265" s="8">
        <v>2018</v>
      </c>
      <c r="B265" s="8" t="s">
        <v>393</v>
      </c>
      <c r="C265" s="8" t="s">
        <v>394</v>
      </c>
      <c r="D265" s="8" t="s">
        <v>14</v>
      </c>
      <c r="E265" s="8" t="s">
        <v>749</v>
      </c>
      <c r="F265" s="8" t="s">
        <v>91</v>
      </c>
      <c r="G265" s="8" t="s">
        <v>92</v>
      </c>
      <c r="H265" s="8" t="s">
        <v>18</v>
      </c>
      <c r="I265" s="8" t="s">
        <v>19</v>
      </c>
      <c r="J265" s="8">
        <v>212.7</v>
      </c>
      <c r="K265" s="8" t="s">
        <v>750</v>
      </c>
      <c r="L265" s="7">
        <v>1</v>
      </c>
    </row>
    <row r="266" spans="1:12" ht="15.75" customHeight="1" x14ac:dyDescent="0.2">
      <c r="A266" s="8">
        <v>2018</v>
      </c>
      <c r="B266" s="8" t="s">
        <v>242</v>
      </c>
      <c r="C266" s="8" t="s">
        <v>243</v>
      </c>
      <c r="D266" s="8" t="s">
        <v>14</v>
      </c>
      <c r="E266" s="8" t="s">
        <v>751</v>
      </c>
      <c r="F266" s="8" t="s">
        <v>91</v>
      </c>
      <c r="G266" s="8" t="s">
        <v>92</v>
      </c>
      <c r="H266" s="8" t="s">
        <v>18</v>
      </c>
      <c r="I266" s="8" t="s">
        <v>19</v>
      </c>
      <c r="J266" s="8">
        <v>134.30000000000001</v>
      </c>
      <c r="K266" s="12" t="s">
        <v>752</v>
      </c>
      <c r="L266" s="7">
        <v>1</v>
      </c>
    </row>
    <row r="267" spans="1:12" ht="15.75" customHeight="1" x14ac:dyDescent="0.2">
      <c r="A267" s="8">
        <v>2019</v>
      </c>
      <c r="B267" s="8" t="s">
        <v>276</v>
      </c>
      <c r="C267" s="8" t="s">
        <v>277</v>
      </c>
      <c r="D267" s="8" t="s">
        <v>14</v>
      </c>
      <c r="E267" s="8" t="s">
        <v>753</v>
      </c>
      <c r="F267" s="8" t="s">
        <v>25</v>
      </c>
      <c r="G267" s="8" t="s">
        <v>57</v>
      </c>
      <c r="H267" s="8" t="s">
        <v>626</v>
      </c>
      <c r="I267" s="8" t="s">
        <v>19</v>
      </c>
      <c r="J267" s="8">
        <v>812</v>
      </c>
      <c r="K267" s="8" t="s">
        <v>754</v>
      </c>
      <c r="L267" s="7">
        <v>1</v>
      </c>
    </row>
    <row r="268" spans="1:12" ht="15.75" customHeight="1" x14ac:dyDescent="0.2">
      <c r="A268" s="8">
        <v>2012</v>
      </c>
      <c r="B268" s="8" t="s">
        <v>101</v>
      </c>
      <c r="C268" s="8" t="s">
        <v>102</v>
      </c>
      <c r="D268" s="8" t="s">
        <v>14</v>
      </c>
      <c r="E268" s="8" t="s">
        <v>755</v>
      </c>
      <c r="F268" s="8" t="s">
        <v>54</v>
      </c>
      <c r="G268" s="8" t="s">
        <v>92</v>
      </c>
      <c r="H268" s="8" t="s">
        <v>18</v>
      </c>
      <c r="I268" s="8" t="s">
        <v>19</v>
      </c>
      <c r="J268" s="8">
        <v>130</v>
      </c>
      <c r="K268" s="8" t="s">
        <v>756</v>
      </c>
      <c r="L268" s="7">
        <v>1</v>
      </c>
    </row>
    <row r="269" spans="1:12" ht="15.75" customHeight="1" x14ac:dyDescent="0.2">
      <c r="A269" s="8">
        <v>2012</v>
      </c>
      <c r="B269" s="8" t="s">
        <v>62</v>
      </c>
      <c r="C269" s="8" t="s">
        <v>63</v>
      </c>
      <c r="D269" s="8" t="s">
        <v>29</v>
      </c>
      <c r="E269" s="8" t="s">
        <v>757</v>
      </c>
      <c r="F269" s="8" t="s">
        <v>25</v>
      </c>
      <c r="G269" s="8" t="s">
        <v>17</v>
      </c>
      <c r="H269" s="8" t="s">
        <v>18</v>
      </c>
      <c r="I269" s="8" t="s">
        <v>19</v>
      </c>
      <c r="J269" s="8">
        <v>127</v>
      </c>
      <c r="K269" s="8" t="s">
        <v>758</v>
      </c>
      <c r="L269" s="7">
        <v>1</v>
      </c>
    </row>
    <row r="270" spans="1:12" ht="15.75" customHeight="1" x14ac:dyDescent="0.2">
      <c r="A270" s="8">
        <v>2019</v>
      </c>
      <c r="B270" s="8" t="s">
        <v>34</v>
      </c>
      <c r="C270" s="8" t="s">
        <v>35</v>
      </c>
      <c r="D270" s="8" t="s">
        <v>14</v>
      </c>
      <c r="E270" s="8" t="s">
        <v>759</v>
      </c>
      <c r="F270" s="8" t="s">
        <v>25</v>
      </c>
      <c r="G270" s="8" t="s">
        <v>17</v>
      </c>
      <c r="H270" s="8" t="s">
        <v>18</v>
      </c>
      <c r="I270" s="8" t="s">
        <v>19</v>
      </c>
      <c r="J270" s="8">
        <v>1000</v>
      </c>
      <c r="K270" s="8" t="s">
        <v>760</v>
      </c>
      <c r="L270" s="7">
        <v>1</v>
      </c>
    </row>
    <row r="271" spans="1:12" ht="15.75" customHeight="1" x14ac:dyDescent="0.2">
      <c r="A271" s="8">
        <v>2019</v>
      </c>
      <c r="B271" s="8" t="s">
        <v>761</v>
      </c>
      <c r="C271" s="8" t="s">
        <v>762</v>
      </c>
      <c r="D271" s="8" t="s">
        <v>79</v>
      </c>
      <c r="E271" s="8" t="s">
        <v>763</v>
      </c>
      <c r="F271" s="8" t="s">
        <v>43</v>
      </c>
      <c r="G271" s="8" t="s">
        <v>17</v>
      </c>
      <c r="H271" s="8" t="s">
        <v>18</v>
      </c>
      <c r="I271" s="8" t="s">
        <v>81</v>
      </c>
      <c r="J271" s="8">
        <v>1381</v>
      </c>
      <c r="K271" s="8" t="s">
        <v>764</v>
      </c>
      <c r="L271" s="7">
        <v>1</v>
      </c>
    </row>
    <row r="272" spans="1:12" ht="15.75" customHeight="1" x14ac:dyDescent="0.2">
      <c r="L272" s="4"/>
    </row>
    <row r="273" spans="12:12" ht="15.75" customHeight="1" x14ac:dyDescent="0.2">
      <c r="L273" s="4"/>
    </row>
    <row r="274" spans="12:12" ht="15.75" customHeight="1" x14ac:dyDescent="0.2">
      <c r="L274" s="4"/>
    </row>
    <row r="275" spans="12:12" ht="15.75" customHeight="1" x14ac:dyDescent="0.2">
      <c r="L275" s="4"/>
    </row>
    <row r="276" spans="12:12" ht="15.75" customHeight="1" x14ac:dyDescent="0.2">
      <c r="L276" s="4"/>
    </row>
    <row r="277" spans="12:12" ht="15.75" customHeight="1" x14ac:dyDescent="0.2">
      <c r="L277" s="4"/>
    </row>
    <row r="278" spans="12:12" ht="15.75" customHeight="1" x14ac:dyDescent="0.2"/>
    <row r="279" spans="12:12" ht="15.75" customHeight="1" x14ac:dyDescent="0.2"/>
    <row r="280" spans="12:12" ht="15.75" customHeight="1" x14ac:dyDescent="0.2"/>
    <row r="281" spans="12:12" ht="15.75" customHeight="1" x14ac:dyDescent="0.2"/>
    <row r="282" spans="12:12" ht="15.75" customHeight="1" x14ac:dyDescent="0.2"/>
    <row r="283" spans="12:12" ht="15.75" customHeight="1" x14ac:dyDescent="0.2"/>
    <row r="284" spans="12:12" ht="15.75" customHeight="1" x14ac:dyDescent="0.2"/>
    <row r="285" spans="12:12" ht="15.75" customHeight="1" x14ac:dyDescent="0.2"/>
    <row r="286" spans="12:12" ht="15.75" customHeight="1" x14ac:dyDescent="0.2"/>
    <row r="287" spans="12:12" ht="15.75" customHeight="1" x14ac:dyDescent="0.2"/>
    <row r="288" spans="12:12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</sheetData>
  <autoFilter ref="A1:L277" xr:uid="{00000000-0009-0000-0000-000002000000}">
    <sortState xmlns:xlrd2="http://schemas.microsoft.com/office/spreadsheetml/2017/richdata2" ref="A2:L277">
      <sortCondition sortBy="cellColor" ref="B1:B277" dxfId="1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2020-01-17T21:53:01Z</dcterms:created>
  <dcterms:modified xsi:type="dcterms:W3CDTF">2020-01-29T15:16:13Z</dcterms:modified>
</cp:coreProperties>
</file>