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D:\Google Drive\Congresos, charlas y ponencias\2021\SAAP 2021\Base de datos\"/>
    </mc:Choice>
  </mc:AlternateContent>
  <xr:revisionPtr revIDLastSave="0" documentId="13_ncr:1_{C5F22897-3AC5-47D4-8FE7-F5D778A7E6F0}" xr6:coauthVersionLast="45" xr6:coauthVersionMax="45" xr10:uidLastSave="{00000000-0000-0000-0000-000000000000}"/>
  <bookViews>
    <workbookView xWindow="-110" yWindow="-110" windowWidth="19420" windowHeight="10420" activeTab="1" xr2:uid="{6717159F-C51A-4997-AA97-5EC9576D66BD}"/>
  </bookViews>
  <sheets>
    <sheet name="Data" sheetId="2" r:id="rId1"/>
    <sheet name="Data2" sheetId="15" r:id="rId2"/>
    <sheet name="BRI" sheetId="17" r:id="rId3"/>
    <sheet name="Inversiones" sheetId="19" r:id="rId4"/>
    <sheet name="Comercio" sheetId="20" r:id="rId5"/>
    <sheet name="Financiamiento" sheetId="21" r:id="rId6"/>
    <sheet name="Ref" sheetId="3" r:id="rId7"/>
  </sheets>
  <definedNames>
    <definedName name="_xlnm._FilterDatabase" localSheetId="0" hidden="1">Data!$A$1:$BM$217</definedName>
    <definedName name="_xlnm._FilterDatabase" localSheetId="1" hidden="1">Data2!$A$1:$BM$217</definedName>
  </definedNames>
  <calcPr calcId="191029"/>
  <pivotCaches>
    <pivotCache cacheId="195" r:id="rId8"/>
    <pivotCache cacheId="134" r:id="rId9"/>
    <pivotCache cacheId="156" r:id="rId10"/>
    <pivotCache cacheId="194"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L217" i="2" l="1"/>
  <c r="BM217" i="2" s="1"/>
  <c r="BL216" i="2"/>
  <c r="BM216" i="2" s="1"/>
  <c r="BL215" i="2"/>
  <c r="BM215" i="2" s="1"/>
  <c r="BL214" i="2"/>
  <c r="BM214" i="2" s="1"/>
  <c r="BL213" i="2"/>
  <c r="BM213" i="2" s="1"/>
  <c r="BL212" i="2"/>
  <c r="BM212" i="2" s="1"/>
  <c r="BL211" i="2"/>
  <c r="BM211" i="2" s="1"/>
  <c r="BL210" i="2"/>
  <c r="BM210" i="2" s="1"/>
  <c r="BL209" i="2"/>
  <c r="BM209" i="2" s="1"/>
  <c r="BL208" i="2"/>
  <c r="BM208" i="2" s="1"/>
  <c r="BL207" i="2"/>
  <c r="BM207" i="2" s="1"/>
  <c r="BL206" i="2"/>
  <c r="BM206" i="2" s="1"/>
  <c r="BL205" i="2"/>
  <c r="BM205" i="2" s="1"/>
  <c r="BL204" i="2"/>
  <c r="BM204" i="2" s="1"/>
  <c r="BL203" i="2"/>
  <c r="BM203" i="2" s="1"/>
  <c r="BL202" i="2"/>
  <c r="BM202" i="2" s="1"/>
  <c r="BL201" i="2"/>
  <c r="BM201" i="2" s="1"/>
  <c r="BL200" i="2"/>
  <c r="BM200" i="2" s="1"/>
  <c r="BL199" i="2"/>
  <c r="BM199" i="2" s="1"/>
  <c r="BL198" i="2"/>
  <c r="BM198" i="2" s="1"/>
  <c r="BL197" i="2"/>
  <c r="BM197" i="2" s="1"/>
  <c r="BL196" i="2"/>
  <c r="BM196" i="2" s="1"/>
  <c r="BL195" i="2"/>
  <c r="BM195" i="2" s="1"/>
  <c r="BL194" i="2"/>
  <c r="BM194" i="2" s="1"/>
  <c r="BL193" i="2"/>
  <c r="BM193" i="2" s="1"/>
  <c r="BL192" i="2"/>
  <c r="BM192" i="2" s="1"/>
  <c r="BL191" i="2"/>
  <c r="BM191" i="2" s="1"/>
  <c r="BL190" i="2"/>
  <c r="BM190" i="2" s="1"/>
  <c r="BL189" i="2"/>
  <c r="BM189" i="2" s="1"/>
  <c r="BL188" i="2"/>
  <c r="BM188" i="2" s="1"/>
  <c r="BL187" i="2"/>
  <c r="BM187" i="2" s="1"/>
  <c r="BL186" i="2"/>
  <c r="BM186" i="2" s="1"/>
  <c r="BL185" i="2"/>
  <c r="BM185" i="2" s="1"/>
  <c r="BL184" i="2"/>
  <c r="BM184" i="2" s="1"/>
  <c r="BL183" i="2"/>
  <c r="BM183" i="2" s="1"/>
  <c r="BL182" i="2"/>
  <c r="BM182" i="2" s="1"/>
  <c r="BL181" i="2"/>
  <c r="BM181" i="2" s="1"/>
  <c r="BL180" i="2"/>
  <c r="BM180" i="2" s="1"/>
  <c r="BL179" i="2"/>
  <c r="BM179" i="2" s="1"/>
  <c r="BL178" i="2"/>
  <c r="BM178" i="2" s="1"/>
  <c r="BL177" i="2"/>
  <c r="BM177" i="2" s="1"/>
  <c r="BL176" i="2"/>
  <c r="BM176" i="2" s="1"/>
  <c r="BL175" i="2"/>
  <c r="BM175" i="2" s="1"/>
  <c r="BL174" i="2"/>
  <c r="BM174" i="2" s="1"/>
  <c r="BL173" i="2"/>
  <c r="BM173" i="2" s="1"/>
  <c r="BL172" i="2"/>
  <c r="BM172" i="2" s="1"/>
  <c r="BL171" i="2"/>
  <c r="BM171" i="2" s="1"/>
  <c r="BL170" i="2"/>
  <c r="BM170" i="2" s="1"/>
  <c r="BL169" i="2"/>
  <c r="BM169" i="2" s="1"/>
  <c r="BL168" i="2"/>
  <c r="BM168" i="2" s="1"/>
  <c r="BL167" i="2"/>
  <c r="BM167" i="2" s="1"/>
  <c r="BL166" i="2"/>
  <c r="BM166" i="2" s="1"/>
  <c r="BL165" i="2"/>
  <c r="BM165" i="2" s="1"/>
  <c r="BL164" i="2"/>
  <c r="BM164" i="2" s="1"/>
  <c r="BL163" i="2"/>
  <c r="BM163" i="2" s="1"/>
  <c r="BL162" i="2"/>
  <c r="BM162" i="2" s="1"/>
  <c r="BL161" i="2"/>
  <c r="BM161" i="2" s="1"/>
  <c r="BL160" i="2"/>
  <c r="BM160" i="2" s="1"/>
  <c r="BL159" i="2"/>
  <c r="BM159" i="2" s="1"/>
  <c r="BL158" i="2"/>
  <c r="BM158" i="2" s="1"/>
  <c r="BL157" i="2"/>
  <c r="BM157" i="2" s="1"/>
  <c r="BL156" i="2"/>
  <c r="BM156" i="2" s="1"/>
  <c r="BL155" i="2"/>
  <c r="BM155" i="2" s="1"/>
  <c r="BL154" i="2"/>
  <c r="BM154" i="2" s="1"/>
  <c r="BL153" i="2"/>
  <c r="BM153" i="2" s="1"/>
  <c r="BL152" i="2"/>
  <c r="BM152" i="2" s="1"/>
  <c r="BL151" i="2"/>
  <c r="BM151" i="2" s="1"/>
  <c r="BL150" i="2"/>
  <c r="BM150" i="2" s="1"/>
  <c r="BL149" i="2"/>
  <c r="BM149" i="2" s="1"/>
  <c r="BL148" i="2"/>
  <c r="BM148" i="2" s="1"/>
  <c r="BL147" i="2"/>
  <c r="BM147" i="2" s="1"/>
  <c r="BL146" i="2"/>
  <c r="BM146" i="2" s="1"/>
  <c r="BL145" i="2"/>
  <c r="BM145" i="2" s="1"/>
  <c r="BL144" i="2"/>
  <c r="BM144" i="2" s="1"/>
  <c r="BL143" i="2"/>
  <c r="BM143" i="2" s="1"/>
  <c r="BL142" i="2"/>
  <c r="BM142" i="2" s="1"/>
  <c r="BL141" i="2"/>
  <c r="BM141" i="2" s="1"/>
  <c r="BL140" i="2"/>
  <c r="BM140" i="2" s="1"/>
  <c r="BL139" i="2"/>
  <c r="BM139" i="2" s="1"/>
  <c r="BL138" i="2"/>
  <c r="BM138" i="2" s="1"/>
  <c r="BL137" i="2"/>
  <c r="BM137" i="2" s="1"/>
  <c r="BL136" i="2"/>
  <c r="BM136" i="2" s="1"/>
  <c r="BL135" i="2"/>
  <c r="BM135" i="2" s="1"/>
  <c r="BL134" i="2"/>
  <c r="BM134" i="2" s="1"/>
  <c r="BL133" i="2"/>
  <c r="BM133" i="2" s="1"/>
  <c r="BL132" i="2"/>
  <c r="BM132" i="2" s="1"/>
  <c r="BL131" i="2"/>
  <c r="BM131" i="2" s="1"/>
  <c r="BL130" i="2"/>
  <c r="BM130" i="2" s="1"/>
  <c r="BL129" i="2"/>
  <c r="BM129" i="2" s="1"/>
  <c r="BL128" i="2"/>
  <c r="BM128" i="2" s="1"/>
  <c r="BL127" i="2"/>
  <c r="BM127" i="2" s="1"/>
  <c r="BL126" i="2"/>
  <c r="BM126" i="2" s="1"/>
  <c r="BL125" i="2"/>
  <c r="BM125" i="2" s="1"/>
  <c r="BL124" i="2"/>
  <c r="BM124" i="2" s="1"/>
  <c r="BL123" i="2"/>
  <c r="BM123" i="2" s="1"/>
  <c r="BL122" i="2"/>
  <c r="BM122" i="2" s="1"/>
  <c r="BL121" i="2"/>
  <c r="BM121" i="2" s="1"/>
  <c r="BL120" i="2"/>
  <c r="BM120" i="2" s="1"/>
  <c r="BL119" i="2"/>
  <c r="BM119" i="2" s="1"/>
  <c r="BL118" i="2"/>
  <c r="BM118" i="2" s="1"/>
  <c r="BL117" i="2"/>
  <c r="BM117" i="2" s="1"/>
  <c r="BL116" i="2"/>
  <c r="BM116" i="2" s="1"/>
  <c r="BL115" i="2"/>
  <c r="BM115" i="2" s="1"/>
  <c r="BL114" i="2"/>
  <c r="BM114" i="2" s="1"/>
  <c r="BL113" i="2"/>
  <c r="BM113" i="2" s="1"/>
  <c r="BL112" i="2"/>
  <c r="BM112" i="2" s="1"/>
  <c r="BL111" i="2"/>
  <c r="BM111" i="2" s="1"/>
  <c r="BL110" i="2"/>
  <c r="BM110" i="2" s="1"/>
  <c r="BL109" i="2"/>
  <c r="BM109" i="2" s="1"/>
  <c r="BL108" i="2"/>
  <c r="BM108" i="2" s="1"/>
  <c r="BL107" i="2"/>
  <c r="BM107" i="2" s="1"/>
  <c r="BL106" i="2"/>
  <c r="BM106" i="2" s="1"/>
  <c r="BL105" i="2"/>
  <c r="BM105" i="2" s="1"/>
  <c r="BL104" i="2"/>
  <c r="BM104" i="2" s="1"/>
  <c r="BL103" i="2"/>
  <c r="BM103" i="2" s="1"/>
  <c r="BL102" i="2"/>
  <c r="BM102" i="2" s="1"/>
  <c r="BL101" i="2"/>
  <c r="BM101" i="2" s="1"/>
  <c r="BL100" i="2"/>
  <c r="BM100" i="2" s="1"/>
  <c r="BL99" i="2"/>
  <c r="BM99" i="2" s="1"/>
  <c r="BL98" i="2"/>
  <c r="BM98" i="2" s="1"/>
  <c r="BL97" i="2"/>
  <c r="BM97" i="2" s="1"/>
  <c r="BL96" i="2"/>
  <c r="BM96" i="2" s="1"/>
  <c r="BL95" i="2"/>
  <c r="BM95" i="2" s="1"/>
  <c r="BL94" i="2"/>
  <c r="BM94" i="2" s="1"/>
  <c r="BL93" i="2"/>
  <c r="BM93" i="2" s="1"/>
  <c r="BL92" i="2"/>
  <c r="BM92" i="2" s="1"/>
  <c r="BL91" i="2"/>
  <c r="BM91" i="2" s="1"/>
  <c r="BL90" i="2"/>
  <c r="BM90" i="2" s="1"/>
  <c r="BL89" i="2"/>
  <c r="BM89" i="2" s="1"/>
  <c r="BL88" i="2"/>
  <c r="BM88" i="2" s="1"/>
  <c r="BL87" i="2"/>
  <c r="BM87" i="2" s="1"/>
  <c r="BL86" i="2"/>
  <c r="BM86" i="2" s="1"/>
  <c r="BL85" i="2"/>
  <c r="BM85" i="2" s="1"/>
  <c r="BL84" i="2"/>
  <c r="BM84" i="2" s="1"/>
  <c r="BL83" i="2"/>
  <c r="BM83" i="2" s="1"/>
  <c r="BL82" i="2"/>
  <c r="BM82" i="2" s="1"/>
  <c r="BL81" i="2"/>
  <c r="BM81" i="2" s="1"/>
  <c r="BL80" i="2"/>
  <c r="BM80" i="2" s="1"/>
  <c r="BL79" i="2"/>
  <c r="BM79" i="2" s="1"/>
  <c r="BL78" i="2"/>
  <c r="BM78" i="2" s="1"/>
  <c r="BL77" i="2"/>
  <c r="BM77" i="2" s="1"/>
  <c r="BL76" i="2"/>
  <c r="BM76" i="2" s="1"/>
  <c r="BL75" i="2"/>
  <c r="BM75" i="2" s="1"/>
  <c r="BL74" i="2"/>
  <c r="BM74" i="2" s="1"/>
  <c r="BL73" i="2"/>
  <c r="BM73" i="2" s="1"/>
  <c r="BL72" i="2"/>
  <c r="BM72" i="2" s="1"/>
  <c r="BL71" i="2"/>
  <c r="BM71" i="2" s="1"/>
  <c r="BL70" i="2"/>
  <c r="BM70" i="2" s="1"/>
  <c r="BL69" i="2"/>
  <c r="BM69" i="2" s="1"/>
  <c r="BL68" i="2"/>
  <c r="BM68" i="2" s="1"/>
  <c r="BL67" i="2"/>
  <c r="BM67" i="2" s="1"/>
  <c r="BL66" i="2"/>
  <c r="BM66" i="2" s="1"/>
  <c r="BL65" i="2"/>
  <c r="BM65" i="2" s="1"/>
  <c r="BL64" i="2"/>
  <c r="BM64" i="2" s="1"/>
  <c r="BL63" i="2"/>
  <c r="BM63" i="2" s="1"/>
  <c r="BL62" i="2"/>
  <c r="BM62" i="2" s="1"/>
  <c r="BL61" i="2"/>
  <c r="BM61" i="2" s="1"/>
  <c r="BL60" i="2"/>
  <c r="BM60" i="2" s="1"/>
  <c r="BL59" i="2"/>
  <c r="BM59" i="2" s="1"/>
  <c r="BL58" i="2"/>
  <c r="BM58" i="2" s="1"/>
  <c r="BL57" i="2"/>
  <c r="BM57" i="2" s="1"/>
  <c r="BL56" i="2"/>
  <c r="BM56" i="2" s="1"/>
  <c r="BL55" i="2"/>
  <c r="BM55" i="2" s="1"/>
  <c r="BL54" i="2"/>
  <c r="BM54" i="2" s="1"/>
  <c r="BL53" i="2"/>
  <c r="BM53" i="2" s="1"/>
  <c r="BL52" i="2"/>
  <c r="BM52" i="2" s="1"/>
  <c r="BL51" i="2"/>
  <c r="BM51" i="2" s="1"/>
  <c r="BL50" i="2"/>
  <c r="BM50" i="2" s="1"/>
  <c r="BL49" i="2"/>
  <c r="BM49" i="2" s="1"/>
  <c r="BL48" i="2"/>
  <c r="BM48" i="2" s="1"/>
  <c r="BL47" i="2"/>
  <c r="BM47" i="2" s="1"/>
  <c r="BL46" i="2"/>
  <c r="BM46" i="2" s="1"/>
  <c r="BL45" i="2"/>
  <c r="BM45" i="2" s="1"/>
  <c r="BL44" i="2"/>
  <c r="BM44" i="2" s="1"/>
  <c r="BL43" i="2"/>
  <c r="BM43" i="2" s="1"/>
  <c r="BL42" i="2"/>
  <c r="BM42" i="2" s="1"/>
  <c r="BL41" i="2"/>
  <c r="BM41" i="2" s="1"/>
  <c r="BL40" i="2"/>
  <c r="BM40" i="2" s="1"/>
  <c r="BL39" i="2"/>
  <c r="BM39" i="2" s="1"/>
  <c r="BL38" i="2"/>
  <c r="BM38" i="2" s="1"/>
  <c r="BL37" i="2"/>
  <c r="BM37" i="2" s="1"/>
  <c r="BL36" i="2"/>
  <c r="BM36" i="2" s="1"/>
  <c r="BL35" i="2"/>
  <c r="BM35" i="2" s="1"/>
  <c r="BL34" i="2"/>
  <c r="BM34" i="2" s="1"/>
  <c r="BL33" i="2"/>
  <c r="BM33" i="2" s="1"/>
  <c r="BL32" i="2"/>
  <c r="BM32" i="2" s="1"/>
  <c r="BL31" i="2"/>
  <c r="BM31" i="2" s="1"/>
  <c r="BL30" i="2"/>
  <c r="BM30" i="2" s="1"/>
  <c r="BL29" i="2"/>
  <c r="BM29" i="2" s="1"/>
  <c r="BL28" i="2"/>
  <c r="BM28" i="2" s="1"/>
  <c r="BL27" i="2"/>
  <c r="BM27" i="2" s="1"/>
  <c r="BL26" i="2"/>
  <c r="BM26" i="2" s="1"/>
  <c r="BL25" i="2"/>
  <c r="BM25" i="2" s="1"/>
  <c r="BL24" i="2"/>
  <c r="BM24" i="2" s="1"/>
  <c r="BL23" i="2"/>
  <c r="BM23" i="2" s="1"/>
  <c r="BL22" i="2"/>
  <c r="BM22" i="2" s="1"/>
  <c r="BL21" i="2"/>
  <c r="BM21" i="2" s="1"/>
  <c r="BL20" i="2"/>
  <c r="BM20" i="2" s="1"/>
  <c r="BL19" i="2"/>
  <c r="BM19" i="2" s="1"/>
  <c r="BL18" i="2"/>
  <c r="BM18" i="2" s="1"/>
  <c r="BL17" i="2"/>
  <c r="BM17" i="2" s="1"/>
  <c r="BL16" i="2"/>
  <c r="BM16" i="2" s="1"/>
  <c r="BL15" i="2"/>
  <c r="BM15" i="2" s="1"/>
  <c r="BL14" i="2"/>
  <c r="BM14" i="2" s="1"/>
  <c r="BL13" i="2"/>
  <c r="BM13" i="2" s="1"/>
  <c r="BL12" i="2"/>
  <c r="BM12" i="2" s="1"/>
  <c r="BL11" i="2"/>
  <c r="BM11" i="2" s="1"/>
  <c r="BL10" i="2"/>
  <c r="BM10" i="2" s="1"/>
  <c r="BL9" i="2"/>
  <c r="BM9" i="2" s="1"/>
  <c r="BL8" i="2"/>
  <c r="BM8" i="2" s="1"/>
  <c r="BL7" i="2"/>
  <c r="BM7" i="2" s="1"/>
  <c r="BL6" i="2"/>
  <c r="BM6" i="2" s="1"/>
  <c r="BL5" i="2"/>
  <c r="BM5" i="2" s="1"/>
  <c r="BL4" i="2"/>
  <c r="BM4" i="2" s="1"/>
  <c r="BL3" i="2"/>
  <c r="BM3" i="2" s="1"/>
  <c r="BL2" i="2"/>
  <c r="BM2" i="2" s="1"/>
  <c r="Y217" i="2"/>
  <c r="Z217" i="2" s="1"/>
  <c r="Y216" i="2"/>
  <c r="Z216" i="2" s="1"/>
  <c r="Y215" i="2"/>
  <c r="Z215" i="2" s="1"/>
  <c r="Y214" i="2"/>
  <c r="Z214" i="2" s="1"/>
  <c r="Y213" i="2"/>
  <c r="Z213" i="2" s="1"/>
  <c r="Y212" i="2"/>
  <c r="Z212" i="2" s="1"/>
  <c r="Y211" i="2"/>
  <c r="Z211" i="2" s="1"/>
  <c r="Y210" i="2"/>
  <c r="Z210" i="2" s="1"/>
  <c r="Y209" i="2"/>
  <c r="Z209" i="2" s="1"/>
  <c r="Y208" i="2"/>
  <c r="Z208" i="2" s="1"/>
  <c r="Y207" i="2"/>
  <c r="Z207" i="2" s="1"/>
  <c r="Y206" i="2"/>
  <c r="Z206" i="2" s="1"/>
  <c r="Y205" i="2"/>
  <c r="Z205" i="2" s="1"/>
  <c r="Y204" i="2"/>
  <c r="Z204" i="2" s="1"/>
  <c r="Y203" i="2"/>
  <c r="Z203" i="2" s="1"/>
  <c r="Y202" i="2"/>
  <c r="Z202" i="2" s="1"/>
  <c r="Y201" i="2"/>
  <c r="Z201" i="2" s="1"/>
  <c r="Y200" i="2"/>
  <c r="Z200" i="2" s="1"/>
  <c r="Y199" i="2"/>
  <c r="Z199" i="2" s="1"/>
  <c r="Y198" i="2"/>
  <c r="Z198" i="2" s="1"/>
  <c r="Y197" i="2"/>
  <c r="Z197" i="2" s="1"/>
  <c r="Y196" i="2"/>
  <c r="Z196" i="2" s="1"/>
  <c r="Y195" i="2"/>
  <c r="Z195" i="2" s="1"/>
  <c r="Y194" i="2"/>
  <c r="Z194" i="2" s="1"/>
  <c r="Y193" i="2"/>
  <c r="Z193" i="2" s="1"/>
  <c r="Y192" i="2"/>
  <c r="Z192" i="2" s="1"/>
  <c r="Y191" i="2"/>
  <c r="Z191" i="2" s="1"/>
  <c r="Y190" i="2"/>
  <c r="Z190" i="2" s="1"/>
  <c r="Y189" i="2"/>
  <c r="Z189" i="2" s="1"/>
  <c r="Y188" i="2"/>
  <c r="Z188" i="2" s="1"/>
  <c r="Y187" i="2"/>
  <c r="Z187" i="2" s="1"/>
  <c r="Y186" i="2"/>
  <c r="Z186" i="2" s="1"/>
  <c r="Y185" i="2"/>
  <c r="Z185" i="2" s="1"/>
  <c r="Y184" i="2"/>
  <c r="Z184" i="2" s="1"/>
  <c r="Y183" i="2"/>
  <c r="Z183" i="2" s="1"/>
  <c r="Y182" i="2"/>
  <c r="Z182" i="2" s="1"/>
  <c r="Y181" i="2"/>
  <c r="Z181" i="2" s="1"/>
  <c r="Y180" i="2"/>
  <c r="Z180" i="2" s="1"/>
  <c r="Y179" i="2"/>
  <c r="Z179" i="2" s="1"/>
  <c r="Y178" i="2"/>
  <c r="Z178" i="2" s="1"/>
  <c r="Y177" i="2"/>
  <c r="Z177" i="2" s="1"/>
  <c r="Y176" i="2"/>
  <c r="Z176" i="2" s="1"/>
  <c r="Y175" i="2"/>
  <c r="Z175" i="2" s="1"/>
  <c r="Y174" i="2"/>
  <c r="Z174" i="2" s="1"/>
  <c r="Y173" i="2"/>
  <c r="Z173" i="2" s="1"/>
  <c r="Y172" i="2"/>
  <c r="Z172" i="2" s="1"/>
  <c r="Y171" i="2"/>
  <c r="Z171" i="2" s="1"/>
  <c r="Y170" i="2"/>
  <c r="Z170" i="2" s="1"/>
  <c r="Y169" i="2"/>
  <c r="Z169" i="2" s="1"/>
  <c r="Y168" i="2"/>
  <c r="Z168" i="2" s="1"/>
  <c r="Y167" i="2"/>
  <c r="Z167" i="2" s="1"/>
  <c r="Y166" i="2"/>
  <c r="Z166" i="2" s="1"/>
  <c r="Y165" i="2"/>
  <c r="Z165" i="2" s="1"/>
  <c r="Y164" i="2"/>
  <c r="Z164" i="2" s="1"/>
  <c r="Y163" i="2"/>
  <c r="Z163" i="2" s="1"/>
  <c r="Y162" i="2"/>
  <c r="Z162" i="2" s="1"/>
  <c r="Y161" i="2"/>
  <c r="Z161" i="2" s="1"/>
  <c r="Y160" i="2"/>
  <c r="Z160" i="2" s="1"/>
  <c r="Y159" i="2"/>
  <c r="Z159" i="2" s="1"/>
  <c r="Y158" i="2"/>
  <c r="Z158" i="2" s="1"/>
  <c r="Y157" i="2"/>
  <c r="Z157" i="2" s="1"/>
  <c r="Y156" i="2"/>
  <c r="Z156" i="2" s="1"/>
  <c r="Y155" i="2"/>
  <c r="Z155" i="2" s="1"/>
  <c r="Y154" i="2"/>
  <c r="Z154" i="2" s="1"/>
  <c r="Y153" i="2"/>
  <c r="Z153" i="2" s="1"/>
  <c r="Y152" i="2"/>
  <c r="Z152" i="2" s="1"/>
  <c r="Y151" i="2"/>
  <c r="Z151" i="2" s="1"/>
  <c r="Y150" i="2"/>
  <c r="Z150" i="2" s="1"/>
  <c r="Y149" i="2"/>
  <c r="Z149" i="2" s="1"/>
  <c r="Y148" i="2"/>
  <c r="Z148" i="2" s="1"/>
  <c r="Y147" i="2"/>
  <c r="Z147" i="2" s="1"/>
  <c r="Y146" i="2"/>
  <c r="Z146" i="2" s="1"/>
  <c r="Y145" i="2"/>
  <c r="Z145" i="2" s="1"/>
  <c r="Y144" i="2"/>
  <c r="Z144" i="2" s="1"/>
  <c r="Y143" i="2"/>
  <c r="Z143" i="2" s="1"/>
  <c r="Y142" i="2"/>
  <c r="Z142" i="2" s="1"/>
  <c r="Y141" i="2"/>
  <c r="Z141" i="2" s="1"/>
  <c r="Y140" i="2"/>
  <c r="Z140" i="2" s="1"/>
  <c r="Y139" i="2"/>
  <c r="Z139" i="2" s="1"/>
  <c r="Y138" i="2"/>
  <c r="Z138" i="2" s="1"/>
  <c r="Y137" i="2"/>
  <c r="Z137" i="2" s="1"/>
  <c r="Y136" i="2"/>
  <c r="Z136" i="2" s="1"/>
  <c r="Y135" i="2"/>
  <c r="Z135" i="2" s="1"/>
  <c r="Y134" i="2"/>
  <c r="Z134" i="2" s="1"/>
  <c r="Y133" i="2"/>
  <c r="Z133" i="2" s="1"/>
  <c r="Y132" i="2"/>
  <c r="Z132" i="2" s="1"/>
  <c r="Y131" i="2"/>
  <c r="Z131" i="2" s="1"/>
  <c r="Y130" i="2"/>
  <c r="Z130" i="2" s="1"/>
  <c r="Y129" i="2"/>
  <c r="Z129" i="2" s="1"/>
  <c r="Y128" i="2"/>
  <c r="Z128" i="2" s="1"/>
  <c r="Y127" i="2"/>
  <c r="Z127" i="2" s="1"/>
  <c r="Y126" i="2"/>
  <c r="Z126" i="2" s="1"/>
  <c r="Y125" i="2"/>
  <c r="Z125" i="2" s="1"/>
  <c r="Y124" i="2"/>
  <c r="Z124" i="2" s="1"/>
  <c r="Y123" i="2"/>
  <c r="Z123" i="2" s="1"/>
  <c r="Y122" i="2"/>
  <c r="Z122" i="2" s="1"/>
  <c r="Y121" i="2"/>
  <c r="Z121" i="2" s="1"/>
  <c r="Y120" i="2"/>
  <c r="Z120" i="2" s="1"/>
  <c r="Y119" i="2"/>
  <c r="Z119" i="2" s="1"/>
  <c r="Y118" i="2"/>
  <c r="Z118" i="2" s="1"/>
  <c r="Y117" i="2"/>
  <c r="Z117" i="2" s="1"/>
  <c r="Y116" i="2"/>
  <c r="Z116" i="2" s="1"/>
  <c r="Y115" i="2"/>
  <c r="Z115" i="2" s="1"/>
  <c r="Y114" i="2"/>
  <c r="Z114" i="2" s="1"/>
  <c r="Y113" i="2"/>
  <c r="Z113" i="2" s="1"/>
  <c r="Y112" i="2"/>
  <c r="Z112" i="2" s="1"/>
  <c r="Y111" i="2"/>
  <c r="Z111" i="2" s="1"/>
  <c r="Y110" i="2"/>
  <c r="Z110" i="2" s="1"/>
  <c r="Y109" i="2"/>
  <c r="Z109" i="2" s="1"/>
  <c r="Y108" i="2"/>
  <c r="Z108" i="2" s="1"/>
  <c r="Y107" i="2"/>
  <c r="Z107" i="2" s="1"/>
  <c r="Y106" i="2"/>
  <c r="Z106" i="2" s="1"/>
  <c r="Y105" i="2"/>
  <c r="Z105" i="2" s="1"/>
  <c r="Y104" i="2"/>
  <c r="Z104" i="2" s="1"/>
  <c r="Y103" i="2"/>
  <c r="Z103" i="2" s="1"/>
  <c r="Y102" i="2"/>
  <c r="Z102" i="2" s="1"/>
  <c r="Y101" i="2"/>
  <c r="Z101" i="2" s="1"/>
  <c r="Y100" i="2"/>
  <c r="Z100" i="2" s="1"/>
  <c r="Y99" i="2"/>
  <c r="Z99" i="2" s="1"/>
  <c r="Y98" i="2"/>
  <c r="Z98" i="2" s="1"/>
  <c r="Y97" i="2"/>
  <c r="Z97" i="2" s="1"/>
  <c r="Y96" i="2"/>
  <c r="Z96" i="2" s="1"/>
  <c r="Y95" i="2"/>
  <c r="Z95" i="2" s="1"/>
  <c r="Y94" i="2"/>
  <c r="Z94" i="2" s="1"/>
  <c r="Y93" i="2"/>
  <c r="Z93" i="2" s="1"/>
  <c r="Y92" i="2"/>
  <c r="Z92" i="2" s="1"/>
  <c r="Y91" i="2"/>
  <c r="Z91" i="2" s="1"/>
  <c r="Y90" i="2"/>
  <c r="Z90" i="2" s="1"/>
  <c r="Y89" i="2"/>
  <c r="Z89" i="2" s="1"/>
  <c r="Y88" i="2"/>
  <c r="Z88" i="2" s="1"/>
  <c r="Y87" i="2"/>
  <c r="Z87" i="2" s="1"/>
  <c r="Y86" i="2"/>
  <c r="Z86" i="2" s="1"/>
  <c r="Y85" i="2"/>
  <c r="Z85" i="2" s="1"/>
  <c r="Y84" i="2"/>
  <c r="Z84" i="2" s="1"/>
  <c r="Y83" i="2"/>
  <c r="Z83" i="2" s="1"/>
  <c r="Y82" i="2"/>
  <c r="Z82" i="2" s="1"/>
  <c r="Y81" i="2"/>
  <c r="Z81" i="2" s="1"/>
  <c r="Y80" i="2"/>
  <c r="Z80" i="2" s="1"/>
  <c r="Y79" i="2"/>
  <c r="Z79" i="2" s="1"/>
  <c r="Y78" i="2"/>
  <c r="Z78" i="2" s="1"/>
  <c r="Y77" i="2"/>
  <c r="Z77" i="2" s="1"/>
  <c r="Y76" i="2"/>
  <c r="Z76" i="2" s="1"/>
  <c r="Y75" i="2"/>
  <c r="Z75" i="2" s="1"/>
  <c r="Y74" i="2"/>
  <c r="Z74" i="2" s="1"/>
  <c r="Y73" i="2"/>
  <c r="Z73" i="2" s="1"/>
  <c r="Y72" i="2"/>
  <c r="Z72" i="2" s="1"/>
  <c r="Y71" i="2"/>
  <c r="Z71" i="2" s="1"/>
  <c r="Y70" i="2"/>
  <c r="Z70" i="2" s="1"/>
  <c r="Y69" i="2"/>
  <c r="Z69" i="2" s="1"/>
  <c r="Y68" i="2"/>
  <c r="Z68" i="2" s="1"/>
  <c r="Y67" i="2"/>
  <c r="Z67" i="2" s="1"/>
  <c r="Y66" i="2"/>
  <c r="Z66" i="2" s="1"/>
  <c r="Y65" i="2"/>
  <c r="Z65" i="2" s="1"/>
  <c r="Y64" i="2"/>
  <c r="Z64" i="2" s="1"/>
  <c r="Y63" i="2"/>
  <c r="Z63" i="2" s="1"/>
  <c r="Y62" i="2"/>
  <c r="Z62" i="2" s="1"/>
  <c r="Y61" i="2"/>
  <c r="Z61" i="2" s="1"/>
  <c r="Y60" i="2"/>
  <c r="Z60" i="2" s="1"/>
  <c r="Y59" i="2"/>
  <c r="Z59" i="2" s="1"/>
  <c r="Y58" i="2"/>
  <c r="Z58" i="2" s="1"/>
  <c r="Y57" i="2"/>
  <c r="Z57" i="2" s="1"/>
  <c r="Y56" i="2"/>
  <c r="Z56" i="2" s="1"/>
  <c r="Y55" i="2"/>
  <c r="Z55" i="2" s="1"/>
  <c r="Y54" i="2"/>
  <c r="Z54" i="2" s="1"/>
  <c r="Y53" i="2"/>
  <c r="Z53" i="2" s="1"/>
  <c r="Y52" i="2"/>
  <c r="Z52" i="2" s="1"/>
  <c r="Y51" i="2"/>
  <c r="Z51" i="2" s="1"/>
  <c r="Y50" i="2"/>
  <c r="Z50" i="2" s="1"/>
  <c r="Y49" i="2"/>
  <c r="Z49" i="2" s="1"/>
  <c r="Y48" i="2"/>
  <c r="Z48" i="2" s="1"/>
  <c r="Y47" i="2"/>
  <c r="Z47" i="2" s="1"/>
  <c r="Y46" i="2"/>
  <c r="Z46" i="2" s="1"/>
  <c r="Y45" i="2"/>
  <c r="Z45" i="2" s="1"/>
  <c r="Y44" i="2"/>
  <c r="Z44" i="2" s="1"/>
  <c r="Y43" i="2"/>
  <c r="Z43" i="2" s="1"/>
  <c r="Y42" i="2"/>
  <c r="Z42" i="2" s="1"/>
  <c r="Y41" i="2"/>
  <c r="Z41" i="2" s="1"/>
  <c r="Y40" i="2"/>
  <c r="Z40" i="2" s="1"/>
  <c r="Y39" i="2"/>
  <c r="Z39" i="2" s="1"/>
  <c r="Y38" i="2"/>
  <c r="Z38" i="2" s="1"/>
  <c r="Y37" i="2"/>
  <c r="Z37" i="2" s="1"/>
  <c r="Y36" i="2"/>
  <c r="Z36" i="2" s="1"/>
  <c r="Y35" i="2"/>
  <c r="Z35" i="2" s="1"/>
  <c r="Y34" i="2"/>
  <c r="Z34" i="2" s="1"/>
  <c r="Y33" i="2"/>
  <c r="Z33" i="2" s="1"/>
  <c r="Y32" i="2"/>
  <c r="Z32" i="2" s="1"/>
  <c r="Y31" i="2"/>
  <c r="Z31" i="2" s="1"/>
  <c r="Y30" i="2"/>
  <c r="Z30" i="2" s="1"/>
  <c r="Y29" i="2"/>
  <c r="Z29" i="2" s="1"/>
  <c r="Y28" i="2"/>
  <c r="Z28" i="2" s="1"/>
  <c r="Y27" i="2"/>
  <c r="Z27" i="2" s="1"/>
  <c r="Y26" i="2"/>
  <c r="Z26" i="2" s="1"/>
  <c r="Y25" i="2"/>
  <c r="Z25" i="2" s="1"/>
  <c r="Y24" i="2"/>
  <c r="Z24" i="2" s="1"/>
  <c r="Y23" i="2"/>
  <c r="Z23" i="2" s="1"/>
  <c r="Y22" i="2"/>
  <c r="Z22" i="2" s="1"/>
  <c r="Y21" i="2"/>
  <c r="Z21" i="2" s="1"/>
  <c r="Y20" i="2"/>
  <c r="Z20" i="2" s="1"/>
  <c r="Y19" i="2"/>
  <c r="Z19" i="2" s="1"/>
  <c r="Y18" i="2"/>
  <c r="Z18" i="2" s="1"/>
  <c r="Y17" i="2"/>
  <c r="Z17" i="2" s="1"/>
  <c r="Y16" i="2"/>
  <c r="Z16" i="2" s="1"/>
  <c r="Y15" i="2"/>
  <c r="Z15" i="2" s="1"/>
  <c r="Y14" i="2"/>
  <c r="Z14" i="2" s="1"/>
  <c r="Y13" i="2"/>
  <c r="Z13" i="2" s="1"/>
  <c r="Y12" i="2"/>
  <c r="Z12" i="2" s="1"/>
  <c r="Y11" i="2"/>
  <c r="Z11" i="2" s="1"/>
  <c r="Y10" i="2"/>
  <c r="Z10" i="2" s="1"/>
  <c r="Y9" i="2"/>
  <c r="Z9" i="2" s="1"/>
  <c r="Y8" i="2"/>
  <c r="Z8" i="2" s="1"/>
  <c r="Y7" i="2"/>
  <c r="Z7" i="2" s="1"/>
  <c r="Y6" i="2"/>
  <c r="Z6" i="2" s="1"/>
  <c r="Y5" i="2"/>
  <c r="Z5" i="2" s="1"/>
  <c r="Y4" i="2"/>
  <c r="Z4" i="2" s="1"/>
  <c r="Y3" i="2"/>
  <c r="Z3" i="2" s="1"/>
  <c r="Y2" i="2"/>
  <c r="Z2" i="2" s="1"/>
  <c r="AW41" i="2" l="1"/>
  <c r="AV41" i="2"/>
  <c r="AU2" i="2"/>
  <c r="AW2" i="2" s="1"/>
  <c r="W217" i="2"/>
  <c r="V217" i="2"/>
  <c r="W216" i="2"/>
  <c r="V216" i="2"/>
  <c r="W215" i="2"/>
  <c r="V215" i="2"/>
  <c r="W214" i="2"/>
  <c r="V214" i="2"/>
  <c r="W213" i="2"/>
  <c r="V213" i="2"/>
  <c r="W212" i="2"/>
  <c r="V212" i="2"/>
  <c r="W211" i="2"/>
  <c r="V211" i="2"/>
  <c r="W210" i="2"/>
  <c r="V210" i="2"/>
  <c r="W209" i="2"/>
  <c r="V209" i="2"/>
  <c r="W208" i="2"/>
  <c r="V208" i="2"/>
  <c r="W207" i="2"/>
  <c r="V207" i="2"/>
  <c r="W206" i="2"/>
  <c r="V206" i="2"/>
  <c r="W205" i="2"/>
  <c r="V205" i="2"/>
  <c r="W204" i="2"/>
  <c r="V204" i="2"/>
  <c r="W203" i="2"/>
  <c r="V203" i="2"/>
  <c r="W202" i="2"/>
  <c r="V202" i="2"/>
  <c r="W201" i="2"/>
  <c r="V201" i="2"/>
  <c r="W200" i="2"/>
  <c r="V200" i="2"/>
  <c r="W199" i="2"/>
  <c r="V199" i="2"/>
  <c r="W198" i="2"/>
  <c r="V198" i="2"/>
  <c r="W197" i="2"/>
  <c r="V197" i="2"/>
  <c r="W196" i="2"/>
  <c r="V196" i="2"/>
  <c r="W195" i="2"/>
  <c r="V195" i="2"/>
  <c r="W194" i="2"/>
  <c r="V194" i="2"/>
  <c r="W193" i="2"/>
  <c r="V193" i="2"/>
  <c r="W192" i="2"/>
  <c r="V192" i="2"/>
  <c r="W191" i="2"/>
  <c r="V191" i="2"/>
  <c r="W190" i="2"/>
  <c r="V190" i="2"/>
  <c r="W189" i="2"/>
  <c r="V189" i="2"/>
  <c r="W188" i="2"/>
  <c r="V188" i="2"/>
  <c r="W187" i="2"/>
  <c r="V187" i="2"/>
  <c r="W186" i="2"/>
  <c r="V186" i="2"/>
  <c r="W185" i="2"/>
  <c r="V185" i="2"/>
  <c r="W184" i="2"/>
  <c r="V184" i="2"/>
  <c r="W183" i="2"/>
  <c r="V183" i="2"/>
  <c r="W182" i="2"/>
  <c r="V182" i="2"/>
  <c r="W181" i="2"/>
  <c r="V181" i="2"/>
  <c r="W180" i="2"/>
  <c r="V180" i="2"/>
  <c r="W179" i="2"/>
  <c r="V179" i="2"/>
  <c r="W178" i="2"/>
  <c r="V178" i="2"/>
  <c r="W177" i="2"/>
  <c r="V177" i="2"/>
  <c r="W176" i="2"/>
  <c r="V176" i="2"/>
  <c r="W175" i="2"/>
  <c r="V175" i="2"/>
  <c r="W174" i="2"/>
  <c r="V174" i="2"/>
  <c r="W173" i="2"/>
  <c r="V173" i="2"/>
  <c r="W172" i="2"/>
  <c r="V172" i="2"/>
  <c r="W171" i="2"/>
  <c r="V171" i="2"/>
  <c r="W170" i="2"/>
  <c r="V170" i="2"/>
  <c r="W169" i="2"/>
  <c r="V169" i="2"/>
  <c r="W168" i="2"/>
  <c r="V168" i="2"/>
  <c r="W167" i="2"/>
  <c r="V167" i="2"/>
  <c r="W166" i="2"/>
  <c r="V166" i="2"/>
  <c r="W165" i="2"/>
  <c r="V165" i="2"/>
  <c r="W164" i="2"/>
  <c r="V164" i="2"/>
  <c r="W163" i="2"/>
  <c r="V163" i="2"/>
  <c r="W162" i="2"/>
  <c r="V162" i="2"/>
  <c r="W161" i="2"/>
  <c r="V161" i="2"/>
  <c r="W160" i="2"/>
  <c r="V160" i="2"/>
  <c r="W159" i="2"/>
  <c r="V159" i="2"/>
  <c r="W158" i="2"/>
  <c r="V158" i="2"/>
  <c r="W157" i="2"/>
  <c r="V157" i="2"/>
  <c r="W156" i="2"/>
  <c r="V156" i="2"/>
  <c r="W155" i="2"/>
  <c r="V155" i="2"/>
  <c r="W154" i="2"/>
  <c r="V154" i="2"/>
  <c r="W153" i="2"/>
  <c r="V153" i="2"/>
  <c r="W152" i="2"/>
  <c r="V152" i="2"/>
  <c r="W151" i="2"/>
  <c r="V151" i="2"/>
  <c r="W150" i="2"/>
  <c r="V150" i="2"/>
  <c r="W149" i="2"/>
  <c r="V149" i="2"/>
  <c r="W148" i="2"/>
  <c r="V148" i="2"/>
  <c r="W147" i="2"/>
  <c r="V147" i="2"/>
  <c r="W146" i="2"/>
  <c r="V146" i="2"/>
  <c r="W145" i="2"/>
  <c r="V145" i="2"/>
  <c r="W144" i="2"/>
  <c r="V144" i="2"/>
  <c r="W143" i="2"/>
  <c r="V143" i="2"/>
  <c r="W142" i="2"/>
  <c r="V142" i="2"/>
  <c r="W141" i="2"/>
  <c r="V141" i="2"/>
  <c r="W140" i="2"/>
  <c r="V140" i="2"/>
  <c r="W139" i="2"/>
  <c r="V139" i="2"/>
  <c r="W138" i="2"/>
  <c r="V138" i="2"/>
  <c r="W137" i="2"/>
  <c r="V137" i="2"/>
  <c r="W136" i="2"/>
  <c r="V136" i="2"/>
  <c r="W135" i="2"/>
  <c r="V135" i="2"/>
  <c r="W134" i="2"/>
  <c r="V134" i="2"/>
  <c r="W133" i="2"/>
  <c r="V133" i="2"/>
  <c r="W132" i="2"/>
  <c r="V132" i="2"/>
  <c r="W131" i="2"/>
  <c r="V131" i="2"/>
  <c r="W130" i="2"/>
  <c r="V130" i="2"/>
  <c r="W129" i="2"/>
  <c r="V129" i="2"/>
  <c r="W128" i="2"/>
  <c r="V128" i="2"/>
  <c r="W127" i="2"/>
  <c r="V127" i="2"/>
  <c r="W126" i="2"/>
  <c r="V126" i="2"/>
  <c r="W125" i="2"/>
  <c r="V125" i="2"/>
  <c r="W124" i="2"/>
  <c r="V124" i="2"/>
  <c r="W123" i="2"/>
  <c r="V123" i="2"/>
  <c r="W122" i="2"/>
  <c r="V122" i="2"/>
  <c r="W121" i="2"/>
  <c r="V121" i="2"/>
  <c r="W120" i="2"/>
  <c r="V120" i="2"/>
  <c r="W119" i="2"/>
  <c r="V119" i="2"/>
  <c r="W118" i="2"/>
  <c r="V118" i="2"/>
  <c r="W117" i="2"/>
  <c r="V117" i="2"/>
  <c r="W116" i="2"/>
  <c r="V116" i="2"/>
  <c r="W115" i="2"/>
  <c r="V115" i="2"/>
  <c r="W114" i="2"/>
  <c r="V114" i="2"/>
  <c r="W113" i="2"/>
  <c r="V113" i="2"/>
  <c r="W112" i="2"/>
  <c r="V112" i="2"/>
  <c r="W111" i="2"/>
  <c r="V111" i="2"/>
  <c r="W110" i="2"/>
  <c r="V110" i="2"/>
  <c r="W109" i="2"/>
  <c r="V109" i="2"/>
  <c r="W108" i="2"/>
  <c r="V108" i="2"/>
  <c r="W107" i="2"/>
  <c r="V107" i="2"/>
  <c r="W106" i="2"/>
  <c r="V106" i="2"/>
  <c r="W105" i="2"/>
  <c r="V105" i="2"/>
  <c r="W104" i="2"/>
  <c r="V104" i="2"/>
  <c r="W103" i="2"/>
  <c r="V103" i="2"/>
  <c r="W102" i="2"/>
  <c r="V102" i="2"/>
  <c r="W101" i="2"/>
  <c r="V101" i="2"/>
  <c r="W100" i="2"/>
  <c r="V100" i="2"/>
  <c r="W99" i="2"/>
  <c r="V99" i="2"/>
  <c r="W98" i="2"/>
  <c r="V98" i="2"/>
  <c r="W97" i="2"/>
  <c r="V97" i="2"/>
  <c r="W96" i="2"/>
  <c r="V96" i="2"/>
  <c r="W95" i="2"/>
  <c r="V95" i="2"/>
  <c r="W94" i="2"/>
  <c r="V94" i="2"/>
  <c r="W93" i="2"/>
  <c r="V93" i="2"/>
  <c r="W92" i="2"/>
  <c r="V92" i="2"/>
  <c r="W91" i="2"/>
  <c r="V91" i="2"/>
  <c r="W90" i="2"/>
  <c r="V90" i="2"/>
  <c r="W89" i="2"/>
  <c r="V89" i="2"/>
  <c r="W88" i="2"/>
  <c r="V88" i="2"/>
  <c r="W87" i="2"/>
  <c r="V87" i="2"/>
  <c r="W86" i="2"/>
  <c r="V86" i="2"/>
  <c r="W85" i="2"/>
  <c r="V85" i="2"/>
  <c r="W84" i="2"/>
  <c r="V84" i="2"/>
  <c r="W83" i="2"/>
  <c r="V83" i="2"/>
  <c r="W82" i="2"/>
  <c r="V82" i="2"/>
  <c r="W81" i="2"/>
  <c r="V81" i="2"/>
  <c r="W80" i="2"/>
  <c r="V80" i="2"/>
  <c r="W79" i="2"/>
  <c r="V79" i="2"/>
  <c r="W78" i="2"/>
  <c r="V78" i="2"/>
  <c r="W77" i="2"/>
  <c r="V77" i="2"/>
  <c r="W76" i="2"/>
  <c r="V76" i="2"/>
  <c r="W75" i="2"/>
  <c r="V75" i="2"/>
  <c r="W74" i="2"/>
  <c r="V74" i="2"/>
  <c r="W73" i="2"/>
  <c r="V73" i="2"/>
  <c r="W72" i="2"/>
  <c r="V72" i="2"/>
  <c r="W71" i="2"/>
  <c r="V71" i="2"/>
  <c r="W70" i="2"/>
  <c r="V70" i="2"/>
  <c r="W69" i="2"/>
  <c r="V69" i="2"/>
  <c r="W68" i="2"/>
  <c r="V68" i="2"/>
  <c r="W67" i="2"/>
  <c r="V67" i="2"/>
  <c r="W66" i="2"/>
  <c r="V66" i="2"/>
  <c r="W65" i="2"/>
  <c r="V65" i="2"/>
  <c r="W64" i="2"/>
  <c r="V64" i="2"/>
  <c r="W63" i="2"/>
  <c r="V63" i="2"/>
  <c r="W62" i="2"/>
  <c r="V62" i="2"/>
  <c r="W61" i="2"/>
  <c r="V61" i="2"/>
  <c r="W60" i="2"/>
  <c r="V60" i="2"/>
  <c r="W59" i="2"/>
  <c r="V59" i="2"/>
  <c r="W58" i="2"/>
  <c r="V58" i="2"/>
  <c r="W57" i="2"/>
  <c r="V57" i="2"/>
  <c r="W56" i="2"/>
  <c r="V56" i="2"/>
  <c r="W55" i="2"/>
  <c r="V55" i="2"/>
  <c r="W54" i="2"/>
  <c r="V54" i="2"/>
  <c r="W53" i="2"/>
  <c r="V53" i="2"/>
  <c r="W52" i="2"/>
  <c r="V52" i="2"/>
  <c r="W51" i="2"/>
  <c r="V51" i="2"/>
  <c r="W50" i="2"/>
  <c r="V50" i="2"/>
  <c r="W49" i="2"/>
  <c r="V49" i="2"/>
  <c r="W48" i="2"/>
  <c r="V48" i="2"/>
  <c r="W47" i="2"/>
  <c r="V47" i="2"/>
  <c r="W46" i="2"/>
  <c r="V46" i="2"/>
  <c r="W45" i="2"/>
  <c r="V45" i="2"/>
  <c r="W44" i="2"/>
  <c r="V44" i="2"/>
  <c r="W43" i="2"/>
  <c r="V43" i="2"/>
  <c r="W42" i="2"/>
  <c r="V42" i="2"/>
  <c r="W41" i="2"/>
  <c r="V41" i="2"/>
  <c r="W40" i="2"/>
  <c r="V40" i="2"/>
  <c r="W39" i="2"/>
  <c r="V39" i="2"/>
  <c r="W38" i="2"/>
  <c r="V38" i="2"/>
  <c r="W37" i="2"/>
  <c r="V37" i="2"/>
  <c r="W36" i="2"/>
  <c r="V36" i="2"/>
  <c r="W35" i="2"/>
  <c r="V35" i="2"/>
  <c r="W34" i="2"/>
  <c r="V34" i="2"/>
  <c r="W33" i="2"/>
  <c r="V33" i="2"/>
  <c r="W32" i="2"/>
  <c r="V32" i="2"/>
  <c r="W31" i="2"/>
  <c r="V31" i="2"/>
  <c r="W30" i="2"/>
  <c r="V30" i="2"/>
  <c r="W29" i="2"/>
  <c r="V29" i="2"/>
  <c r="W28" i="2"/>
  <c r="V28" i="2"/>
  <c r="W27" i="2"/>
  <c r="V27" i="2"/>
  <c r="W26" i="2"/>
  <c r="V26" i="2"/>
  <c r="W25" i="2"/>
  <c r="V25" i="2"/>
  <c r="W24" i="2"/>
  <c r="V24" i="2"/>
  <c r="W23" i="2"/>
  <c r="V23" i="2"/>
  <c r="W22" i="2"/>
  <c r="V22" i="2"/>
  <c r="W21" i="2"/>
  <c r="V21" i="2"/>
  <c r="W20" i="2"/>
  <c r="V20" i="2"/>
  <c r="W19" i="2"/>
  <c r="V19" i="2"/>
  <c r="W18" i="2"/>
  <c r="V18" i="2"/>
  <c r="W17" i="2"/>
  <c r="V17" i="2"/>
  <c r="W16" i="2"/>
  <c r="V16" i="2"/>
  <c r="W15" i="2"/>
  <c r="V15" i="2"/>
  <c r="W14" i="2"/>
  <c r="V14" i="2"/>
  <c r="W13" i="2"/>
  <c r="V13" i="2"/>
  <c r="W12" i="2"/>
  <c r="V12" i="2"/>
  <c r="W11" i="2"/>
  <c r="V11" i="2"/>
  <c r="W10" i="2"/>
  <c r="V10" i="2"/>
  <c r="W9" i="2"/>
  <c r="V9" i="2"/>
  <c r="W8" i="2"/>
  <c r="V8" i="2"/>
  <c r="W7" i="2"/>
  <c r="V7" i="2"/>
  <c r="W6" i="2"/>
  <c r="V6" i="2"/>
  <c r="W5" i="2"/>
  <c r="V5" i="2"/>
  <c r="W4" i="2"/>
  <c r="V4" i="2"/>
  <c r="W3" i="2"/>
  <c r="V3" i="2"/>
  <c r="V2" i="2"/>
  <c r="W2"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c r="BK217" i="2" l="1"/>
  <c r="BJ217" i="2"/>
  <c r="BI217" i="2"/>
  <c r="BH217" i="2"/>
  <c r="BK216" i="2"/>
  <c r="BJ216" i="2"/>
  <c r="BI216" i="2"/>
  <c r="BH216" i="2"/>
  <c r="BK215" i="2"/>
  <c r="BJ215" i="2"/>
  <c r="BI215" i="2"/>
  <c r="BH215" i="2"/>
  <c r="BK214" i="2"/>
  <c r="BJ214" i="2"/>
  <c r="BI214" i="2"/>
  <c r="BH214" i="2"/>
  <c r="BK213" i="2"/>
  <c r="BJ213" i="2"/>
  <c r="BI213" i="2"/>
  <c r="BH213" i="2"/>
  <c r="BK212" i="2"/>
  <c r="BJ212" i="2"/>
  <c r="BI212" i="2"/>
  <c r="BH212" i="2"/>
  <c r="BK211" i="2"/>
  <c r="BJ211" i="2"/>
  <c r="BI211" i="2"/>
  <c r="BH211" i="2"/>
  <c r="BK210" i="2"/>
  <c r="BJ210" i="2"/>
  <c r="BI210" i="2"/>
  <c r="BH210" i="2"/>
  <c r="BK209" i="2"/>
  <c r="BJ209" i="2"/>
  <c r="BI209" i="2"/>
  <c r="BH209" i="2"/>
  <c r="BK208" i="2"/>
  <c r="BJ208" i="2"/>
  <c r="BI208" i="2"/>
  <c r="BH208" i="2"/>
  <c r="BK207" i="2"/>
  <c r="BJ207" i="2"/>
  <c r="BI207" i="2"/>
  <c r="BH207" i="2"/>
  <c r="BK206" i="2"/>
  <c r="BJ206" i="2"/>
  <c r="BI206" i="2"/>
  <c r="BH206" i="2"/>
  <c r="BK205" i="2"/>
  <c r="BJ205" i="2"/>
  <c r="BI205" i="2"/>
  <c r="BH205" i="2"/>
  <c r="BK204" i="2"/>
  <c r="BJ204" i="2"/>
  <c r="BI204" i="2"/>
  <c r="BH204" i="2"/>
  <c r="BK203" i="2"/>
  <c r="BJ203" i="2"/>
  <c r="BI203" i="2"/>
  <c r="BH203" i="2"/>
  <c r="BK202" i="2"/>
  <c r="BJ202" i="2"/>
  <c r="BI202" i="2"/>
  <c r="BH202" i="2"/>
  <c r="BK201" i="2"/>
  <c r="BJ201" i="2"/>
  <c r="BI201" i="2"/>
  <c r="BH201" i="2"/>
  <c r="BK200" i="2"/>
  <c r="BJ200" i="2"/>
  <c r="BI200" i="2"/>
  <c r="BH200" i="2"/>
  <c r="BK199" i="2"/>
  <c r="BJ199" i="2"/>
  <c r="BI199" i="2"/>
  <c r="BH199" i="2"/>
  <c r="BK198" i="2"/>
  <c r="BJ198" i="2"/>
  <c r="BI198" i="2"/>
  <c r="BH198" i="2"/>
  <c r="BK197" i="2"/>
  <c r="BJ197" i="2"/>
  <c r="BI197" i="2"/>
  <c r="BH197" i="2"/>
  <c r="BK196" i="2"/>
  <c r="BJ196" i="2"/>
  <c r="BI196" i="2"/>
  <c r="BH196" i="2"/>
  <c r="BK195" i="2"/>
  <c r="BJ195" i="2"/>
  <c r="BI195" i="2"/>
  <c r="BH195" i="2"/>
  <c r="BK194" i="2"/>
  <c r="BJ194" i="2"/>
  <c r="BI194" i="2"/>
  <c r="BH194" i="2"/>
  <c r="BK193" i="2"/>
  <c r="BJ193" i="2"/>
  <c r="BI193" i="2"/>
  <c r="BH193" i="2"/>
  <c r="BK192" i="2"/>
  <c r="BJ192" i="2"/>
  <c r="BI192" i="2"/>
  <c r="BH192" i="2"/>
  <c r="BK191" i="2"/>
  <c r="BJ191" i="2"/>
  <c r="BI191" i="2"/>
  <c r="BH191" i="2"/>
  <c r="BK190" i="2"/>
  <c r="BJ190" i="2"/>
  <c r="BI190" i="2"/>
  <c r="BH190" i="2"/>
  <c r="BK189" i="2"/>
  <c r="BJ189" i="2"/>
  <c r="BI189" i="2"/>
  <c r="BH189" i="2"/>
  <c r="BK188" i="2"/>
  <c r="BJ188" i="2"/>
  <c r="BI188" i="2"/>
  <c r="BH188" i="2"/>
  <c r="BK187" i="2"/>
  <c r="BJ187" i="2"/>
  <c r="BI187" i="2"/>
  <c r="BH187" i="2"/>
  <c r="BK186" i="2"/>
  <c r="BJ186" i="2"/>
  <c r="BI186" i="2"/>
  <c r="BH186" i="2"/>
  <c r="BK185" i="2"/>
  <c r="BJ185" i="2"/>
  <c r="BI185" i="2"/>
  <c r="BH185" i="2"/>
  <c r="BK184" i="2"/>
  <c r="BJ184" i="2"/>
  <c r="BI184" i="2"/>
  <c r="BH184" i="2"/>
  <c r="BK183" i="2"/>
  <c r="BJ183" i="2"/>
  <c r="BI183" i="2"/>
  <c r="BH183" i="2"/>
  <c r="BK182" i="2"/>
  <c r="BJ182" i="2"/>
  <c r="BI182" i="2"/>
  <c r="BH182" i="2"/>
  <c r="BK181" i="2"/>
  <c r="BJ181" i="2"/>
  <c r="BI181" i="2"/>
  <c r="BH181" i="2"/>
  <c r="BK180" i="2"/>
  <c r="BJ180" i="2"/>
  <c r="BI180" i="2"/>
  <c r="BH180" i="2"/>
  <c r="BK179" i="2"/>
  <c r="BJ179" i="2"/>
  <c r="BI179" i="2"/>
  <c r="BH179" i="2"/>
  <c r="BK178" i="2"/>
  <c r="BJ178" i="2"/>
  <c r="BI178" i="2"/>
  <c r="BH178" i="2"/>
  <c r="BK177" i="2"/>
  <c r="BJ177" i="2"/>
  <c r="BI177" i="2"/>
  <c r="BH177" i="2"/>
  <c r="BK176" i="2"/>
  <c r="BJ176" i="2"/>
  <c r="BI176" i="2"/>
  <c r="BH176" i="2"/>
  <c r="BK175" i="2"/>
  <c r="BJ175" i="2"/>
  <c r="BI175" i="2"/>
  <c r="BH175" i="2"/>
  <c r="BK174" i="2"/>
  <c r="BJ174" i="2"/>
  <c r="BI174" i="2"/>
  <c r="BH174" i="2"/>
  <c r="BK173" i="2"/>
  <c r="BJ173" i="2"/>
  <c r="BI173" i="2"/>
  <c r="BH173" i="2"/>
  <c r="BK172" i="2"/>
  <c r="BJ172" i="2"/>
  <c r="BI172" i="2"/>
  <c r="BH172" i="2"/>
  <c r="BK171" i="2"/>
  <c r="BJ171" i="2"/>
  <c r="BI171" i="2"/>
  <c r="BH171" i="2"/>
  <c r="BK170" i="2"/>
  <c r="BJ170" i="2"/>
  <c r="BI170" i="2"/>
  <c r="BH170" i="2"/>
  <c r="BK169" i="2"/>
  <c r="BJ169" i="2"/>
  <c r="BI169" i="2"/>
  <c r="BH169" i="2"/>
  <c r="BK168" i="2"/>
  <c r="BJ168" i="2"/>
  <c r="BI168" i="2"/>
  <c r="BH168" i="2"/>
  <c r="BK167" i="2"/>
  <c r="BJ167" i="2"/>
  <c r="BI167" i="2"/>
  <c r="BH167" i="2"/>
  <c r="BK166" i="2"/>
  <c r="BJ166" i="2"/>
  <c r="BI166" i="2"/>
  <c r="BH166" i="2"/>
  <c r="BK165" i="2"/>
  <c r="BJ165" i="2"/>
  <c r="BI165" i="2"/>
  <c r="BH165" i="2"/>
  <c r="BK164" i="2"/>
  <c r="BJ164" i="2"/>
  <c r="BI164" i="2"/>
  <c r="BH164" i="2"/>
  <c r="BK163" i="2"/>
  <c r="BJ163" i="2"/>
  <c r="BI163" i="2"/>
  <c r="BH163" i="2"/>
  <c r="BK162" i="2"/>
  <c r="BJ162" i="2"/>
  <c r="BI162" i="2"/>
  <c r="BH162" i="2"/>
  <c r="BK161" i="2"/>
  <c r="BJ161" i="2"/>
  <c r="BI161" i="2"/>
  <c r="BH161" i="2"/>
  <c r="BK160" i="2"/>
  <c r="BJ160" i="2"/>
  <c r="BI160" i="2"/>
  <c r="BH160" i="2"/>
  <c r="BK159" i="2"/>
  <c r="BJ159" i="2"/>
  <c r="BI159" i="2"/>
  <c r="BH159" i="2"/>
  <c r="BK158" i="2"/>
  <c r="BJ158" i="2"/>
  <c r="BI158" i="2"/>
  <c r="BH158" i="2"/>
  <c r="BK157" i="2"/>
  <c r="BJ157" i="2"/>
  <c r="BI157" i="2"/>
  <c r="BH157" i="2"/>
  <c r="BK156" i="2"/>
  <c r="BJ156" i="2"/>
  <c r="BI156" i="2"/>
  <c r="BH156" i="2"/>
  <c r="BK155" i="2"/>
  <c r="BJ155" i="2"/>
  <c r="BI155" i="2"/>
  <c r="BH155" i="2"/>
  <c r="BK154" i="2"/>
  <c r="BJ154" i="2"/>
  <c r="BI154" i="2"/>
  <c r="BH154" i="2"/>
  <c r="BK153" i="2"/>
  <c r="BJ153" i="2"/>
  <c r="BI153" i="2"/>
  <c r="BH153" i="2"/>
  <c r="BK152" i="2"/>
  <c r="BJ152" i="2"/>
  <c r="BI152" i="2"/>
  <c r="BH152" i="2"/>
  <c r="BK151" i="2"/>
  <c r="BJ151" i="2"/>
  <c r="BI151" i="2"/>
  <c r="BH151" i="2"/>
  <c r="BK150" i="2"/>
  <c r="BJ150" i="2"/>
  <c r="BI150" i="2"/>
  <c r="BH150" i="2"/>
  <c r="BK149" i="2"/>
  <c r="BJ149" i="2"/>
  <c r="BI149" i="2"/>
  <c r="BH149" i="2"/>
  <c r="BK148" i="2"/>
  <c r="BJ148" i="2"/>
  <c r="BI148" i="2"/>
  <c r="BH148" i="2"/>
  <c r="BK147" i="2"/>
  <c r="BJ147" i="2"/>
  <c r="BI147" i="2"/>
  <c r="BH147" i="2"/>
  <c r="BK146" i="2"/>
  <c r="BJ146" i="2"/>
  <c r="BI146" i="2"/>
  <c r="BH146" i="2"/>
  <c r="BK145" i="2"/>
  <c r="BJ145" i="2"/>
  <c r="BI145" i="2"/>
  <c r="BH145" i="2"/>
  <c r="BK144" i="2"/>
  <c r="BJ144" i="2"/>
  <c r="BI144" i="2"/>
  <c r="BH144" i="2"/>
  <c r="BK142" i="2"/>
  <c r="BJ142" i="2"/>
  <c r="BI142" i="2"/>
  <c r="BH142" i="2"/>
  <c r="BK141" i="2"/>
  <c r="BJ141" i="2"/>
  <c r="BI141" i="2"/>
  <c r="BH141" i="2"/>
  <c r="BK140" i="2"/>
  <c r="BJ140" i="2"/>
  <c r="BI140" i="2"/>
  <c r="BH140" i="2"/>
  <c r="BK139" i="2"/>
  <c r="BJ139" i="2"/>
  <c r="BI139" i="2"/>
  <c r="BH139" i="2"/>
  <c r="BK138" i="2"/>
  <c r="BJ138" i="2"/>
  <c r="BI138" i="2"/>
  <c r="BH138" i="2"/>
  <c r="BK137" i="2"/>
  <c r="BJ137" i="2"/>
  <c r="BI137" i="2"/>
  <c r="BH137" i="2"/>
  <c r="BK136" i="2"/>
  <c r="BJ136" i="2"/>
  <c r="BI136" i="2"/>
  <c r="BH136" i="2"/>
  <c r="BK135" i="2"/>
  <c r="BJ135" i="2"/>
  <c r="BI135" i="2"/>
  <c r="BH135" i="2"/>
  <c r="BK134" i="2"/>
  <c r="BJ134" i="2"/>
  <c r="BI134" i="2"/>
  <c r="BH134" i="2"/>
  <c r="BK133" i="2"/>
  <c r="BJ133" i="2"/>
  <c r="BI133" i="2"/>
  <c r="BH133" i="2"/>
  <c r="BK132" i="2"/>
  <c r="BJ132" i="2"/>
  <c r="BI132" i="2"/>
  <c r="BH132" i="2"/>
  <c r="BK131" i="2"/>
  <c r="BJ131" i="2"/>
  <c r="BI131" i="2"/>
  <c r="BH131" i="2"/>
  <c r="BK130" i="2"/>
  <c r="BJ130" i="2"/>
  <c r="BI130" i="2"/>
  <c r="BH130" i="2"/>
  <c r="BK129" i="2"/>
  <c r="BJ129" i="2"/>
  <c r="BI129" i="2"/>
  <c r="BH129" i="2"/>
  <c r="BK128" i="2"/>
  <c r="BJ128" i="2"/>
  <c r="BI128" i="2"/>
  <c r="BH128" i="2"/>
  <c r="BK127" i="2"/>
  <c r="BJ127" i="2"/>
  <c r="BI127" i="2"/>
  <c r="BH127" i="2"/>
  <c r="BK126" i="2"/>
  <c r="BJ126" i="2"/>
  <c r="BI126" i="2"/>
  <c r="BH126" i="2"/>
  <c r="BK125" i="2"/>
  <c r="BJ125" i="2"/>
  <c r="BI125" i="2"/>
  <c r="BH125" i="2"/>
  <c r="BK124" i="2"/>
  <c r="BJ124" i="2"/>
  <c r="BI124" i="2"/>
  <c r="BH124" i="2"/>
  <c r="BK123" i="2"/>
  <c r="BJ123" i="2"/>
  <c r="BI123" i="2"/>
  <c r="BH123" i="2"/>
  <c r="BK122" i="2"/>
  <c r="BJ122" i="2"/>
  <c r="BI122" i="2"/>
  <c r="BH122" i="2"/>
  <c r="BK121" i="2"/>
  <c r="BJ121" i="2"/>
  <c r="BI121" i="2"/>
  <c r="BH121" i="2"/>
  <c r="BK120" i="2"/>
  <c r="BJ120" i="2"/>
  <c r="BI120" i="2"/>
  <c r="BH120" i="2"/>
  <c r="BK119" i="2"/>
  <c r="BJ119" i="2"/>
  <c r="BI119" i="2"/>
  <c r="BH119" i="2"/>
  <c r="BK118" i="2"/>
  <c r="BJ118" i="2"/>
  <c r="BI118" i="2"/>
  <c r="BH118" i="2"/>
  <c r="BK117" i="2"/>
  <c r="BJ117" i="2"/>
  <c r="BI117" i="2"/>
  <c r="BH117" i="2"/>
  <c r="BK116" i="2"/>
  <c r="BJ116" i="2"/>
  <c r="BI116" i="2"/>
  <c r="BH116" i="2"/>
  <c r="BK143" i="2"/>
  <c r="BJ143" i="2"/>
  <c r="BI143" i="2"/>
  <c r="BH143" i="2"/>
  <c r="BK115" i="2"/>
  <c r="BJ115" i="2"/>
  <c r="BI115" i="2"/>
  <c r="BH115" i="2"/>
  <c r="BK114" i="2"/>
  <c r="BJ114" i="2"/>
  <c r="BI114" i="2"/>
  <c r="BH114" i="2"/>
  <c r="BK113" i="2"/>
  <c r="BJ113" i="2"/>
  <c r="BI113" i="2"/>
  <c r="BH113" i="2"/>
  <c r="BK112" i="2"/>
  <c r="BJ112" i="2"/>
  <c r="BI112" i="2"/>
  <c r="BH112" i="2"/>
  <c r="BK111" i="2"/>
  <c r="BJ111" i="2"/>
  <c r="BI111" i="2"/>
  <c r="BH111" i="2"/>
  <c r="BK110" i="2"/>
  <c r="BJ110" i="2"/>
  <c r="BI110" i="2"/>
  <c r="BH110" i="2"/>
  <c r="BK109" i="2"/>
  <c r="BJ109" i="2"/>
  <c r="BI109" i="2"/>
  <c r="BH109" i="2"/>
  <c r="BK108" i="2"/>
  <c r="BJ108" i="2"/>
  <c r="BI108" i="2"/>
  <c r="BH108" i="2"/>
  <c r="BK107" i="2"/>
  <c r="BJ107" i="2"/>
  <c r="BI107" i="2"/>
  <c r="BH107" i="2"/>
  <c r="BK106" i="2"/>
  <c r="BJ106" i="2"/>
  <c r="BI106" i="2"/>
  <c r="BH106" i="2"/>
  <c r="BK105" i="2"/>
  <c r="BJ105" i="2"/>
  <c r="BI105" i="2"/>
  <c r="BH105" i="2"/>
  <c r="BK104" i="2"/>
  <c r="BJ104" i="2"/>
  <c r="BI104" i="2"/>
  <c r="BH104" i="2"/>
  <c r="BK103" i="2"/>
  <c r="BJ103" i="2"/>
  <c r="BI103" i="2"/>
  <c r="BH103" i="2"/>
  <c r="BK102" i="2"/>
  <c r="BJ102" i="2"/>
  <c r="BI102" i="2"/>
  <c r="BH102" i="2"/>
  <c r="BK101" i="2"/>
  <c r="BJ101" i="2"/>
  <c r="BI101" i="2"/>
  <c r="BH101" i="2"/>
  <c r="BK100" i="2"/>
  <c r="BJ100" i="2"/>
  <c r="BI100" i="2"/>
  <c r="BH100" i="2"/>
  <c r="BK99" i="2"/>
  <c r="BJ99" i="2"/>
  <c r="BI99" i="2"/>
  <c r="BH99" i="2"/>
  <c r="BK98" i="2"/>
  <c r="BJ98" i="2"/>
  <c r="BI98" i="2"/>
  <c r="BH98" i="2"/>
  <c r="BK97" i="2"/>
  <c r="BJ97" i="2"/>
  <c r="BI97" i="2"/>
  <c r="BH97" i="2"/>
  <c r="BK96" i="2"/>
  <c r="BJ96" i="2"/>
  <c r="BI96" i="2"/>
  <c r="BH96" i="2"/>
  <c r="BK95" i="2"/>
  <c r="BJ95" i="2"/>
  <c r="BI95" i="2"/>
  <c r="BH95" i="2"/>
  <c r="BK94" i="2"/>
  <c r="BJ94" i="2"/>
  <c r="BI94" i="2"/>
  <c r="BH94" i="2"/>
  <c r="BK93" i="2"/>
  <c r="BJ93" i="2"/>
  <c r="BI93" i="2"/>
  <c r="BH93" i="2"/>
  <c r="BK92" i="2"/>
  <c r="BJ92" i="2"/>
  <c r="BI92" i="2"/>
  <c r="BH92" i="2"/>
  <c r="BK91" i="2"/>
  <c r="BJ91" i="2"/>
  <c r="BI91" i="2"/>
  <c r="BH91" i="2"/>
  <c r="BK90" i="2"/>
  <c r="BJ90" i="2"/>
  <c r="BI90" i="2"/>
  <c r="BH90" i="2"/>
  <c r="BK89" i="2"/>
  <c r="BJ89" i="2"/>
  <c r="BI89" i="2"/>
  <c r="BH89" i="2"/>
  <c r="BK88" i="2"/>
  <c r="BJ88" i="2"/>
  <c r="BI88" i="2"/>
  <c r="BH88" i="2"/>
  <c r="BK87" i="2"/>
  <c r="BJ87" i="2"/>
  <c r="BI87" i="2"/>
  <c r="BH87" i="2"/>
  <c r="BK86" i="2"/>
  <c r="BJ86" i="2"/>
  <c r="BI86" i="2"/>
  <c r="BH86" i="2"/>
  <c r="BK85" i="2"/>
  <c r="BJ85" i="2"/>
  <c r="BI85" i="2"/>
  <c r="BH85" i="2"/>
  <c r="BK84" i="2"/>
  <c r="BJ84" i="2"/>
  <c r="BI84" i="2"/>
  <c r="BH84" i="2"/>
  <c r="BK83" i="2"/>
  <c r="BJ83" i="2"/>
  <c r="BI83" i="2"/>
  <c r="BH83" i="2"/>
  <c r="BK82" i="2"/>
  <c r="BJ82" i="2"/>
  <c r="BI82" i="2"/>
  <c r="BH82" i="2"/>
  <c r="BK81" i="2"/>
  <c r="BJ81" i="2"/>
  <c r="BI81" i="2"/>
  <c r="BH81" i="2"/>
  <c r="BK80" i="2"/>
  <c r="BJ80" i="2"/>
  <c r="BI80" i="2"/>
  <c r="BH80" i="2"/>
  <c r="BK79" i="2"/>
  <c r="BJ79" i="2"/>
  <c r="BI79" i="2"/>
  <c r="BH79" i="2"/>
  <c r="BK78" i="2"/>
  <c r="BJ78" i="2"/>
  <c r="BI78" i="2"/>
  <c r="BH78" i="2"/>
  <c r="BK77" i="2"/>
  <c r="BJ77" i="2"/>
  <c r="BI77" i="2"/>
  <c r="BH77" i="2"/>
  <c r="BK76" i="2"/>
  <c r="BJ76" i="2"/>
  <c r="BI76" i="2"/>
  <c r="BH76" i="2"/>
  <c r="BK75" i="2"/>
  <c r="BJ75" i="2"/>
  <c r="BI75" i="2"/>
  <c r="BH75" i="2"/>
  <c r="BK74" i="2"/>
  <c r="BJ74" i="2"/>
  <c r="BI74" i="2"/>
  <c r="BH74" i="2"/>
  <c r="BK73" i="2"/>
  <c r="BJ73" i="2"/>
  <c r="BI73" i="2"/>
  <c r="BH73" i="2"/>
  <c r="BK72" i="2"/>
  <c r="BJ72" i="2"/>
  <c r="BI72" i="2"/>
  <c r="BH72" i="2"/>
  <c r="BK71" i="2"/>
  <c r="BJ71" i="2"/>
  <c r="BI71" i="2"/>
  <c r="BH71" i="2"/>
  <c r="BK70" i="2"/>
  <c r="BJ70" i="2"/>
  <c r="BI70" i="2"/>
  <c r="BH70" i="2"/>
  <c r="BK69" i="2"/>
  <c r="BJ69" i="2"/>
  <c r="BI69" i="2"/>
  <c r="BH69" i="2"/>
  <c r="BK68" i="2"/>
  <c r="BJ68" i="2"/>
  <c r="BI68" i="2"/>
  <c r="BH68" i="2"/>
  <c r="BK67" i="2"/>
  <c r="BJ67" i="2"/>
  <c r="BI67" i="2"/>
  <c r="BH67" i="2"/>
  <c r="BK66" i="2"/>
  <c r="BJ66" i="2"/>
  <c r="BI66" i="2"/>
  <c r="BH66" i="2"/>
  <c r="BK65" i="2"/>
  <c r="BJ65" i="2"/>
  <c r="BI65" i="2"/>
  <c r="BH65" i="2"/>
  <c r="BK64" i="2"/>
  <c r="BJ64" i="2"/>
  <c r="BI64" i="2"/>
  <c r="BH64" i="2"/>
  <c r="BK63" i="2"/>
  <c r="BJ63" i="2"/>
  <c r="BI63" i="2"/>
  <c r="BH63" i="2"/>
  <c r="BK62" i="2"/>
  <c r="BJ62" i="2"/>
  <c r="BI62" i="2"/>
  <c r="BH62" i="2"/>
  <c r="BK61" i="2"/>
  <c r="BJ61" i="2"/>
  <c r="BI61" i="2"/>
  <c r="BH61" i="2"/>
  <c r="BK60" i="2"/>
  <c r="BJ60" i="2"/>
  <c r="BI60" i="2"/>
  <c r="BH60" i="2"/>
  <c r="BK59" i="2"/>
  <c r="BJ59" i="2"/>
  <c r="BI59" i="2"/>
  <c r="BH59" i="2"/>
  <c r="BK58" i="2"/>
  <c r="BJ58" i="2"/>
  <c r="BI58" i="2"/>
  <c r="BH58" i="2"/>
  <c r="BK57" i="2"/>
  <c r="BJ57" i="2"/>
  <c r="BI57" i="2"/>
  <c r="BH57" i="2"/>
  <c r="BK56" i="2"/>
  <c r="BJ56" i="2"/>
  <c r="BI56" i="2"/>
  <c r="BH56" i="2"/>
  <c r="BK55" i="2"/>
  <c r="BJ55" i="2"/>
  <c r="BI55" i="2"/>
  <c r="BH55" i="2"/>
  <c r="BK54" i="2"/>
  <c r="BJ54" i="2"/>
  <c r="BI54" i="2"/>
  <c r="BH54" i="2"/>
  <c r="BK53" i="2"/>
  <c r="BJ53" i="2"/>
  <c r="BI53" i="2"/>
  <c r="BH53" i="2"/>
  <c r="BK52" i="2"/>
  <c r="BJ52" i="2"/>
  <c r="BI52" i="2"/>
  <c r="BH52" i="2"/>
  <c r="BK51" i="2"/>
  <c r="BJ51" i="2"/>
  <c r="BI51" i="2"/>
  <c r="BH51" i="2"/>
  <c r="BK50" i="2"/>
  <c r="BJ50" i="2"/>
  <c r="BI50" i="2"/>
  <c r="BH50" i="2"/>
  <c r="BK49" i="2"/>
  <c r="BJ49" i="2"/>
  <c r="BI49" i="2"/>
  <c r="BH49" i="2"/>
  <c r="BK48" i="2"/>
  <c r="BJ48" i="2"/>
  <c r="BI48" i="2"/>
  <c r="BH48" i="2"/>
  <c r="BK47" i="2"/>
  <c r="BJ47" i="2"/>
  <c r="BI47" i="2"/>
  <c r="BH47" i="2"/>
  <c r="BK46" i="2"/>
  <c r="BJ46" i="2"/>
  <c r="BI46" i="2"/>
  <c r="BH46" i="2"/>
  <c r="BK45" i="2"/>
  <c r="BJ45" i="2"/>
  <c r="BI45" i="2"/>
  <c r="BH45" i="2"/>
  <c r="BK44" i="2"/>
  <c r="BJ44" i="2"/>
  <c r="BI44" i="2"/>
  <c r="BH44" i="2"/>
  <c r="BK43" i="2"/>
  <c r="BJ43" i="2"/>
  <c r="BI43" i="2"/>
  <c r="BH43" i="2"/>
  <c r="BK42" i="2"/>
  <c r="BJ42" i="2"/>
  <c r="BI42" i="2"/>
  <c r="BH42" i="2"/>
  <c r="BK41" i="2"/>
  <c r="BJ41" i="2"/>
  <c r="BI41" i="2"/>
  <c r="BH41" i="2"/>
  <c r="BK40" i="2"/>
  <c r="BJ40" i="2"/>
  <c r="BI40" i="2"/>
  <c r="BH40" i="2"/>
  <c r="BK39" i="2"/>
  <c r="BJ39" i="2"/>
  <c r="BI39" i="2"/>
  <c r="BH39" i="2"/>
  <c r="BK38" i="2"/>
  <c r="BJ38" i="2"/>
  <c r="BI38" i="2"/>
  <c r="BH38" i="2"/>
  <c r="BK37" i="2"/>
  <c r="BJ37" i="2"/>
  <c r="BI37" i="2"/>
  <c r="BH37" i="2"/>
  <c r="BK36" i="2"/>
  <c r="BJ36" i="2"/>
  <c r="BI36" i="2"/>
  <c r="BH36" i="2"/>
  <c r="BK35" i="2"/>
  <c r="BJ35" i="2"/>
  <c r="BI35" i="2"/>
  <c r="BH35" i="2"/>
  <c r="BK34" i="2"/>
  <c r="BJ34" i="2"/>
  <c r="BI34" i="2"/>
  <c r="BH34" i="2"/>
  <c r="BK33" i="2"/>
  <c r="BJ33" i="2"/>
  <c r="BI33" i="2"/>
  <c r="BH33" i="2"/>
  <c r="BK32" i="2"/>
  <c r="BJ32" i="2"/>
  <c r="BI32" i="2"/>
  <c r="BH32" i="2"/>
  <c r="BK31" i="2"/>
  <c r="BJ31" i="2"/>
  <c r="BI31" i="2"/>
  <c r="BH31" i="2"/>
  <c r="BK30" i="2"/>
  <c r="BJ30" i="2"/>
  <c r="BI30" i="2"/>
  <c r="BH30" i="2"/>
  <c r="BK29" i="2"/>
  <c r="BJ29" i="2"/>
  <c r="BI29" i="2"/>
  <c r="BH29" i="2"/>
  <c r="BK28" i="2"/>
  <c r="BJ28" i="2"/>
  <c r="BI28" i="2"/>
  <c r="BH28" i="2"/>
  <c r="BK27" i="2"/>
  <c r="BJ27" i="2"/>
  <c r="BI27" i="2"/>
  <c r="BH27" i="2"/>
  <c r="BK26" i="2"/>
  <c r="BJ26" i="2"/>
  <c r="BI26" i="2"/>
  <c r="BH26" i="2"/>
  <c r="BK25" i="2"/>
  <c r="BJ25" i="2"/>
  <c r="BI25" i="2"/>
  <c r="BH25" i="2"/>
  <c r="BK24" i="2"/>
  <c r="BJ24" i="2"/>
  <c r="BI24" i="2"/>
  <c r="BH24" i="2"/>
  <c r="BK23" i="2"/>
  <c r="BJ23" i="2"/>
  <c r="BI23" i="2"/>
  <c r="BH23" i="2"/>
  <c r="BK22" i="2"/>
  <c r="BJ22" i="2"/>
  <c r="BI22" i="2"/>
  <c r="BH22" i="2"/>
  <c r="BK21" i="2"/>
  <c r="BJ21" i="2"/>
  <c r="BI21" i="2"/>
  <c r="BH21" i="2"/>
  <c r="BK20" i="2"/>
  <c r="BJ20" i="2"/>
  <c r="BI20" i="2"/>
  <c r="BH20" i="2"/>
  <c r="BK19" i="2"/>
  <c r="BJ19" i="2"/>
  <c r="BI19" i="2"/>
  <c r="BH19" i="2"/>
  <c r="BK18" i="2"/>
  <c r="BJ18" i="2"/>
  <c r="BI18" i="2"/>
  <c r="BH18" i="2"/>
  <c r="BK17" i="2"/>
  <c r="BJ17" i="2"/>
  <c r="BI17" i="2"/>
  <c r="BH17" i="2"/>
  <c r="BK16" i="2"/>
  <c r="BJ16" i="2"/>
  <c r="BI16" i="2"/>
  <c r="BH16" i="2"/>
  <c r="BK15" i="2"/>
  <c r="BJ15" i="2"/>
  <c r="BI15" i="2"/>
  <c r="BH15" i="2"/>
  <c r="BK14" i="2"/>
  <c r="BJ14" i="2"/>
  <c r="BI14" i="2"/>
  <c r="BH14" i="2"/>
  <c r="BK13" i="2"/>
  <c r="BJ13" i="2"/>
  <c r="BI13" i="2"/>
  <c r="BH13" i="2"/>
  <c r="BK12" i="2"/>
  <c r="BJ12" i="2"/>
  <c r="BI12" i="2"/>
  <c r="BH12" i="2"/>
  <c r="BK11" i="2"/>
  <c r="BJ11" i="2"/>
  <c r="BI11" i="2"/>
  <c r="BH11" i="2"/>
  <c r="BK10" i="2"/>
  <c r="BJ10" i="2"/>
  <c r="BI10" i="2"/>
  <c r="BH10" i="2"/>
  <c r="BK9" i="2"/>
  <c r="BJ9" i="2"/>
  <c r="BI9" i="2"/>
  <c r="BH9" i="2"/>
  <c r="BK8" i="2"/>
  <c r="BJ8" i="2"/>
  <c r="BI8" i="2"/>
  <c r="BH8" i="2"/>
  <c r="BK7" i="2"/>
  <c r="BJ7" i="2"/>
  <c r="BI7" i="2"/>
  <c r="BH7" i="2"/>
  <c r="BK6" i="2"/>
  <c r="BJ6" i="2"/>
  <c r="BI6" i="2"/>
  <c r="BH6" i="2"/>
  <c r="BK5" i="2"/>
  <c r="BJ5" i="2"/>
  <c r="BI5" i="2"/>
  <c r="BH5" i="2"/>
  <c r="BK4" i="2"/>
  <c r="BJ4" i="2"/>
  <c r="BI4" i="2"/>
  <c r="BH4" i="2"/>
  <c r="BK3" i="2"/>
  <c r="BJ3" i="2"/>
  <c r="BI3" i="2"/>
  <c r="BH3" i="2"/>
  <c r="BK2" i="2"/>
  <c r="BJ2" i="2"/>
  <c r="BI2" i="2"/>
  <c r="BH2" i="2"/>
  <c r="U217" i="2"/>
  <c r="T217" i="2"/>
  <c r="S217" i="2"/>
  <c r="U216" i="2"/>
  <c r="T216" i="2"/>
  <c r="S216" i="2"/>
  <c r="U215" i="2"/>
  <c r="T215" i="2"/>
  <c r="S215" i="2"/>
  <c r="U214" i="2"/>
  <c r="T214" i="2"/>
  <c r="S214" i="2"/>
  <c r="U213" i="2"/>
  <c r="T213" i="2"/>
  <c r="S213" i="2"/>
  <c r="U212" i="2"/>
  <c r="T212" i="2"/>
  <c r="S212" i="2"/>
  <c r="U211" i="2"/>
  <c r="T211" i="2"/>
  <c r="S211" i="2"/>
  <c r="U210" i="2"/>
  <c r="T210" i="2"/>
  <c r="S210" i="2"/>
  <c r="U209" i="2"/>
  <c r="T209" i="2"/>
  <c r="S209" i="2"/>
  <c r="U208" i="2"/>
  <c r="T208" i="2"/>
  <c r="S208" i="2"/>
  <c r="U207" i="2"/>
  <c r="T207" i="2"/>
  <c r="S207" i="2"/>
  <c r="U206" i="2"/>
  <c r="T206" i="2"/>
  <c r="S206" i="2"/>
  <c r="U205" i="2"/>
  <c r="T205" i="2"/>
  <c r="S205" i="2"/>
  <c r="U204" i="2"/>
  <c r="T204" i="2"/>
  <c r="S204" i="2"/>
  <c r="U203" i="2"/>
  <c r="T203" i="2"/>
  <c r="S203" i="2"/>
  <c r="U202" i="2"/>
  <c r="T202" i="2"/>
  <c r="S202" i="2"/>
  <c r="U201" i="2"/>
  <c r="T201" i="2"/>
  <c r="S201" i="2"/>
  <c r="U200" i="2"/>
  <c r="T200" i="2"/>
  <c r="S200" i="2"/>
  <c r="U199" i="2"/>
  <c r="T199" i="2"/>
  <c r="S199" i="2"/>
  <c r="U198" i="2"/>
  <c r="T198" i="2"/>
  <c r="S198" i="2"/>
  <c r="U197" i="2"/>
  <c r="T197" i="2"/>
  <c r="S197" i="2"/>
  <c r="U196" i="2"/>
  <c r="T196" i="2"/>
  <c r="S196" i="2"/>
  <c r="U195" i="2"/>
  <c r="T195" i="2"/>
  <c r="S195" i="2"/>
  <c r="U194" i="2"/>
  <c r="T194" i="2"/>
  <c r="S194" i="2"/>
  <c r="U193" i="2"/>
  <c r="T193" i="2"/>
  <c r="S193" i="2"/>
  <c r="U192" i="2"/>
  <c r="T192" i="2"/>
  <c r="S192" i="2"/>
  <c r="U191" i="2"/>
  <c r="T191" i="2"/>
  <c r="S191" i="2"/>
  <c r="U190" i="2"/>
  <c r="T190" i="2"/>
  <c r="S190" i="2"/>
  <c r="U189" i="2"/>
  <c r="T189" i="2"/>
  <c r="S189" i="2"/>
  <c r="U188" i="2"/>
  <c r="T188" i="2"/>
  <c r="S188" i="2"/>
  <c r="U187" i="2"/>
  <c r="T187" i="2"/>
  <c r="S187" i="2"/>
  <c r="U186" i="2"/>
  <c r="T186" i="2"/>
  <c r="S186" i="2"/>
  <c r="U185" i="2"/>
  <c r="T185" i="2"/>
  <c r="S185" i="2"/>
  <c r="U184" i="2"/>
  <c r="T184" i="2"/>
  <c r="S184" i="2"/>
  <c r="U183" i="2"/>
  <c r="T183" i="2"/>
  <c r="S183" i="2"/>
  <c r="U182" i="2"/>
  <c r="T182" i="2"/>
  <c r="S182" i="2"/>
  <c r="U181" i="2"/>
  <c r="T181" i="2"/>
  <c r="S181" i="2"/>
  <c r="U180" i="2"/>
  <c r="T180" i="2"/>
  <c r="S180" i="2"/>
  <c r="U179" i="2"/>
  <c r="T179" i="2"/>
  <c r="S179" i="2"/>
  <c r="U178" i="2"/>
  <c r="T178" i="2"/>
  <c r="S178" i="2"/>
  <c r="U177" i="2"/>
  <c r="T177" i="2"/>
  <c r="S177" i="2"/>
  <c r="U176" i="2"/>
  <c r="T176" i="2"/>
  <c r="S176" i="2"/>
  <c r="U175" i="2"/>
  <c r="T175" i="2"/>
  <c r="S175" i="2"/>
  <c r="U174" i="2"/>
  <c r="T174" i="2"/>
  <c r="S174" i="2"/>
  <c r="U173" i="2"/>
  <c r="T173" i="2"/>
  <c r="S173" i="2"/>
  <c r="U172" i="2"/>
  <c r="T172" i="2"/>
  <c r="S172" i="2"/>
  <c r="U171" i="2"/>
  <c r="T171" i="2"/>
  <c r="S171" i="2"/>
  <c r="U170" i="2"/>
  <c r="T170" i="2"/>
  <c r="S170" i="2"/>
  <c r="U169" i="2"/>
  <c r="T169" i="2"/>
  <c r="S169" i="2"/>
  <c r="U168" i="2"/>
  <c r="T168" i="2"/>
  <c r="S168" i="2"/>
  <c r="U167" i="2"/>
  <c r="T167" i="2"/>
  <c r="S167" i="2"/>
  <c r="U166" i="2"/>
  <c r="T166" i="2"/>
  <c r="S166" i="2"/>
  <c r="U165" i="2"/>
  <c r="T165" i="2"/>
  <c r="S165" i="2"/>
  <c r="U164" i="2"/>
  <c r="T164" i="2"/>
  <c r="S164" i="2"/>
  <c r="U163" i="2"/>
  <c r="T163" i="2"/>
  <c r="S163" i="2"/>
  <c r="U162" i="2"/>
  <c r="T162" i="2"/>
  <c r="S162" i="2"/>
  <c r="U161" i="2"/>
  <c r="T161" i="2"/>
  <c r="S161" i="2"/>
  <c r="U160" i="2"/>
  <c r="T160" i="2"/>
  <c r="S160" i="2"/>
  <c r="U159" i="2"/>
  <c r="T159" i="2"/>
  <c r="S159" i="2"/>
  <c r="U158" i="2"/>
  <c r="T158" i="2"/>
  <c r="S158" i="2"/>
  <c r="U157" i="2"/>
  <c r="T157" i="2"/>
  <c r="S157" i="2"/>
  <c r="U156" i="2"/>
  <c r="T156" i="2"/>
  <c r="S156" i="2"/>
  <c r="U155" i="2"/>
  <c r="T155" i="2"/>
  <c r="S155" i="2"/>
  <c r="U154" i="2"/>
  <c r="T154" i="2"/>
  <c r="S154" i="2"/>
  <c r="U153" i="2"/>
  <c r="T153" i="2"/>
  <c r="S153" i="2"/>
  <c r="U152" i="2"/>
  <c r="T152" i="2"/>
  <c r="S152" i="2"/>
  <c r="U151" i="2"/>
  <c r="T151" i="2"/>
  <c r="S151" i="2"/>
  <c r="U150" i="2"/>
  <c r="T150" i="2"/>
  <c r="S150" i="2"/>
  <c r="U149" i="2"/>
  <c r="T149" i="2"/>
  <c r="S149" i="2"/>
  <c r="U148" i="2"/>
  <c r="T148" i="2"/>
  <c r="S148" i="2"/>
  <c r="U147" i="2"/>
  <c r="T147" i="2"/>
  <c r="S147" i="2"/>
  <c r="U146" i="2"/>
  <c r="T146" i="2"/>
  <c r="S146" i="2"/>
  <c r="U145" i="2"/>
  <c r="T145" i="2"/>
  <c r="S145" i="2"/>
  <c r="U144" i="2"/>
  <c r="T144" i="2"/>
  <c r="S144" i="2"/>
  <c r="U142" i="2"/>
  <c r="T142" i="2"/>
  <c r="S142" i="2"/>
  <c r="U141" i="2"/>
  <c r="T141" i="2"/>
  <c r="S141" i="2"/>
  <c r="U140" i="2"/>
  <c r="T140" i="2"/>
  <c r="S140" i="2"/>
  <c r="U139" i="2"/>
  <c r="T139" i="2"/>
  <c r="S139" i="2"/>
  <c r="U138" i="2"/>
  <c r="T138" i="2"/>
  <c r="S138" i="2"/>
  <c r="U137" i="2"/>
  <c r="T137" i="2"/>
  <c r="S137" i="2"/>
  <c r="U136" i="2"/>
  <c r="T136" i="2"/>
  <c r="S136" i="2"/>
  <c r="U135" i="2"/>
  <c r="T135" i="2"/>
  <c r="S135" i="2"/>
  <c r="U134" i="2"/>
  <c r="T134" i="2"/>
  <c r="S134" i="2"/>
  <c r="U133" i="2"/>
  <c r="T133" i="2"/>
  <c r="S133" i="2"/>
  <c r="U132" i="2"/>
  <c r="T132" i="2"/>
  <c r="S132" i="2"/>
  <c r="U131" i="2"/>
  <c r="T131" i="2"/>
  <c r="S131" i="2"/>
  <c r="U130" i="2"/>
  <c r="T130" i="2"/>
  <c r="S130" i="2"/>
  <c r="U129" i="2"/>
  <c r="T129" i="2"/>
  <c r="S129" i="2"/>
  <c r="U128" i="2"/>
  <c r="T128" i="2"/>
  <c r="S128" i="2"/>
  <c r="U127" i="2"/>
  <c r="T127" i="2"/>
  <c r="S127" i="2"/>
  <c r="U126" i="2"/>
  <c r="T126" i="2"/>
  <c r="S126" i="2"/>
  <c r="U125" i="2"/>
  <c r="T125" i="2"/>
  <c r="S125" i="2"/>
  <c r="U124" i="2"/>
  <c r="T124" i="2"/>
  <c r="S124" i="2"/>
  <c r="U123" i="2"/>
  <c r="T123" i="2"/>
  <c r="S123" i="2"/>
  <c r="U122" i="2"/>
  <c r="T122" i="2"/>
  <c r="S122" i="2"/>
  <c r="U121" i="2"/>
  <c r="T121" i="2"/>
  <c r="S121" i="2"/>
  <c r="U120" i="2"/>
  <c r="T120" i="2"/>
  <c r="S120" i="2"/>
  <c r="U119" i="2"/>
  <c r="T119" i="2"/>
  <c r="S119" i="2"/>
  <c r="U118" i="2"/>
  <c r="T118" i="2"/>
  <c r="S118" i="2"/>
  <c r="U117" i="2"/>
  <c r="T117" i="2"/>
  <c r="S117" i="2"/>
  <c r="U116" i="2"/>
  <c r="T116" i="2"/>
  <c r="S116" i="2"/>
  <c r="U143" i="2"/>
  <c r="T143" i="2"/>
  <c r="S143" i="2"/>
  <c r="U115" i="2"/>
  <c r="T115" i="2"/>
  <c r="S115" i="2"/>
  <c r="U114" i="2"/>
  <c r="T114" i="2"/>
  <c r="S114" i="2"/>
  <c r="U113" i="2"/>
  <c r="T113" i="2"/>
  <c r="S113" i="2"/>
  <c r="U112" i="2"/>
  <c r="T112" i="2"/>
  <c r="S112" i="2"/>
  <c r="U111" i="2"/>
  <c r="T111" i="2"/>
  <c r="S111" i="2"/>
  <c r="U110" i="2"/>
  <c r="T110" i="2"/>
  <c r="S110" i="2"/>
  <c r="U109" i="2"/>
  <c r="T109" i="2"/>
  <c r="S109" i="2"/>
  <c r="U108" i="2"/>
  <c r="T108" i="2"/>
  <c r="S108" i="2"/>
  <c r="U107" i="2"/>
  <c r="T107" i="2"/>
  <c r="S107" i="2"/>
  <c r="U106" i="2"/>
  <c r="T106" i="2"/>
  <c r="S106" i="2"/>
  <c r="U105" i="2"/>
  <c r="T105" i="2"/>
  <c r="S105" i="2"/>
  <c r="U104" i="2"/>
  <c r="T104" i="2"/>
  <c r="S104" i="2"/>
  <c r="U103" i="2"/>
  <c r="T103" i="2"/>
  <c r="S103" i="2"/>
  <c r="U102" i="2"/>
  <c r="T102" i="2"/>
  <c r="S102" i="2"/>
  <c r="U101" i="2"/>
  <c r="T101" i="2"/>
  <c r="S101" i="2"/>
  <c r="U100" i="2"/>
  <c r="T100" i="2"/>
  <c r="S100" i="2"/>
  <c r="U99" i="2"/>
  <c r="T99" i="2"/>
  <c r="S99" i="2"/>
  <c r="U98" i="2"/>
  <c r="T98" i="2"/>
  <c r="S98" i="2"/>
  <c r="U97" i="2"/>
  <c r="T97" i="2"/>
  <c r="S97" i="2"/>
  <c r="U96" i="2"/>
  <c r="T96" i="2"/>
  <c r="S96" i="2"/>
  <c r="U95" i="2"/>
  <c r="T95" i="2"/>
  <c r="S95" i="2"/>
  <c r="U94" i="2"/>
  <c r="T94" i="2"/>
  <c r="S94" i="2"/>
  <c r="U93" i="2"/>
  <c r="T93" i="2"/>
  <c r="S93" i="2"/>
  <c r="U92" i="2"/>
  <c r="T92" i="2"/>
  <c r="S92" i="2"/>
  <c r="U91" i="2"/>
  <c r="T91" i="2"/>
  <c r="S91" i="2"/>
  <c r="U90" i="2"/>
  <c r="T90" i="2"/>
  <c r="S90" i="2"/>
  <c r="U89" i="2"/>
  <c r="T89" i="2"/>
  <c r="S89" i="2"/>
  <c r="U88" i="2"/>
  <c r="T88" i="2"/>
  <c r="S88" i="2"/>
  <c r="U87" i="2"/>
  <c r="T87" i="2"/>
  <c r="S87" i="2"/>
  <c r="U86" i="2"/>
  <c r="T86" i="2"/>
  <c r="S86" i="2"/>
  <c r="U85" i="2"/>
  <c r="T85" i="2"/>
  <c r="S85" i="2"/>
  <c r="U84" i="2"/>
  <c r="T84" i="2"/>
  <c r="S84" i="2"/>
  <c r="U83" i="2"/>
  <c r="T83" i="2"/>
  <c r="S83" i="2"/>
  <c r="U82" i="2"/>
  <c r="T82" i="2"/>
  <c r="S82" i="2"/>
  <c r="U81" i="2"/>
  <c r="T81" i="2"/>
  <c r="S81" i="2"/>
  <c r="U80" i="2"/>
  <c r="T80" i="2"/>
  <c r="S80" i="2"/>
  <c r="U79" i="2"/>
  <c r="T79" i="2"/>
  <c r="S79" i="2"/>
  <c r="U78" i="2"/>
  <c r="T78" i="2"/>
  <c r="S78" i="2"/>
  <c r="U77" i="2"/>
  <c r="T77" i="2"/>
  <c r="S77" i="2"/>
  <c r="U76" i="2"/>
  <c r="T76" i="2"/>
  <c r="S76" i="2"/>
  <c r="U75" i="2"/>
  <c r="T75" i="2"/>
  <c r="S75" i="2"/>
  <c r="U74" i="2"/>
  <c r="T74" i="2"/>
  <c r="S74" i="2"/>
  <c r="U73" i="2"/>
  <c r="T73" i="2"/>
  <c r="S73" i="2"/>
  <c r="U72" i="2"/>
  <c r="T72" i="2"/>
  <c r="S72" i="2"/>
  <c r="U71" i="2"/>
  <c r="T71" i="2"/>
  <c r="S71" i="2"/>
  <c r="U70" i="2"/>
  <c r="T70" i="2"/>
  <c r="S70" i="2"/>
  <c r="U69" i="2"/>
  <c r="T69" i="2"/>
  <c r="S69" i="2"/>
  <c r="U68" i="2"/>
  <c r="T68" i="2"/>
  <c r="S68" i="2"/>
  <c r="U67" i="2"/>
  <c r="T67" i="2"/>
  <c r="S67" i="2"/>
  <c r="U66" i="2"/>
  <c r="T66" i="2"/>
  <c r="S66" i="2"/>
  <c r="U65" i="2"/>
  <c r="T65" i="2"/>
  <c r="S65" i="2"/>
  <c r="U64" i="2"/>
  <c r="T64" i="2"/>
  <c r="S64" i="2"/>
  <c r="U63" i="2"/>
  <c r="T63" i="2"/>
  <c r="S63" i="2"/>
  <c r="U62" i="2"/>
  <c r="T62" i="2"/>
  <c r="S62" i="2"/>
  <c r="U61" i="2"/>
  <c r="T61" i="2"/>
  <c r="S61" i="2"/>
  <c r="U60" i="2"/>
  <c r="T60" i="2"/>
  <c r="S60" i="2"/>
  <c r="U59" i="2"/>
  <c r="T59" i="2"/>
  <c r="S59" i="2"/>
  <c r="U58" i="2"/>
  <c r="T58" i="2"/>
  <c r="S58" i="2"/>
  <c r="U57" i="2"/>
  <c r="T57" i="2"/>
  <c r="S57" i="2"/>
  <c r="U56" i="2"/>
  <c r="T56" i="2"/>
  <c r="S56" i="2"/>
  <c r="U55" i="2"/>
  <c r="T55" i="2"/>
  <c r="S55" i="2"/>
  <c r="U54" i="2"/>
  <c r="T54" i="2"/>
  <c r="S54" i="2"/>
  <c r="U53" i="2"/>
  <c r="T53" i="2"/>
  <c r="S53" i="2"/>
  <c r="U52" i="2"/>
  <c r="T52" i="2"/>
  <c r="S52" i="2"/>
  <c r="U51" i="2"/>
  <c r="T51" i="2"/>
  <c r="S51" i="2"/>
  <c r="U50" i="2"/>
  <c r="T50" i="2"/>
  <c r="S50" i="2"/>
  <c r="U49" i="2"/>
  <c r="T49" i="2"/>
  <c r="S49" i="2"/>
  <c r="U48" i="2"/>
  <c r="T48" i="2"/>
  <c r="S48" i="2"/>
  <c r="U47" i="2"/>
  <c r="T47" i="2"/>
  <c r="S47" i="2"/>
  <c r="U46" i="2"/>
  <c r="T46" i="2"/>
  <c r="S46" i="2"/>
  <c r="U45" i="2"/>
  <c r="T45" i="2"/>
  <c r="S45" i="2"/>
  <c r="U44" i="2"/>
  <c r="T44" i="2"/>
  <c r="S44" i="2"/>
  <c r="U43" i="2"/>
  <c r="T43" i="2"/>
  <c r="S43" i="2"/>
  <c r="U42" i="2"/>
  <c r="T42" i="2"/>
  <c r="S42" i="2"/>
  <c r="U41" i="2"/>
  <c r="T41" i="2"/>
  <c r="S41" i="2"/>
  <c r="U40" i="2"/>
  <c r="T40" i="2"/>
  <c r="S40" i="2"/>
  <c r="U39" i="2"/>
  <c r="T39" i="2"/>
  <c r="S39" i="2"/>
  <c r="U38" i="2"/>
  <c r="T38" i="2"/>
  <c r="S38" i="2"/>
  <c r="U37" i="2"/>
  <c r="T37" i="2"/>
  <c r="S37" i="2"/>
  <c r="U36" i="2"/>
  <c r="T36" i="2"/>
  <c r="S36" i="2"/>
  <c r="U35" i="2"/>
  <c r="T35" i="2"/>
  <c r="S35" i="2"/>
  <c r="U34" i="2"/>
  <c r="T34" i="2"/>
  <c r="S34" i="2"/>
  <c r="U33" i="2"/>
  <c r="T33" i="2"/>
  <c r="S33" i="2"/>
  <c r="U32" i="2"/>
  <c r="T32" i="2"/>
  <c r="S32" i="2"/>
  <c r="U31" i="2"/>
  <c r="T31" i="2"/>
  <c r="S31" i="2"/>
  <c r="U30" i="2"/>
  <c r="T30" i="2"/>
  <c r="S30" i="2"/>
  <c r="U29" i="2"/>
  <c r="T29" i="2"/>
  <c r="S29" i="2"/>
  <c r="U28" i="2"/>
  <c r="T28" i="2"/>
  <c r="S28" i="2"/>
  <c r="U27" i="2"/>
  <c r="T27" i="2"/>
  <c r="S27" i="2"/>
  <c r="U26" i="2"/>
  <c r="T26" i="2"/>
  <c r="S26" i="2"/>
  <c r="U25" i="2"/>
  <c r="T25" i="2"/>
  <c r="S25" i="2"/>
  <c r="U24" i="2"/>
  <c r="T24" i="2"/>
  <c r="S24" i="2"/>
  <c r="U23" i="2"/>
  <c r="T23" i="2"/>
  <c r="S23" i="2"/>
  <c r="U22" i="2"/>
  <c r="T22" i="2"/>
  <c r="S22" i="2"/>
  <c r="U21" i="2"/>
  <c r="T21" i="2"/>
  <c r="S21" i="2"/>
  <c r="U20" i="2"/>
  <c r="T20" i="2"/>
  <c r="S20" i="2"/>
  <c r="U19" i="2"/>
  <c r="T19" i="2"/>
  <c r="S19" i="2"/>
  <c r="U18" i="2"/>
  <c r="T18" i="2"/>
  <c r="S18" i="2"/>
  <c r="U17" i="2"/>
  <c r="T17" i="2"/>
  <c r="S17" i="2"/>
  <c r="U16" i="2"/>
  <c r="T16" i="2"/>
  <c r="S16" i="2"/>
  <c r="U15" i="2"/>
  <c r="T15" i="2"/>
  <c r="S15" i="2"/>
  <c r="U14" i="2"/>
  <c r="T14" i="2"/>
  <c r="S14" i="2"/>
  <c r="U13" i="2"/>
  <c r="T13" i="2"/>
  <c r="S13" i="2"/>
  <c r="U12" i="2"/>
  <c r="T12" i="2"/>
  <c r="S12" i="2"/>
  <c r="U11" i="2"/>
  <c r="T11" i="2"/>
  <c r="S11" i="2"/>
  <c r="U10" i="2"/>
  <c r="T10" i="2"/>
  <c r="S10" i="2"/>
  <c r="U9" i="2"/>
  <c r="T9" i="2"/>
  <c r="S9" i="2"/>
  <c r="U8" i="2"/>
  <c r="T8" i="2"/>
  <c r="S8" i="2"/>
  <c r="U7" i="2"/>
  <c r="T7" i="2"/>
  <c r="S7" i="2"/>
  <c r="U6" i="2"/>
  <c r="T6" i="2"/>
  <c r="S6" i="2"/>
  <c r="U5" i="2"/>
  <c r="T5" i="2"/>
  <c r="S5" i="2"/>
  <c r="U4" i="2"/>
  <c r="T4" i="2"/>
  <c r="S4" i="2"/>
  <c r="U3" i="2"/>
  <c r="T3" i="2"/>
  <c r="S3" i="2"/>
  <c r="U2" i="2"/>
  <c r="T2" i="2"/>
  <c r="S2" i="2"/>
  <c r="AH217" i="2"/>
  <c r="AH216" i="2"/>
  <c r="AH215" i="2"/>
  <c r="AH214" i="2"/>
  <c r="AH213" i="2"/>
  <c r="AH212" i="2"/>
  <c r="AH211" i="2"/>
  <c r="AH210" i="2"/>
  <c r="AH209" i="2"/>
  <c r="AH208" i="2"/>
  <c r="AH207" i="2"/>
  <c r="AH206" i="2"/>
  <c r="AH205" i="2"/>
  <c r="AH204" i="2"/>
  <c r="AH203" i="2"/>
  <c r="AH202" i="2"/>
  <c r="AH201" i="2"/>
  <c r="AH200" i="2"/>
  <c r="AH199" i="2"/>
  <c r="AH198" i="2"/>
  <c r="AH197" i="2"/>
  <c r="AH196" i="2"/>
  <c r="AH195" i="2"/>
  <c r="AH194" i="2"/>
  <c r="AH193" i="2"/>
  <c r="AH192" i="2"/>
  <c r="AH191" i="2"/>
  <c r="AH190" i="2"/>
  <c r="AH189" i="2"/>
  <c r="AH188" i="2"/>
  <c r="AH187" i="2"/>
  <c r="AH186" i="2"/>
  <c r="AH185" i="2"/>
  <c r="AH184" i="2"/>
  <c r="AH183" i="2"/>
  <c r="AH182" i="2"/>
  <c r="AH181" i="2"/>
  <c r="AH180" i="2"/>
  <c r="AH179" i="2"/>
  <c r="AH178" i="2"/>
  <c r="AH177" i="2"/>
  <c r="AH176" i="2"/>
  <c r="AH175" i="2"/>
  <c r="AH174" i="2"/>
  <c r="AH173" i="2"/>
  <c r="AH172" i="2"/>
  <c r="AH171" i="2"/>
  <c r="AH170" i="2"/>
  <c r="AH169" i="2"/>
  <c r="AH168" i="2"/>
  <c r="AH167" i="2"/>
  <c r="AH166" i="2"/>
  <c r="AH165" i="2"/>
  <c r="AH164" i="2"/>
  <c r="AH163" i="2"/>
  <c r="AH162" i="2"/>
  <c r="AH161" i="2"/>
  <c r="AH160" i="2"/>
  <c r="AH159" i="2"/>
  <c r="AH158" i="2"/>
  <c r="AH157" i="2"/>
  <c r="AH156" i="2"/>
  <c r="AH155" i="2"/>
  <c r="AH154" i="2"/>
  <c r="AH153" i="2"/>
  <c r="AH152" i="2"/>
  <c r="AH151" i="2"/>
  <c r="AH150" i="2"/>
  <c r="AH149" i="2"/>
  <c r="AH148" i="2"/>
  <c r="AH147" i="2"/>
  <c r="AH146" i="2"/>
  <c r="AH145" i="2"/>
  <c r="AH144" i="2"/>
  <c r="AH142" i="2"/>
  <c r="AH141" i="2"/>
  <c r="AH140" i="2"/>
  <c r="AH139" i="2"/>
  <c r="AH138" i="2"/>
  <c r="AH137" i="2"/>
  <c r="AH136" i="2"/>
  <c r="AH135" i="2"/>
  <c r="AH134" i="2"/>
  <c r="AH133" i="2"/>
  <c r="AH132" i="2"/>
  <c r="AH131" i="2"/>
  <c r="AH130" i="2"/>
  <c r="AH129" i="2"/>
  <c r="AH128" i="2"/>
  <c r="AH127" i="2"/>
  <c r="AH126" i="2"/>
  <c r="AH125" i="2"/>
  <c r="AH124" i="2"/>
  <c r="AH123" i="2"/>
  <c r="AH122" i="2"/>
  <c r="AH121" i="2"/>
  <c r="AH120" i="2"/>
  <c r="AH119" i="2"/>
  <c r="AH118" i="2"/>
  <c r="AH117" i="2"/>
  <c r="AH116" i="2"/>
  <c r="AH143" i="2"/>
  <c r="AH115" i="2"/>
  <c r="AH114" i="2"/>
  <c r="AH113" i="2"/>
  <c r="AH112" i="2"/>
  <c r="AH111" i="2"/>
  <c r="AH110" i="2"/>
  <c r="AH109" i="2"/>
  <c r="AH108" i="2"/>
  <c r="AH107" i="2"/>
  <c r="AH106" i="2"/>
  <c r="AH105" i="2"/>
  <c r="AH104" i="2"/>
  <c r="AH103" i="2"/>
  <c r="AH102" i="2"/>
  <c r="AH101" i="2"/>
  <c r="AH100" i="2"/>
  <c r="AH99" i="2"/>
  <c r="AH98" i="2"/>
  <c r="AH97" i="2"/>
  <c r="AH96" i="2"/>
  <c r="AH95" i="2"/>
  <c r="AH94" i="2"/>
  <c r="AH93" i="2"/>
  <c r="AH92" i="2"/>
  <c r="AH91" i="2"/>
  <c r="AH90" i="2"/>
  <c r="AH89" i="2"/>
  <c r="AH88" i="2"/>
  <c r="AH87" i="2"/>
  <c r="AH86" i="2"/>
  <c r="AH85" i="2"/>
  <c r="AH84" i="2"/>
  <c r="AH83" i="2"/>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H3" i="2"/>
  <c r="AH2" i="2"/>
  <c r="AJ213" i="2"/>
  <c r="AJ210" i="2"/>
  <c r="AJ201" i="2"/>
  <c r="AJ200" i="2"/>
  <c r="AJ183" i="2"/>
  <c r="AJ174" i="2"/>
  <c r="AJ166" i="2"/>
  <c r="AJ157" i="2"/>
  <c r="AJ144" i="2"/>
  <c r="AJ137" i="2"/>
  <c r="AJ134" i="2"/>
  <c r="AJ122" i="2"/>
  <c r="AJ112" i="2"/>
  <c r="AJ103" i="2"/>
  <c r="AJ78" i="2"/>
  <c r="AJ69" i="2"/>
  <c r="AJ37" i="2"/>
  <c r="AJ28" i="2"/>
  <c r="AU213" i="2" l="1"/>
  <c r="AW213" i="2" s="1"/>
  <c r="AT213" i="2"/>
  <c r="AV213" i="2" s="1"/>
  <c r="AU210" i="2"/>
  <c r="AW210" i="2" s="1"/>
  <c r="AT210" i="2"/>
  <c r="AV210" i="2" s="1"/>
  <c r="AU201" i="2"/>
  <c r="AW201" i="2" s="1"/>
  <c r="AT201" i="2"/>
  <c r="AV201" i="2" s="1"/>
  <c r="AU200" i="2"/>
  <c r="AW200" i="2" s="1"/>
  <c r="AT200" i="2"/>
  <c r="AV200" i="2" s="1"/>
  <c r="AU183" i="2"/>
  <c r="AW183" i="2" s="1"/>
  <c r="AT183" i="2"/>
  <c r="AV183" i="2" s="1"/>
  <c r="AU174" i="2"/>
  <c r="AW174" i="2" s="1"/>
  <c r="AT174" i="2"/>
  <c r="AV174" i="2" s="1"/>
  <c r="AU166" i="2"/>
  <c r="AW166" i="2" s="1"/>
  <c r="AT166" i="2"/>
  <c r="AV166" i="2" s="1"/>
  <c r="AU157" i="2"/>
  <c r="AW157" i="2" s="1"/>
  <c r="AT157" i="2"/>
  <c r="AV157" i="2" s="1"/>
  <c r="AU144" i="2"/>
  <c r="AW144" i="2" s="1"/>
  <c r="AT144" i="2"/>
  <c r="AV144" i="2" s="1"/>
  <c r="AU137" i="2"/>
  <c r="AW137" i="2" s="1"/>
  <c r="AT137" i="2"/>
  <c r="AV137" i="2" s="1"/>
  <c r="AU134" i="2"/>
  <c r="AW134" i="2" s="1"/>
  <c r="AT134" i="2"/>
  <c r="AV134" i="2" s="1"/>
  <c r="AU122" i="2"/>
  <c r="AW122" i="2" s="1"/>
  <c r="AT122" i="2"/>
  <c r="AV122" i="2" s="1"/>
  <c r="AU112" i="2"/>
  <c r="AW112" i="2" s="1"/>
  <c r="AT112" i="2"/>
  <c r="AV112" i="2" s="1"/>
  <c r="AU103" i="2"/>
  <c r="AW103" i="2" s="1"/>
  <c r="AT103" i="2"/>
  <c r="AV103" i="2" s="1"/>
  <c r="AU78" i="2"/>
  <c r="AW78" i="2" s="1"/>
  <c r="AT78" i="2"/>
  <c r="AV78" i="2" s="1"/>
  <c r="AU69" i="2"/>
  <c r="AW69" i="2" s="1"/>
  <c r="AT69" i="2"/>
  <c r="AV69" i="2" s="1"/>
  <c r="AU37" i="2"/>
  <c r="AW37" i="2" s="1"/>
  <c r="AT37" i="2"/>
  <c r="AV37" i="2" s="1"/>
  <c r="AU28" i="2"/>
  <c r="AW28" i="2" s="1"/>
  <c r="AT28" i="2"/>
  <c r="AV28" i="2" s="1"/>
  <c r="AS213" i="2"/>
  <c r="AR213" i="2"/>
  <c r="AS210" i="2"/>
  <c r="AR210" i="2"/>
  <c r="AS201" i="2"/>
  <c r="AR201" i="2"/>
  <c r="AS200" i="2"/>
  <c r="AR200" i="2"/>
  <c r="AS183" i="2"/>
  <c r="AR183" i="2"/>
  <c r="AS174" i="2"/>
  <c r="AR174" i="2"/>
  <c r="AS166" i="2"/>
  <c r="AR166" i="2"/>
  <c r="AS157" i="2"/>
  <c r="AR157" i="2"/>
  <c r="AS144" i="2"/>
  <c r="AR144" i="2"/>
  <c r="AS137" i="2"/>
  <c r="AR137" i="2"/>
  <c r="AS134" i="2"/>
  <c r="AR134" i="2"/>
  <c r="AS122" i="2"/>
  <c r="AR122" i="2"/>
  <c r="AS112" i="2"/>
  <c r="AR112" i="2"/>
  <c r="AS103" i="2"/>
  <c r="AR103" i="2"/>
  <c r="AS78" i="2"/>
  <c r="AR78" i="2"/>
  <c r="AS69" i="2"/>
  <c r="AR69" i="2"/>
  <c r="AS37" i="2"/>
  <c r="AR37" i="2"/>
  <c r="AS28" i="2"/>
  <c r="AR28" i="2"/>
  <c r="AS217" i="2"/>
  <c r="AR217" i="2"/>
  <c r="AS216" i="2"/>
  <c r="AR216" i="2"/>
  <c r="AS215" i="2"/>
  <c r="AR215" i="2"/>
  <c r="AS214" i="2"/>
  <c r="AR214" i="2"/>
  <c r="AS212" i="2"/>
  <c r="AR212" i="2"/>
  <c r="AS211" i="2"/>
  <c r="AR211" i="2"/>
  <c r="AS209" i="2"/>
  <c r="AR209" i="2"/>
  <c r="AS208" i="2"/>
  <c r="AR208" i="2"/>
  <c r="AS207" i="2"/>
  <c r="AR207" i="2"/>
  <c r="AS206" i="2"/>
  <c r="AR206" i="2"/>
  <c r="AS205" i="2"/>
  <c r="AR205" i="2"/>
  <c r="AS204" i="2"/>
  <c r="AR204" i="2"/>
  <c r="AS203" i="2"/>
  <c r="AR203" i="2"/>
  <c r="AS202" i="2"/>
  <c r="AR202" i="2"/>
  <c r="AS199" i="2"/>
  <c r="AR199" i="2"/>
  <c r="AS198" i="2"/>
  <c r="AR198" i="2"/>
  <c r="AS197" i="2"/>
  <c r="AR197" i="2"/>
  <c r="AS196" i="2"/>
  <c r="AR196" i="2"/>
  <c r="AS195" i="2"/>
  <c r="AR195" i="2"/>
  <c r="AS194" i="2"/>
  <c r="AR194" i="2"/>
  <c r="AS193" i="2"/>
  <c r="AR193" i="2"/>
  <c r="AS192" i="2"/>
  <c r="AR192" i="2"/>
  <c r="AS191" i="2"/>
  <c r="AR191" i="2"/>
  <c r="AS190" i="2"/>
  <c r="AR190" i="2"/>
  <c r="AS189" i="2"/>
  <c r="AR189" i="2"/>
  <c r="AS188" i="2"/>
  <c r="AR188" i="2"/>
  <c r="AS187" i="2"/>
  <c r="AR187" i="2"/>
  <c r="AS186" i="2"/>
  <c r="AR186" i="2"/>
  <c r="AS185" i="2"/>
  <c r="AR185" i="2"/>
  <c r="AS184" i="2"/>
  <c r="AR184" i="2"/>
  <c r="AS182" i="2"/>
  <c r="AR182" i="2"/>
  <c r="AS181" i="2"/>
  <c r="AR181" i="2"/>
  <c r="AS180" i="2"/>
  <c r="AR180" i="2"/>
  <c r="AS179" i="2"/>
  <c r="AR179" i="2"/>
  <c r="AS178" i="2"/>
  <c r="AR178" i="2"/>
  <c r="AS177" i="2"/>
  <c r="AR177" i="2"/>
  <c r="AS176" i="2"/>
  <c r="AR176" i="2"/>
  <c r="AS175" i="2"/>
  <c r="AR175" i="2"/>
  <c r="AS173" i="2"/>
  <c r="AR173" i="2"/>
  <c r="AS172" i="2"/>
  <c r="AR172" i="2"/>
  <c r="AS171" i="2"/>
  <c r="AR171" i="2"/>
  <c r="AS170" i="2"/>
  <c r="AR170" i="2"/>
  <c r="AS169" i="2"/>
  <c r="AR169" i="2"/>
  <c r="AS168" i="2"/>
  <c r="AR168" i="2"/>
  <c r="AS167" i="2"/>
  <c r="AR167" i="2"/>
  <c r="AS165" i="2"/>
  <c r="AR165" i="2"/>
  <c r="AS164" i="2"/>
  <c r="AR164" i="2"/>
  <c r="AS163" i="2"/>
  <c r="AR163" i="2"/>
  <c r="AS162" i="2"/>
  <c r="AR162" i="2"/>
  <c r="AS161" i="2"/>
  <c r="AR161" i="2"/>
  <c r="AS160" i="2"/>
  <c r="AR160" i="2"/>
  <c r="AS159" i="2"/>
  <c r="AR159" i="2"/>
  <c r="AS158" i="2"/>
  <c r="AR158" i="2"/>
  <c r="AS156" i="2"/>
  <c r="AR156" i="2"/>
  <c r="AS155" i="2"/>
  <c r="AR155" i="2"/>
  <c r="AS154" i="2"/>
  <c r="AR154" i="2"/>
  <c r="AS153" i="2"/>
  <c r="AR153" i="2"/>
  <c r="AS152" i="2"/>
  <c r="AR152" i="2"/>
  <c r="AS151" i="2"/>
  <c r="AR151" i="2"/>
  <c r="AS150" i="2"/>
  <c r="AR150" i="2"/>
  <c r="AS149" i="2"/>
  <c r="AR149" i="2"/>
  <c r="AS148" i="2"/>
  <c r="AR148" i="2"/>
  <c r="AS147" i="2"/>
  <c r="AR147" i="2"/>
  <c r="AS146" i="2"/>
  <c r="AR146" i="2"/>
  <c r="AS145" i="2"/>
  <c r="AR145" i="2"/>
  <c r="AS142" i="2"/>
  <c r="AR142" i="2"/>
  <c r="AS141" i="2"/>
  <c r="AR141" i="2"/>
  <c r="AS140" i="2"/>
  <c r="AR140" i="2"/>
  <c r="AS139" i="2"/>
  <c r="AR139" i="2"/>
  <c r="AS138" i="2"/>
  <c r="AR138" i="2"/>
  <c r="AS136" i="2"/>
  <c r="AR136" i="2"/>
  <c r="AS135" i="2"/>
  <c r="AR135" i="2"/>
  <c r="AS133" i="2"/>
  <c r="AR133" i="2"/>
  <c r="AS132" i="2"/>
  <c r="AR132" i="2"/>
  <c r="AS131" i="2"/>
  <c r="AR131" i="2"/>
  <c r="AS130" i="2"/>
  <c r="AR130" i="2"/>
  <c r="AS129" i="2"/>
  <c r="AR129" i="2"/>
  <c r="AS128" i="2"/>
  <c r="AR128" i="2"/>
  <c r="AS127" i="2"/>
  <c r="AR127" i="2"/>
  <c r="AS126" i="2"/>
  <c r="AR126" i="2"/>
  <c r="AS125" i="2"/>
  <c r="AR125" i="2"/>
  <c r="AS124" i="2"/>
  <c r="AR124" i="2"/>
  <c r="AS123" i="2"/>
  <c r="AR123" i="2"/>
  <c r="AS121" i="2"/>
  <c r="AR121" i="2"/>
  <c r="AS120" i="2"/>
  <c r="AR120" i="2"/>
  <c r="AS119" i="2"/>
  <c r="AR119" i="2"/>
  <c r="AS118" i="2"/>
  <c r="AR118" i="2"/>
  <c r="AS117" i="2"/>
  <c r="AR117" i="2"/>
  <c r="AS116" i="2"/>
  <c r="AR116" i="2"/>
  <c r="AS143" i="2"/>
  <c r="AR143" i="2"/>
  <c r="AS115" i="2"/>
  <c r="AR115" i="2"/>
  <c r="AS114" i="2"/>
  <c r="AR114" i="2"/>
  <c r="AS113" i="2"/>
  <c r="AR113" i="2"/>
  <c r="AS111" i="2"/>
  <c r="AR111" i="2"/>
  <c r="AS110" i="2"/>
  <c r="AR110" i="2"/>
  <c r="AS109" i="2"/>
  <c r="AR109" i="2"/>
  <c r="AS108" i="2"/>
  <c r="AR108" i="2"/>
  <c r="AS107" i="2"/>
  <c r="AR107" i="2"/>
  <c r="AS106" i="2"/>
  <c r="AR106" i="2"/>
  <c r="AS105" i="2"/>
  <c r="AR105" i="2"/>
  <c r="AS104" i="2"/>
  <c r="AR104" i="2"/>
  <c r="AS102" i="2"/>
  <c r="AR102" i="2"/>
  <c r="AS101" i="2"/>
  <c r="AR101" i="2"/>
  <c r="AS100" i="2"/>
  <c r="AR100" i="2"/>
  <c r="AS99" i="2"/>
  <c r="AR99" i="2"/>
  <c r="AS98" i="2"/>
  <c r="AR98" i="2"/>
  <c r="AS97" i="2"/>
  <c r="AR97" i="2"/>
  <c r="AS96" i="2"/>
  <c r="AR96" i="2"/>
  <c r="AS95" i="2"/>
  <c r="AR95" i="2"/>
  <c r="AS94" i="2"/>
  <c r="AR94" i="2"/>
  <c r="AS93" i="2"/>
  <c r="AR93" i="2"/>
  <c r="AS92" i="2"/>
  <c r="AR92" i="2"/>
  <c r="AS91" i="2"/>
  <c r="AR91" i="2"/>
  <c r="AS90" i="2"/>
  <c r="AR90" i="2"/>
  <c r="AS89" i="2"/>
  <c r="AR89" i="2"/>
  <c r="AS88" i="2"/>
  <c r="AR88" i="2"/>
  <c r="AS87" i="2"/>
  <c r="AR87" i="2"/>
  <c r="AS86" i="2"/>
  <c r="AR86" i="2"/>
  <c r="AS85" i="2"/>
  <c r="AR85" i="2"/>
  <c r="AS84" i="2"/>
  <c r="AR84" i="2"/>
  <c r="AS83" i="2"/>
  <c r="AR83" i="2"/>
  <c r="AS82" i="2"/>
  <c r="AR82" i="2"/>
  <c r="AS81" i="2"/>
  <c r="AR81" i="2"/>
  <c r="AS80" i="2"/>
  <c r="AR80" i="2"/>
  <c r="AS79" i="2"/>
  <c r="AR79" i="2"/>
  <c r="AS77" i="2"/>
  <c r="AR77" i="2"/>
  <c r="AS76" i="2"/>
  <c r="AR76" i="2"/>
  <c r="AS75" i="2"/>
  <c r="AR75" i="2"/>
  <c r="AS74" i="2"/>
  <c r="AR74" i="2"/>
  <c r="AS73" i="2"/>
  <c r="AR73" i="2"/>
  <c r="AS72" i="2"/>
  <c r="AR72" i="2"/>
  <c r="AS71" i="2"/>
  <c r="AR71" i="2"/>
  <c r="AS70" i="2"/>
  <c r="AR70" i="2"/>
  <c r="AS68" i="2"/>
  <c r="AR68" i="2"/>
  <c r="AS67" i="2"/>
  <c r="AR67" i="2"/>
  <c r="AS66" i="2"/>
  <c r="AR66" i="2"/>
  <c r="AS65" i="2"/>
  <c r="AR65" i="2"/>
  <c r="AS64" i="2"/>
  <c r="AR64" i="2"/>
  <c r="AS63" i="2"/>
  <c r="AR63" i="2"/>
  <c r="AS62" i="2"/>
  <c r="AR62" i="2"/>
  <c r="AS61" i="2"/>
  <c r="AR61" i="2"/>
  <c r="AS60" i="2"/>
  <c r="AR60" i="2"/>
  <c r="AS59" i="2"/>
  <c r="AR59" i="2"/>
  <c r="AS58" i="2"/>
  <c r="AR58" i="2"/>
  <c r="AS57" i="2"/>
  <c r="AR57" i="2"/>
  <c r="AS56" i="2"/>
  <c r="AR56" i="2"/>
  <c r="AS55" i="2"/>
  <c r="AR55" i="2"/>
  <c r="AS54" i="2"/>
  <c r="AR54" i="2"/>
  <c r="AS53" i="2"/>
  <c r="AR53" i="2"/>
  <c r="AS52" i="2"/>
  <c r="AR52" i="2"/>
  <c r="AS51" i="2"/>
  <c r="AR51" i="2"/>
  <c r="AS50" i="2"/>
  <c r="AR50" i="2"/>
  <c r="AS49" i="2"/>
  <c r="AR49" i="2"/>
  <c r="AS48" i="2"/>
  <c r="AR48" i="2"/>
  <c r="AS47" i="2"/>
  <c r="AR47" i="2"/>
  <c r="AS46" i="2"/>
  <c r="AR46" i="2"/>
  <c r="AS45" i="2"/>
  <c r="AR45" i="2"/>
  <c r="AS44" i="2"/>
  <c r="AR44" i="2"/>
  <c r="AS43" i="2"/>
  <c r="AR43" i="2"/>
  <c r="AS42" i="2"/>
  <c r="AR42" i="2"/>
  <c r="AS41" i="2"/>
  <c r="AR41" i="2"/>
  <c r="AS40" i="2"/>
  <c r="AR40" i="2"/>
  <c r="AS39" i="2"/>
  <c r="AR39" i="2"/>
  <c r="AS38" i="2"/>
  <c r="AR38" i="2"/>
  <c r="AS36" i="2"/>
  <c r="AR36" i="2"/>
  <c r="AS35" i="2"/>
  <c r="AR35" i="2"/>
  <c r="AS34" i="2"/>
  <c r="AR34" i="2"/>
  <c r="AS33" i="2"/>
  <c r="AR33" i="2"/>
  <c r="AS32" i="2"/>
  <c r="AR32" i="2"/>
  <c r="AS31" i="2"/>
  <c r="AR31" i="2"/>
  <c r="AS30" i="2"/>
  <c r="AR30" i="2"/>
  <c r="AS29" i="2"/>
  <c r="AR29" i="2"/>
  <c r="AS27" i="2"/>
  <c r="AR27" i="2"/>
  <c r="AS26" i="2"/>
  <c r="AR26" i="2"/>
  <c r="AS25" i="2"/>
  <c r="AR25" i="2"/>
  <c r="AS24" i="2"/>
  <c r="AR24" i="2"/>
  <c r="AS23" i="2"/>
  <c r="AR23" i="2"/>
  <c r="AS22" i="2"/>
  <c r="AR22" i="2"/>
  <c r="AS21" i="2"/>
  <c r="AR21" i="2"/>
  <c r="AS20" i="2"/>
  <c r="AR20" i="2"/>
  <c r="AS19" i="2"/>
  <c r="AR19" i="2"/>
  <c r="AS18" i="2"/>
  <c r="AR18" i="2"/>
  <c r="AS17" i="2"/>
  <c r="AR17" i="2"/>
  <c r="AS16" i="2"/>
  <c r="AR16" i="2"/>
  <c r="AS15" i="2"/>
  <c r="AR15" i="2"/>
  <c r="AS14" i="2"/>
  <c r="AR14" i="2"/>
  <c r="AS13" i="2"/>
  <c r="AR13" i="2"/>
  <c r="AS12" i="2"/>
  <c r="AR12" i="2"/>
  <c r="AS11" i="2"/>
  <c r="AR11" i="2"/>
  <c r="AS10" i="2"/>
  <c r="AR10" i="2"/>
  <c r="AS9" i="2"/>
  <c r="AR9" i="2"/>
  <c r="AS8" i="2"/>
  <c r="AR8" i="2"/>
  <c r="AS7" i="2"/>
  <c r="AR7" i="2"/>
  <c r="AS6" i="2"/>
  <c r="AR6" i="2"/>
  <c r="AS5" i="2"/>
  <c r="AR5" i="2"/>
  <c r="AS4" i="2"/>
  <c r="AR4" i="2"/>
  <c r="AS3" i="2"/>
  <c r="AR3" i="2"/>
  <c r="AS2" i="2"/>
  <c r="AR2" i="2"/>
  <c r="AO213" i="2"/>
  <c r="AY213" i="2" s="1"/>
  <c r="AO210" i="2"/>
  <c r="AY210" i="2" s="1"/>
  <c r="AO201" i="2"/>
  <c r="AY201" i="2" s="1"/>
  <c r="AO200" i="2"/>
  <c r="AY200" i="2" s="1"/>
  <c r="AO183" i="2"/>
  <c r="AY183" i="2" s="1"/>
  <c r="AO174" i="2"/>
  <c r="AY174" i="2" s="1"/>
  <c r="AO166" i="2"/>
  <c r="AY166" i="2" s="1"/>
  <c r="AO157" i="2"/>
  <c r="AY157" i="2" s="1"/>
  <c r="AO144" i="2"/>
  <c r="AY144" i="2" s="1"/>
  <c r="AO137" i="2"/>
  <c r="AY137" i="2" s="1"/>
  <c r="AO134" i="2"/>
  <c r="AY134" i="2" s="1"/>
  <c r="AO122" i="2"/>
  <c r="AY122" i="2" s="1"/>
  <c r="AO112" i="2"/>
  <c r="AY112" i="2" s="1"/>
  <c r="AO103" i="2"/>
  <c r="AY103" i="2" s="1"/>
  <c r="AO78" i="2"/>
  <c r="AY78" i="2" s="1"/>
  <c r="AO69" i="2"/>
  <c r="AY69" i="2" s="1"/>
  <c r="AO37" i="2"/>
  <c r="AY37" i="2" s="1"/>
  <c r="AO28" i="2"/>
  <c r="AY28" i="2" s="1"/>
  <c r="AO217" i="2"/>
  <c r="AO216" i="2"/>
  <c r="AO215" i="2"/>
  <c r="AO214" i="2"/>
  <c r="AO212" i="2"/>
  <c r="AO211" i="2"/>
  <c r="AO209" i="2"/>
  <c r="AO208" i="2"/>
  <c r="AO207" i="2"/>
  <c r="AO206" i="2"/>
  <c r="AO205" i="2"/>
  <c r="AO204" i="2"/>
  <c r="AO203" i="2"/>
  <c r="AO202" i="2"/>
  <c r="AO199" i="2"/>
  <c r="AO198" i="2"/>
  <c r="AO197" i="2"/>
  <c r="AO196" i="2"/>
  <c r="AO195" i="2"/>
  <c r="AO194" i="2"/>
  <c r="AO193" i="2"/>
  <c r="AO192" i="2"/>
  <c r="AO191" i="2"/>
  <c r="AO190" i="2"/>
  <c r="AO189" i="2"/>
  <c r="AO188" i="2"/>
  <c r="AO187" i="2"/>
  <c r="AO186" i="2"/>
  <c r="AO185" i="2"/>
  <c r="AO184" i="2"/>
  <c r="AO182" i="2"/>
  <c r="AO181" i="2"/>
  <c r="AO180" i="2"/>
  <c r="AO179" i="2"/>
  <c r="AO178" i="2"/>
  <c r="AO177" i="2"/>
  <c r="AO176" i="2"/>
  <c r="AO175" i="2"/>
  <c r="AO173" i="2"/>
  <c r="AO172" i="2"/>
  <c r="AO171" i="2"/>
  <c r="AO170" i="2"/>
  <c r="AO169" i="2"/>
  <c r="AO168" i="2"/>
  <c r="AO167" i="2"/>
  <c r="AO165" i="2"/>
  <c r="AO164" i="2"/>
  <c r="AO163" i="2"/>
  <c r="AO162" i="2"/>
  <c r="AO161" i="2"/>
  <c r="AO160" i="2"/>
  <c r="AO159" i="2"/>
  <c r="AO158" i="2"/>
  <c r="AO156" i="2"/>
  <c r="AO155" i="2"/>
  <c r="AO154" i="2"/>
  <c r="AO153" i="2"/>
  <c r="AO152" i="2"/>
  <c r="AO151" i="2"/>
  <c r="AO150" i="2"/>
  <c r="AO149" i="2"/>
  <c r="AO148" i="2"/>
  <c r="AO147" i="2"/>
  <c r="AO146" i="2"/>
  <c r="AO145" i="2"/>
  <c r="AO142" i="2"/>
  <c r="AO141" i="2"/>
  <c r="AO140" i="2"/>
  <c r="AO139" i="2"/>
  <c r="AO138" i="2"/>
  <c r="AO136" i="2"/>
  <c r="AO135" i="2"/>
  <c r="AO133" i="2"/>
  <c r="AO132" i="2"/>
  <c r="AO131" i="2"/>
  <c r="AO130" i="2"/>
  <c r="AO129" i="2"/>
  <c r="AO128" i="2"/>
  <c r="AO127" i="2"/>
  <c r="AO126" i="2"/>
  <c r="AO125" i="2"/>
  <c r="AO124" i="2"/>
  <c r="AO123" i="2"/>
  <c r="AO121" i="2"/>
  <c r="AO120" i="2"/>
  <c r="AO119" i="2"/>
  <c r="AO118" i="2"/>
  <c r="AO117" i="2"/>
  <c r="AO116" i="2"/>
  <c r="AO143" i="2"/>
  <c r="AO115" i="2"/>
  <c r="AO114" i="2"/>
  <c r="AO113" i="2"/>
  <c r="AO111" i="2"/>
  <c r="AO110" i="2"/>
  <c r="AO109" i="2"/>
  <c r="AO108" i="2"/>
  <c r="AO107" i="2"/>
  <c r="AO106" i="2"/>
  <c r="AO105" i="2"/>
  <c r="AO104" i="2"/>
  <c r="AO102" i="2"/>
  <c r="AO101" i="2"/>
  <c r="AO100" i="2"/>
  <c r="AO99" i="2"/>
  <c r="AO98" i="2"/>
  <c r="AO97" i="2"/>
  <c r="AO96" i="2"/>
  <c r="AO95" i="2"/>
  <c r="AO94" i="2"/>
  <c r="AO93" i="2"/>
  <c r="AO92" i="2"/>
  <c r="AO91" i="2"/>
  <c r="AO90" i="2"/>
  <c r="AO89" i="2"/>
  <c r="AO88" i="2"/>
  <c r="AO87" i="2"/>
  <c r="AO86" i="2"/>
  <c r="AO85" i="2"/>
  <c r="AO84" i="2"/>
  <c r="AO83" i="2"/>
  <c r="AO82" i="2"/>
  <c r="AO81" i="2"/>
  <c r="AO80" i="2"/>
  <c r="AO79" i="2"/>
  <c r="AO77" i="2"/>
  <c r="AO76" i="2"/>
  <c r="AO75" i="2"/>
  <c r="AO74" i="2"/>
  <c r="AO73" i="2"/>
  <c r="AO72" i="2"/>
  <c r="AO71" i="2"/>
  <c r="AO70" i="2"/>
  <c r="AO68" i="2"/>
  <c r="AO67" i="2"/>
  <c r="AO66" i="2"/>
  <c r="AO65" i="2"/>
  <c r="AO64" i="2"/>
  <c r="AO63" i="2"/>
  <c r="AO62" i="2"/>
  <c r="AO61" i="2"/>
  <c r="AO60" i="2"/>
  <c r="AO59" i="2"/>
  <c r="AO58" i="2"/>
  <c r="AO57" i="2"/>
  <c r="AO56" i="2"/>
  <c r="AO55" i="2"/>
  <c r="AO54" i="2"/>
  <c r="AO53" i="2"/>
  <c r="AO52" i="2"/>
  <c r="AO51" i="2"/>
  <c r="AO50" i="2"/>
  <c r="AO49" i="2"/>
  <c r="AO48" i="2"/>
  <c r="AO47" i="2"/>
  <c r="AO46" i="2"/>
  <c r="AO45" i="2"/>
  <c r="AO44" i="2"/>
  <c r="AO43" i="2"/>
  <c r="AO42" i="2"/>
  <c r="AO41" i="2"/>
  <c r="AO40" i="2"/>
  <c r="AO39" i="2"/>
  <c r="AO38" i="2"/>
  <c r="AO36" i="2"/>
  <c r="AO35" i="2"/>
  <c r="AO34" i="2"/>
  <c r="AO33" i="2"/>
  <c r="AO32" i="2"/>
  <c r="AO31" i="2"/>
  <c r="AO30" i="2"/>
  <c r="AO29" i="2"/>
  <c r="AO27" i="2"/>
  <c r="AO26" i="2"/>
  <c r="AO25" i="2"/>
  <c r="AO24" i="2"/>
  <c r="AO23" i="2"/>
  <c r="AO22" i="2"/>
  <c r="AO21" i="2"/>
  <c r="AO20" i="2"/>
  <c r="AO19" i="2"/>
  <c r="AO18" i="2"/>
  <c r="AO17" i="2"/>
  <c r="AO16" i="2"/>
  <c r="AO15" i="2"/>
  <c r="AO14" i="2"/>
  <c r="AO13" i="2"/>
  <c r="AO12" i="2"/>
  <c r="AO11" i="2"/>
  <c r="AO10" i="2"/>
  <c r="AO9" i="2"/>
  <c r="AO8" i="2"/>
  <c r="AO7" i="2"/>
  <c r="AO6" i="2"/>
  <c r="AO5" i="2"/>
  <c r="AO4" i="2"/>
  <c r="AO3" i="2"/>
  <c r="AO2" i="2"/>
  <c r="AN213" i="2"/>
  <c r="AN210" i="2"/>
  <c r="AN201" i="2"/>
  <c r="AN200" i="2"/>
  <c r="AN183" i="2"/>
  <c r="AN174" i="2"/>
  <c r="AN166" i="2"/>
  <c r="AN157" i="2"/>
  <c r="AN144" i="2"/>
  <c r="AN137" i="2"/>
  <c r="AN134" i="2"/>
  <c r="AN122" i="2"/>
  <c r="AN112" i="2"/>
  <c r="AN103" i="2"/>
  <c r="AN78" i="2"/>
  <c r="AN69" i="2"/>
  <c r="AN37" i="2"/>
  <c r="AN28" i="2"/>
  <c r="AN217" i="2"/>
  <c r="AN216" i="2"/>
  <c r="AN215" i="2"/>
  <c r="AN214" i="2"/>
  <c r="AN212" i="2"/>
  <c r="AN211" i="2"/>
  <c r="AN209" i="2"/>
  <c r="AN208" i="2"/>
  <c r="AN207" i="2"/>
  <c r="AN206" i="2"/>
  <c r="AN205" i="2"/>
  <c r="AN204" i="2"/>
  <c r="AN203" i="2"/>
  <c r="AN202" i="2"/>
  <c r="AN199" i="2"/>
  <c r="AN198" i="2"/>
  <c r="AN197" i="2"/>
  <c r="AN196" i="2"/>
  <c r="AN195" i="2"/>
  <c r="AN194" i="2"/>
  <c r="AN193" i="2"/>
  <c r="AN192" i="2"/>
  <c r="AN191" i="2"/>
  <c r="AN190" i="2"/>
  <c r="AN189" i="2"/>
  <c r="AN188" i="2"/>
  <c r="AN187" i="2"/>
  <c r="AN186" i="2"/>
  <c r="AN185" i="2"/>
  <c r="AN184" i="2"/>
  <c r="AN182" i="2"/>
  <c r="AN181" i="2"/>
  <c r="AN180" i="2"/>
  <c r="AN179" i="2"/>
  <c r="AN178" i="2"/>
  <c r="AN177" i="2"/>
  <c r="AN176" i="2"/>
  <c r="AN175" i="2"/>
  <c r="AN173" i="2"/>
  <c r="AN172" i="2"/>
  <c r="AN171" i="2"/>
  <c r="AN170" i="2"/>
  <c r="AN169" i="2"/>
  <c r="AN168" i="2"/>
  <c r="AN167" i="2"/>
  <c r="AN165" i="2"/>
  <c r="AN164" i="2"/>
  <c r="AN163" i="2"/>
  <c r="AN162" i="2"/>
  <c r="AN161" i="2"/>
  <c r="AN160" i="2"/>
  <c r="AN159" i="2"/>
  <c r="AN158" i="2"/>
  <c r="AN156" i="2"/>
  <c r="AN155" i="2"/>
  <c r="AN154" i="2"/>
  <c r="AN153" i="2"/>
  <c r="AN152" i="2"/>
  <c r="AN151" i="2"/>
  <c r="AN150" i="2"/>
  <c r="AN149" i="2"/>
  <c r="AN148" i="2"/>
  <c r="AN147" i="2"/>
  <c r="AN146" i="2"/>
  <c r="AN145" i="2"/>
  <c r="AN142" i="2"/>
  <c r="AN141" i="2"/>
  <c r="AN140" i="2"/>
  <c r="AN139" i="2"/>
  <c r="AN138" i="2"/>
  <c r="AN136" i="2"/>
  <c r="AN135" i="2"/>
  <c r="AN133" i="2"/>
  <c r="AN132" i="2"/>
  <c r="AN131" i="2"/>
  <c r="AN130" i="2"/>
  <c r="AN129" i="2"/>
  <c r="AN128" i="2"/>
  <c r="AN127" i="2"/>
  <c r="AN126" i="2"/>
  <c r="AN125" i="2"/>
  <c r="AN124" i="2"/>
  <c r="AN123" i="2"/>
  <c r="AN121" i="2"/>
  <c r="AN120" i="2"/>
  <c r="AN119" i="2"/>
  <c r="AN118" i="2"/>
  <c r="AN117" i="2"/>
  <c r="AN116" i="2"/>
  <c r="AN143" i="2"/>
  <c r="AN115" i="2"/>
  <c r="AN114" i="2"/>
  <c r="AN113" i="2"/>
  <c r="AN111" i="2"/>
  <c r="AN110" i="2"/>
  <c r="AN109" i="2"/>
  <c r="AN108" i="2"/>
  <c r="AN107" i="2"/>
  <c r="AN106" i="2"/>
  <c r="AN105" i="2"/>
  <c r="AN104" i="2"/>
  <c r="AN102" i="2"/>
  <c r="AN101" i="2"/>
  <c r="AN100" i="2"/>
  <c r="AN99" i="2"/>
  <c r="AN98" i="2"/>
  <c r="AN97" i="2"/>
  <c r="AN96" i="2"/>
  <c r="AN95" i="2"/>
  <c r="AN94" i="2"/>
  <c r="AN93" i="2"/>
  <c r="AN92" i="2"/>
  <c r="AN91" i="2"/>
  <c r="AN90" i="2"/>
  <c r="AN89" i="2"/>
  <c r="AN88" i="2"/>
  <c r="AN87" i="2"/>
  <c r="AN86" i="2"/>
  <c r="AN85" i="2"/>
  <c r="AN84" i="2"/>
  <c r="AN83" i="2"/>
  <c r="AN82" i="2"/>
  <c r="AN81" i="2"/>
  <c r="AN80" i="2"/>
  <c r="AN79" i="2"/>
  <c r="AN77" i="2"/>
  <c r="AN76" i="2"/>
  <c r="AN75" i="2"/>
  <c r="AN74" i="2"/>
  <c r="AN73" i="2"/>
  <c r="AN72" i="2"/>
  <c r="AN71" i="2"/>
  <c r="AN70" i="2"/>
  <c r="AN68" i="2"/>
  <c r="AN67" i="2"/>
  <c r="AN66" i="2"/>
  <c r="AN65" i="2"/>
  <c r="AN64" i="2"/>
  <c r="AN63"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6" i="2"/>
  <c r="AN35" i="2"/>
  <c r="AN34" i="2"/>
  <c r="AN33" i="2"/>
  <c r="AN32" i="2"/>
  <c r="AN31" i="2"/>
  <c r="AN30" i="2"/>
  <c r="AN29" i="2"/>
  <c r="AN27" i="2"/>
  <c r="AN26" i="2"/>
  <c r="AN25" i="2"/>
  <c r="AN24" i="2"/>
  <c r="AN23" i="2"/>
  <c r="AN22" i="2"/>
  <c r="AN21" i="2"/>
  <c r="AN20" i="2"/>
  <c r="AN19" i="2"/>
  <c r="AN18" i="2"/>
  <c r="AN17" i="2"/>
  <c r="AN16" i="2"/>
  <c r="AN15" i="2"/>
  <c r="AN14" i="2"/>
  <c r="AN13" i="2"/>
  <c r="AN12" i="2"/>
  <c r="AN11" i="2"/>
  <c r="AN10" i="2"/>
  <c r="AN9" i="2"/>
  <c r="AN8" i="2"/>
  <c r="AN7" i="2"/>
  <c r="AN6" i="2"/>
  <c r="AN5" i="2"/>
  <c r="AN4" i="2"/>
  <c r="AN3" i="2"/>
  <c r="AN2" i="2"/>
  <c r="AX28" i="2" l="1"/>
  <c r="AX69" i="2"/>
  <c r="AX103" i="2"/>
  <c r="AX122" i="2"/>
  <c r="AX137" i="2"/>
  <c r="AX157" i="2"/>
  <c r="AX174" i="2"/>
  <c r="AX200" i="2"/>
  <c r="AX210" i="2"/>
  <c r="AX37" i="2"/>
  <c r="AX78" i="2"/>
  <c r="AX112" i="2"/>
  <c r="AX134" i="2"/>
  <c r="AX144" i="2"/>
  <c r="AX166" i="2"/>
  <c r="AX183" i="2"/>
  <c r="AX201" i="2"/>
  <c r="AX213" i="2"/>
  <c r="AI217" i="2"/>
  <c r="AI216" i="2"/>
  <c r="AI215" i="2"/>
  <c r="AI214" i="2"/>
  <c r="AI206" i="2"/>
  <c r="AI203" i="2"/>
  <c r="AI202" i="2"/>
  <c r="AI199" i="2"/>
  <c r="AI196" i="2"/>
  <c r="AI191" i="2"/>
  <c r="AI189" i="2"/>
  <c r="AI188" i="2"/>
  <c r="AI185" i="2"/>
  <c r="AI180" i="2"/>
  <c r="AI178" i="2"/>
  <c r="AI177" i="2"/>
  <c r="AI176" i="2"/>
  <c r="AI175" i="2"/>
  <c r="AI172" i="2"/>
  <c r="AI171" i="2"/>
  <c r="AI167" i="2"/>
  <c r="AI164" i="2"/>
  <c r="AI163" i="2"/>
  <c r="AI162" i="2"/>
  <c r="AI152" i="2"/>
  <c r="AI150" i="2"/>
  <c r="AI149" i="2"/>
  <c r="AI148" i="2"/>
  <c r="AI142" i="2"/>
  <c r="AI141" i="2"/>
  <c r="AI140" i="2"/>
  <c r="AI139" i="2"/>
  <c r="AI133" i="2"/>
  <c r="AI131" i="2"/>
  <c r="AI129" i="2"/>
  <c r="AI127" i="2"/>
  <c r="AI126" i="2"/>
  <c r="AI125" i="2"/>
  <c r="AI124" i="2"/>
  <c r="AI123" i="2"/>
  <c r="AI120" i="2"/>
  <c r="AI117" i="2"/>
  <c r="AI143" i="2"/>
  <c r="AI115" i="2"/>
  <c r="AI113" i="2"/>
  <c r="AI109" i="2"/>
  <c r="AI107" i="2"/>
  <c r="AI102" i="2"/>
  <c r="AI100" i="2"/>
  <c r="AI96" i="2"/>
  <c r="AI95" i="2"/>
  <c r="AI91" i="2"/>
  <c r="AI84" i="2"/>
  <c r="AI83" i="2"/>
  <c r="AI82" i="2"/>
  <c r="AI81" i="2"/>
  <c r="AI79" i="2"/>
  <c r="AI77" i="2"/>
  <c r="AI76" i="2"/>
  <c r="AI71" i="2"/>
  <c r="AI70" i="2"/>
  <c r="AI64" i="2"/>
  <c r="AI63" i="2"/>
  <c r="AI62" i="2"/>
  <c r="AI61" i="2"/>
  <c r="AI60" i="2"/>
  <c r="AI57" i="2"/>
  <c r="AI56" i="2"/>
  <c r="AI53" i="2"/>
  <c r="AI51" i="2"/>
  <c r="AI50" i="2"/>
  <c r="AI47" i="2"/>
  <c r="AI45" i="2"/>
  <c r="AI44" i="2"/>
  <c r="AI43" i="2"/>
  <c r="AI42" i="2"/>
  <c r="AI39" i="2"/>
  <c r="AI38" i="2"/>
  <c r="AI35" i="2"/>
  <c r="AI33" i="2"/>
  <c r="AI32" i="2"/>
  <c r="AI31" i="2"/>
  <c r="AI30" i="2"/>
  <c r="AI26" i="2"/>
  <c r="AI25" i="2"/>
  <c r="AI23" i="2"/>
  <c r="AI22" i="2"/>
  <c r="AI20" i="2"/>
  <c r="AI17" i="2"/>
  <c r="AI14" i="2"/>
  <c r="AI10" i="2"/>
  <c r="AI7" i="2"/>
  <c r="AI6" i="2"/>
  <c r="AI5" i="2"/>
  <c r="AI3" i="2"/>
  <c r="AI211" i="2"/>
  <c r="AI197" i="2"/>
  <c r="AI194" i="2"/>
  <c r="AI179" i="2"/>
  <c r="AI169" i="2"/>
  <c r="AI153" i="2"/>
  <c r="AI151" i="2"/>
  <c r="AI130" i="2"/>
  <c r="AI111" i="2"/>
  <c r="AI108" i="2"/>
  <c r="AI104" i="2"/>
  <c r="AI99" i="2"/>
  <c r="AI55" i="2"/>
  <c r="AI49" i="2"/>
  <c r="AI24" i="2"/>
  <c r="AI9" i="2"/>
  <c r="AI207" i="2"/>
  <c r="AI205" i="2"/>
  <c r="AI187" i="2"/>
  <c r="AI186" i="2"/>
  <c r="AI184" i="2"/>
  <c r="AI181" i="2"/>
  <c r="AI170" i="2"/>
  <c r="AI161" i="2"/>
  <c r="AI159" i="2"/>
  <c r="AI156" i="2"/>
  <c r="AI155" i="2"/>
  <c r="AI145" i="2"/>
  <c r="AI136" i="2"/>
  <c r="AI121" i="2"/>
  <c r="AI116" i="2"/>
  <c r="AI114" i="2"/>
  <c r="AI110" i="2"/>
  <c r="AI94" i="2"/>
  <c r="AI92" i="2"/>
  <c r="AI87" i="2"/>
  <c r="AI86" i="2"/>
  <c r="AI80" i="2"/>
  <c r="AI75" i="2"/>
  <c r="AI74" i="2"/>
  <c r="AI73" i="2"/>
  <c r="AI68" i="2"/>
  <c r="AI67" i="2"/>
  <c r="AI65" i="2"/>
  <c r="AI59" i="2"/>
  <c r="AI58" i="2"/>
  <c r="AI54" i="2"/>
  <c r="AI48" i="2"/>
  <c r="AI40" i="2"/>
  <c r="AI36" i="2"/>
  <c r="AI27" i="2"/>
  <c r="AI21" i="2"/>
  <c r="AI19" i="2"/>
  <c r="AI18" i="2"/>
  <c r="AI12" i="2"/>
  <c r="AI8" i="2"/>
  <c r="AI4" i="2"/>
  <c r="AI212" i="2"/>
  <c r="AI209" i="2"/>
  <c r="AI208" i="2"/>
  <c r="AI204" i="2"/>
  <c r="AI198" i="2"/>
  <c r="AI195" i="2"/>
  <c r="AI193" i="2"/>
  <c r="AI192" i="2"/>
  <c r="AI190" i="2"/>
  <c r="AI182" i="2"/>
  <c r="AI173" i="2"/>
  <c r="AI168" i="2"/>
  <c r="AI165" i="2"/>
  <c r="AI160" i="2"/>
  <c r="AI158" i="2"/>
  <c r="AI154" i="2"/>
  <c r="AI147" i="2"/>
  <c r="AI146" i="2"/>
  <c r="AI138" i="2"/>
  <c r="AI135" i="2"/>
  <c r="AI132" i="2"/>
  <c r="AI128" i="2"/>
  <c r="AI119" i="2"/>
  <c r="AI118" i="2"/>
  <c r="AI106" i="2"/>
  <c r="AI105" i="2"/>
  <c r="AI101" i="2"/>
  <c r="AI98" i="2"/>
  <c r="AI97" i="2"/>
  <c r="AI93" i="2"/>
  <c r="AI90" i="2"/>
  <c r="AI89" i="2"/>
  <c r="AI88" i="2"/>
  <c r="AI85" i="2"/>
  <c r="AI72" i="2"/>
  <c r="AI66" i="2"/>
  <c r="AI52" i="2"/>
  <c r="AI46" i="2"/>
  <c r="AI41" i="2"/>
  <c r="AI34" i="2"/>
  <c r="AI29" i="2"/>
  <c r="AI16" i="2"/>
  <c r="AI15" i="2"/>
  <c r="AI13" i="2"/>
  <c r="AI11" i="2"/>
  <c r="AI2" i="2"/>
  <c r="AY217" i="2"/>
  <c r="AY216" i="2"/>
  <c r="AY214" i="2"/>
  <c r="AY212" i="2"/>
  <c r="AY211" i="2"/>
  <c r="AY209" i="2"/>
  <c r="AY207" i="2"/>
  <c r="AY206" i="2"/>
  <c r="AY203" i="2"/>
  <c r="AY202" i="2"/>
  <c r="AY199" i="2"/>
  <c r="AY197" i="2"/>
  <c r="AY195" i="2"/>
  <c r="AY193" i="2"/>
  <c r="AY192" i="2"/>
  <c r="AY191" i="2"/>
  <c r="AY189" i="2"/>
  <c r="AY188" i="2"/>
  <c r="AY187" i="2"/>
  <c r="AY185" i="2"/>
  <c r="AY184" i="2"/>
  <c r="AY182" i="2"/>
  <c r="AY181" i="2"/>
  <c r="AY180" i="2"/>
  <c r="AY179" i="2"/>
  <c r="AY178" i="2"/>
  <c r="AY176" i="2"/>
  <c r="AY175" i="2"/>
  <c r="AY173" i="2"/>
  <c r="AY172" i="2"/>
  <c r="AY171" i="2"/>
  <c r="AY170" i="2"/>
  <c r="AY169" i="2"/>
  <c r="AY165" i="2"/>
  <c r="AY164" i="2"/>
  <c r="AY163" i="2"/>
  <c r="AY162" i="2"/>
  <c r="AY161" i="2"/>
  <c r="AY158" i="2"/>
  <c r="AY156" i="2"/>
  <c r="AY155" i="2"/>
  <c r="AY153" i="2"/>
  <c r="AY152" i="2"/>
  <c r="AY151" i="2"/>
  <c r="AY149" i="2"/>
  <c r="AY148" i="2"/>
  <c r="AY147" i="2"/>
  <c r="AY146" i="2"/>
  <c r="AY145" i="2"/>
  <c r="AY142" i="2"/>
  <c r="AY141" i="2"/>
  <c r="AY139" i="2"/>
  <c r="AY138" i="2"/>
  <c r="AY136" i="2"/>
  <c r="AY135" i="2"/>
  <c r="AY132" i="2"/>
  <c r="AY128" i="2"/>
  <c r="AY127" i="2"/>
  <c r="AY126" i="2"/>
  <c r="AY125" i="2"/>
  <c r="AY124" i="2"/>
  <c r="AY123" i="2"/>
  <c r="AY120" i="2"/>
  <c r="AY119" i="2"/>
  <c r="AY118" i="2"/>
  <c r="AY116" i="2"/>
  <c r="AY143" i="2"/>
  <c r="AY115" i="2"/>
  <c r="AY113" i="2"/>
  <c r="AY111" i="2"/>
  <c r="AY110" i="2"/>
  <c r="AY109" i="2"/>
  <c r="AY108" i="2"/>
  <c r="AY107" i="2"/>
  <c r="AY106" i="2"/>
  <c r="AY104" i="2"/>
  <c r="AY102" i="2"/>
  <c r="AY101" i="2"/>
  <c r="AY100" i="2"/>
  <c r="AY99" i="2"/>
  <c r="AY98" i="2"/>
  <c r="AY97" i="2"/>
  <c r="AY94" i="2"/>
  <c r="AY93" i="2"/>
  <c r="AY92" i="2"/>
  <c r="AY91" i="2"/>
  <c r="AY90" i="2"/>
  <c r="AY89" i="2"/>
  <c r="AY87" i="2"/>
  <c r="AY86" i="2"/>
  <c r="AY85" i="2"/>
  <c r="AY83" i="2"/>
  <c r="AY82" i="2"/>
  <c r="AY81" i="2"/>
  <c r="AY79" i="2"/>
  <c r="AY76" i="2"/>
  <c r="AY75" i="2"/>
  <c r="AY74" i="2"/>
  <c r="AY73" i="2"/>
  <c r="AY72" i="2"/>
  <c r="AY70" i="2"/>
  <c r="AY68" i="2"/>
  <c r="AY67" i="2"/>
  <c r="AY66" i="2"/>
  <c r="AY64" i="2"/>
  <c r="AY63" i="2"/>
  <c r="AY60" i="2"/>
  <c r="AY59" i="2"/>
  <c r="AY58" i="2"/>
  <c r="AY57" i="2"/>
  <c r="AY56" i="2"/>
  <c r="AY55" i="2"/>
  <c r="AY52" i="2"/>
  <c r="AY51" i="2"/>
  <c r="AY49" i="2"/>
  <c r="AY48" i="2"/>
  <c r="AY47" i="2"/>
  <c r="AY45" i="2"/>
  <c r="AY44" i="2"/>
  <c r="AY43" i="2"/>
  <c r="AY40" i="2"/>
  <c r="AY39" i="2"/>
  <c r="AY38" i="2"/>
  <c r="AY35" i="2"/>
  <c r="AY34" i="2"/>
  <c r="AY33" i="2"/>
  <c r="AY32" i="2"/>
  <c r="AY31" i="2"/>
  <c r="AY30" i="2"/>
  <c r="AY29" i="2"/>
  <c r="AY25" i="2"/>
  <c r="AY24" i="2"/>
  <c r="AY23" i="2"/>
  <c r="AY22" i="2"/>
  <c r="AY21" i="2"/>
  <c r="AY20" i="2"/>
  <c r="AY17" i="2"/>
  <c r="AY16" i="2"/>
  <c r="AY14" i="2"/>
  <c r="AY13" i="2"/>
  <c r="AY12" i="2"/>
  <c r="AY10" i="2"/>
  <c r="AY9" i="2"/>
  <c r="AY7" i="2"/>
  <c r="AY6" i="2"/>
  <c r="AY5" i="2"/>
  <c r="AY4" i="2"/>
  <c r="AY2" i="2"/>
  <c r="AU217" i="2"/>
  <c r="AW217" i="2" s="1"/>
  <c r="AU216" i="2"/>
  <c r="AW216" i="2" s="1"/>
  <c r="AU215" i="2"/>
  <c r="AW215" i="2" s="1"/>
  <c r="AU214" i="2"/>
  <c r="AW214" i="2" s="1"/>
  <c r="AU212" i="2"/>
  <c r="AW212" i="2" s="1"/>
  <c r="AU211" i="2"/>
  <c r="AW211" i="2" s="1"/>
  <c r="AU209" i="2"/>
  <c r="AW209" i="2" s="1"/>
  <c r="AU208" i="2"/>
  <c r="AW208" i="2" s="1"/>
  <c r="AU207" i="2"/>
  <c r="AW207" i="2" s="1"/>
  <c r="AU206" i="2"/>
  <c r="AW206" i="2" s="1"/>
  <c r="AU205" i="2"/>
  <c r="AW205" i="2" s="1"/>
  <c r="AU204" i="2"/>
  <c r="AW204" i="2" s="1"/>
  <c r="AU203" i="2"/>
  <c r="AW203" i="2" s="1"/>
  <c r="AU202" i="2"/>
  <c r="AW202" i="2" s="1"/>
  <c r="AU199" i="2"/>
  <c r="AW199" i="2" s="1"/>
  <c r="AU198" i="2"/>
  <c r="AW198" i="2" s="1"/>
  <c r="AU197" i="2"/>
  <c r="AW197" i="2" s="1"/>
  <c r="AU196" i="2"/>
  <c r="AW196" i="2" s="1"/>
  <c r="AU195" i="2"/>
  <c r="AW195" i="2" s="1"/>
  <c r="AU194" i="2"/>
  <c r="AW194" i="2" s="1"/>
  <c r="AU193" i="2"/>
  <c r="AW193" i="2" s="1"/>
  <c r="AU192" i="2"/>
  <c r="AW192" i="2" s="1"/>
  <c r="AU191" i="2"/>
  <c r="AW191" i="2" s="1"/>
  <c r="AU190" i="2"/>
  <c r="AW190" i="2" s="1"/>
  <c r="AU189" i="2"/>
  <c r="AW189" i="2" s="1"/>
  <c r="AU188" i="2"/>
  <c r="AW188" i="2" s="1"/>
  <c r="AU187" i="2"/>
  <c r="AW187" i="2" s="1"/>
  <c r="AU186" i="2"/>
  <c r="AW186" i="2" s="1"/>
  <c r="AU185" i="2"/>
  <c r="AW185" i="2" s="1"/>
  <c r="AU184" i="2"/>
  <c r="AW184" i="2" s="1"/>
  <c r="AU182" i="2"/>
  <c r="AW182" i="2" s="1"/>
  <c r="AU181" i="2"/>
  <c r="AW181" i="2" s="1"/>
  <c r="AU180" i="2"/>
  <c r="AW180" i="2" s="1"/>
  <c r="AU179" i="2"/>
  <c r="AW179" i="2" s="1"/>
  <c r="AU178" i="2"/>
  <c r="AW178" i="2" s="1"/>
  <c r="AU177" i="2"/>
  <c r="AW177" i="2" s="1"/>
  <c r="AU176" i="2"/>
  <c r="AW176" i="2" s="1"/>
  <c r="AU175" i="2"/>
  <c r="AW175" i="2" s="1"/>
  <c r="AU173" i="2"/>
  <c r="AW173" i="2" s="1"/>
  <c r="AU172" i="2"/>
  <c r="AW172" i="2" s="1"/>
  <c r="AU171" i="2"/>
  <c r="AW171" i="2" s="1"/>
  <c r="AU170" i="2"/>
  <c r="AW170" i="2" s="1"/>
  <c r="AU169" i="2"/>
  <c r="AW169" i="2" s="1"/>
  <c r="AU168" i="2"/>
  <c r="AW168" i="2" s="1"/>
  <c r="AU167" i="2"/>
  <c r="AW167" i="2" s="1"/>
  <c r="AU165" i="2"/>
  <c r="AW165" i="2" s="1"/>
  <c r="AU164" i="2"/>
  <c r="AW164" i="2" s="1"/>
  <c r="AU163" i="2"/>
  <c r="AW163" i="2" s="1"/>
  <c r="AU162" i="2"/>
  <c r="AW162" i="2" s="1"/>
  <c r="AU161" i="2"/>
  <c r="AW161" i="2" s="1"/>
  <c r="AU160" i="2"/>
  <c r="AW160" i="2" s="1"/>
  <c r="AU159" i="2"/>
  <c r="AW159" i="2" s="1"/>
  <c r="AU158" i="2"/>
  <c r="AW158" i="2" s="1"/>
  <c r="AU156" i="2"/>
  <c r="AW156" i="2" s="1"/>
  <c r="AU155" i="2"/>
  <c r="AW155" i="2" s="1"/>
  <c r="AU154" i="2"/>
  <c r="AW154" i="2" s="1"/>
  <c r="AU153" i="2"/>
  <c r="AW153" i="2" s="1"/>
  <c r="AU152" i="2"/>
  <c r="AW152" i="2" s="1"/>
  <c r="AU151" i="2"/>
  <c r="AW151" i="2" s="1"/>
  <c r="AU150" i="2"/>
  <c r="AW150" i="2" s="1"/>
  <c r="AU149" i="2"/>
  <c r="AW149" i="2" s="1"/>
  <c r="AU148" i="2"/>
  <c r="AW148" i="2" s="1"/>
  <c r="AU147" i="2"/>
  <c r="AW147" i="2" s="1"/>
  <c r="AU146" i="2"/>
  <c r="AW146" i="2" s="1"/>
  <c r="AU145" i="2"/>
  <c r="AW145" i="2" s="1"/>
  <c r="AU142" i="2"/>
  <c r="AW142" i="2" s="1"/>
  <c r="AU141" i="2"/>
  <c r="AW141" i="2" s="1"/>
  <c r="AU140" i="2"/>
  <c r="AW140" i="2" s="1"/>
  <c r="AU139" i="2"/>
  <c r="AW139" i="2" s="1"/>
  <c r="AU138" i="2"/>
  <c r="AW138" i="2" s="1"/>
  <c r="AU136" i="2"/>
  <c r="AW136" i="2" s="1"/>
  <c r="AU135" i="2"/>
  <c r="AW135" i="2" s="1"/>
  <c r="AU133" i="2"/>
  <c r="AW133" i="2" s="1"/>
  <c r="AU132" i="2"/>
  <c r="AW132" i="2" s="1"/>
  <c r="AU131" i="2"/>
  <c r="AW131" i="2" s="1"/>
  <c r="AU130" i="2"/>
  <c r="AW130" i="2" s="1"/>
  <c r="AU129" i="2"/>
  <c r="AW129" i="2" s="1"/>
  <c r="AU128" i="2"/>
  <c r="AW128" i="2" s="1"/>
  <c r="AU127" i="2"/>
  <c r="AW127" i="2" s="1"/>
  <c r="AU126" i="2"/>
  <c r="AW126" i="2" s="1"/>
  <c r="AU125" i="2"/>
  <c r="AW125" i="2" s="1"/>
  <c r="AU124" i="2"/>
  <c r="AW124" i="2" s="1"/>
  <c r="AU123" i="2"/>
  <c r="AW123" i="2" s="1"/>
  <c r="AU121" i="2"/>
  <c r="AW121" i="2" s="1"/>
  <c r="AU120" i="2"/>
  <c r="AW120" i="2" s="1"/>
  <c r="AU119" i="2"/>
  <c r="AW119" i="2" s="1"/>
  <c r="AU118" i="2"/>
  <c r="AW118" i="2" s="1"/>
  <c r="AU117" i="2"/>
  <c r="AW117" i="2" s="1"/>
  <c r="AU116" i="2"/>
  <c r="AW116" i="2" s="1"/>
  <c r="AU143" i="2"/>
  <c r="AW143" i="2" s="1"/>
  <c r="AU115" i="2"/>
  <c r="AW115" i="2" s="1"/>
  <c r="AU114" i="2"/>
  <c r="AW114" i="2" s="1"/>
  <c r="AU113" i="2"/>
  <c r="AW113" i="2" s="1"/>
  <c r="AU111" i="2"/>
  <c r="AW111" i="2" s="1"/>
  <c r="AU110" i="2"/>
  <c r="AW110" i="2" s="1"/>
  <c r="AU109" i="2"/>
  <c r="AW109" i="2" s="1"/>
  <c r="AU108" i="2"/>
  <c r="AW108" i="2" s="1"/>
  <c r="AU107" i="2"/>
  <c r="AW107" i="2" s="1"/>
  <c r="AU106" i="2"/>
  <c r="AW106" i="2" s="1"/>
  <c r="AU105" i="2"/>
  <c r="AW105" i="2" s="1"/>
  <c r="AU104" i="2"/>
  <c r="AW104" i="2" s="1"/>
  <c r="AU102" i="2"/>
  <c r="AW102" i="2" s="1"/>
  <c r="AU101" i="2"/>
  <c r="AW101" i="2" s="1"/>
  <c r="AU100" i="2"/>
  <c r="AW100" i="2" s="1"/>
  <c r="AU99" i="2"/>
  <c r="AW99" i="2" s="1"/>
  <c r="AU98" i="2"/>
  <c r="AW98" i="2" s="1"/>
  <c r="AU97" i="2"/>
  <c r="AW97" i="2" s="1"/>
  <c r="AU96" i="2"/>
  <c r="AW96" i="2" s="1"/>
  <c r="AU95" i="2"/>
  <c r="AW95" i="2" s="1"/>
  <c r="AU94" i="2"/>
  <c r="AW94" i="2" s="1"/>
  <c r="AU93" i="2"/>
  <c r="AW93" i="2" s="1"/>
  <c r="AU92" i="2"/>
  <c r="AW92" i="2" s="1"/>
  <c r="AU91" i="2"/>
  <c r="AW91" i="2" s="1"/>
  <c r="AU90" i="2"/>
  <c r="AW90" i="2" s="1"/>
  <c r="AU89" i="2"/>
  <c r="AW89" i="2" s="1"/>
  <c r="AU88" i="2"/>
  <c r="AW88" i="2" s="1"/>
  <c r="AU87" i="2"/>
  <c r="AW87" i="2" s="1"/>
  <c r="AU86" i="2"/>
  <c r="AW86" i="2" s="1"/>
  <c r="AU85" i="2"/>
  <c r="AW85" i="2" s="1"/>
  <c r="AU84" i="2"/>
  <c r="AW84" i="2" s="1"/>
  <c r="AU83" i="2"/>
  <c r="AW83" i="2" s="1"/>
  <c r="AU82" i="2"/>
  <c r="AW82" i="2" s="1"/>
  <c r="AU81" i="2"/>
  <c r="AW81" i="2" s="1"/>
  <c r="AU80" i="2"/>
  <c r="AW80" i="2" s="1"/>
  <c r="AU79" i="2"/>
  <c r="AW79" i="2" s="1"/>
  <c r="AU77" i="2"/>
  <c r="AW77" i="2" s="1"/>
  <c r="AU76" i="2"/>
  <c r="AW76" i="2" s="1"/>
  <c r="AU75" i="2"/>
  <c r="AW75" i="2" s="1"/>
  <c r="AU74" i="2"/>
  <c r="AW74" i="2" s="1"/>
  <c r="AU73" i="2"/>
  <c r="AW73" i="2" s="1"/>
  <c r="AU72" i="2"/>
  <c r="AW72" i="2" s="1"/>
  <c r="AU71" i="2"/>
  <c r="AW71" i="2" s="1"/>
  <c r="AU70" i="2"/>
  <c r="AW70" i="2" s="1"/>
  <c r="AU68" i="2"/>
  <c r="AW68" i="2" s="1"/>
  <c r="AU67" i="2"/>
  <c r="AW67" i="2" s="1"/>
  <c r="AU66" i="2"/>
  <c r="AW66" i="2" s="1"/>
  <c r="AU65" i="2"/>
  <c r="AW65" i="2" s="1"/>
  <c r="AU64" i="2"/>
  <c r="AW64" i="2" s="1"/>
  <c r="AU63" i="2"/>
  <c r="AW63" i="2" s="1"/>
  <c r="AU62" i="2"/>
  <c r="AW62" i="2" s="1"/>
  <c r="AU61" i="2"/>
  <c r="AW61" i="2" s="1"/>
  <c r="AU60" i="2"/>
  <c r="AW60" i="2" s="1"/>
  <c r="AU59" i="2"/>
  <c r="AW59" i="2" s="1"/>
  <c r="AU58" i="2"/>
  <c r="AW58" i="2" s="1"/>
  <c r="AU57" i="2"/>
  <c r="AW57" i="2" s="1"/>
  <c r="AU56" i="2"/>
  <c r="AW56" i="2" s="1"/>
  <c r="AU55" i="2"/>
  <c r="AW55" i="2" s="1"/>
  <c r="AU54" i="2"/>
  <c r="AW54" i="2" s="1"/>
  <c r="AU53" i="2"/>
  <c r="AW53" i="2" s="1"/>
  <c r="AU52" i="2"/>
  <c r="AW52" i="2" s="1"/>
  <c r="AU51" i="2"/>
  <c r="AW51" i="2" s="1"/>
  <c r="AU50" i="2"/>
  <c r="AW50" i="2" s="1"/>
  <c r="AU49" i="2"/>
  <c r="AW49" i="2" s="1"/>
  <c r="AU48" i="2"/>
  <c r="AW48" i="2" s="1"/>
  <c r="AU47" i="2"/>
  <c r="AW47" i="2" s="1"/>
  <c r="AU46" i="2"/>
  <c r="AW46" i="2" s="1"/>
  <c r="AU45" i="2"/>
  <c r="AW45" i="2" s="1"/>
  <c r="AU44" i="2"/>
  <c r="AW44" i="2" s="1"/>
  <c r="AU43" i="2"/>
  <c r="AW43" i="2" s="1"/>
  <c r="AU42" i="2"/>
  <c r="AW42" i="2" s="1"/>
  <c r="AU40" i="2"/>
  <c r="AW40" i="2" s="1"/>
  <c r="AU39" i="2"/>
  <c r="AW39" i="2" s="1"/>
  <c r="AU38" i="2"/>
  <c r="AW38" i="2" s="1"/>
  <c r="AU36" i="2"/>
  <c r="AW36" i="2" s="1"/>
  <c r="AU35" i="2"/>
  <c r="AW35" i="2" s="1"/>
  <c r="AU34" i="2"/>
  <c r="AW34" i="2" s="1"/>
  <c r="AU33" i="2"/>
  <c r="AW33" i="2" s="1"/>
  <c r="AU32" i="2"/>
  <c r="AW32" i="2" s="1"/>
  <c r="AU31" i="2"/>
  <c r="AW31" i="2" s="1"/>
  <c r="AU30" i="2"/>
  <c r="AW30" i="2" s="1"/>
  <c r="AU29" i="2"/>
  <c r="AW29" i="2" s="1"/>
  <c r="AU27" i="2"/>
  <c r="AW27" i="2" s="1"/>
  <c r="AU26" i="2"/>
  <c r="AW26" i="2" s="1"/>
  <c r="AU25" i="2"/>
  <c r="AW25" i="2" s="1"/>
  <c r="AU24" i="2"/>
  <c r="AW24" i="2" s="1"/>
  <c r="AU23" i="2"/>
  <c r="AW23" i="2" s="1"/>
  <c r="AU22" i="2"/>
  <c r="AW22" i="2" s="1"/>
  <c r="AU21" i="2"/>
  <c r="AW21" i="2" s="1"/>
  <c r="AU20" i="2"/>
  <c r="AW20" i="2" s="1"/>
  <c r="AU19" i="2"/>
  <c r="AW19" i="2" s="1"/>
  <c r="AU18" i="2"/>
  <c r="AW18" i="2" s="1"/>
  <c r="AU17" i="2"/>
  <c r="AW17" i="2" s="1"/>
  <c r="AU16" i="2"/>
  <c r="AW16" i="2" s="1"/>
  <c r="AU15" i="2"/>
  <c r="AW15" i="2" s="1"/>
  <c r="AU14" i="2"/>
  <c r="AW14" i="2" s="1"/>
  <c r="AU13" i="2"/>
  <c r="AW13" i="2" s="1"/>
  <c r="AU12" i="2"/>
  <c r="AW12" i="2" s="1"/>
  <c r="AU11" i="2"/>
  <c r="AW11" i="2" s="1"/>
  <c r="AU10" i="2"/>
  <c r="AW10" i="2" s="1"/>
  <c r="AU9" i="2"/>
  <c r="AW9" i="2" s="1"/>
  <c r="AU8" i="2"/>
  <c r="AW8" i="2" s="1"/>
  <c r="AU7" i="2"/>
  <c r="AW7" i="2" s="1"/>
  <c r="AU6" i="2"/>
  <c r="AW6" i="2" s="1"/>
  <c r="AU5" i="2"/>
  <c r="AW5" i="2" s="1"/>
  <c r="AU4" i="2"/>
  <c r="AW4" i="2" s="1"/>
  <c r="AU3" i="2"/>
  <c r="AW3" i="2" s="1"/>
  <c r="AT217" i="2"/>
  <c r="AV217" i="2" s="1"/>
  <c r="AT216" i="2"/>
  <c r="AV216" i="2" s="1"/>
  <c r="AT215" i="2"/>
  <c r="AV215" i="2" s="1"/>
  <c r="AT214" i="2"/>
  <c r="AV214" i="2" s="1"/>
  <c r="AT212" i="2"/>
  <c r="AV212" i="2" s="1"/>
  <c r="AT211" i="2"/>
  <c r="AV211" i="2" s="1"/>
  <c r="AT209" i="2"/>
  <c r="AV209" i="2" s="1"/>
  <c r="AT208" i="2"/>
  <c r="AV208" i="2" s="1"/>
  <c r="AT207" i="2"/>
  <c r="AV207" i="2" s="1"/>
  <c r="AT206" i="2"/>
  <c r="AV206" i="2" s="1"/>
  <c r="AT205" i="2"/>
  <c r="AV205" i="2" s="1"/>
  <c r="AT204" i="2"/>
  <c r="AV204" i="2" s="1"/>
  <c r="AT203" i="2"/>
  <c r="AV203" i="2" s="1"/>
  <c r="AT202" i="2"/>
  <c r="AV202" i="2" s="1"/>
  <c r="AT199" i="2"/>
  <c r="AV199" i="2" s="1"/>
  <c r="AT198" i="2"/>
  <c r="AV198" i="2" s="1"/>
  <c r="AT197" i="2"/>
  <c r="AV197" i="2" s="1"/>
  <c r="AT196" i="2"/>
  <c r="AV196" i="2" s="1"/>
  <c r="AT195" i="2"/>
  <c r="AV195" i="2" s="1"/>
  <c r="AT194" i="2"/>
  <c r="AV194" i="2" s="1"/>
  <c r="AT193" i="2"/>
  <c r="AV193" i="2" s="1"/>
  <c r="AT192" i="2"/>
  <c r="AV192" i="2" s="1"/>
  <c r="AT191" i="2"/>
  <c r="AV191" i="2" s="1"/>
  <c r="AT190" i="2"/>
  <c r="AV190" i="2" s="1"/>
  <c r="AT189" i="2"/>
  <c r="AV189" i="2" s="1"/>
  <c r="AT188" i="2"/>
  <c r="AV188" i="2" s="1"/>
  <c r="AT187" i="2"/>
  <c r="AV187" i="2" s="1"/>
  <c r="AT186" i="2"/>
  <c r="AV186" i="2" s="1"/>
  <c r="AT185" i="2"/>
  <c r="AV185" i="2" s="1"/>
  <c r="AT184" i="2"/>
  <c r="AV184" i="2" s="1"/>
  <c r="AT182" i="2"/>
  <c r="AV182" i="2" s="1"/>
  <c r="AT181" i="2"/>
  <c r="AV181" i="2" s="1"/>
  <c r="AT180" i="2"/>
  <c r="AV180" i="2" s="1"/>
  <c r="AT179" i="2"/>
  <c r="AV179" i="2" s="1"/>
  <c r="AT178" i="2"/>
  <c r="AV178" i="2" s="1"/>
  <c r="AT177" i="2"/>
  <c r="AV177" i="2" s="1"/>
  <c r="AT176" i="2"/>
  <c r="AV176" i="2" s="1"/>
  <c r="AT175" i="2"/>
  <c r="AV175" i="2" s="1"/>
  <c r="AT173" i="2"/>
  <c r="AV173" i="2" s="1"/>
  <c r="AT172" i="2"/>
  <c r="AV172" i="2" s="1"/>
  <c r="AT171" i="2"/>
  <c r="AV171" i="2" s="1"/>
  <c r="AT170" i="2"/>
  <c r="AV170" i="2" s="1"/>
  <c r="AT169" i="2"/>
  <c r="AV169" i="2" s="1"/>
  <c r="AT168" i="2"/>
  <c r="AV168" i="2" s="1"/>
  <c r="AT167" i="2"/>
  <c r="AV167" i="2" s="1"/>
  <c r="AT165" i="2"/>
  <c r="AV165" i="2" s="1"/>
  <c r="AT164" i="2"/>
  <c r="AV164" i="2" s="1"/>
  <c r="AT163" i="2"/>
  <c r="AV163" i="2" s="1"/>
  <c r="AT162" i="2"/>
  <c r="AV162" i="2" s="1"/>
  <c r="AT161" i="2"/>
  <c r="AV161" i="2" s="1"/>
  <c r="AT160" i="2"/>
  <c r="AV160" i="2" s="1"/>
  <c r="AT159" i="2"/>
  <c r="AV159" i="2" s="1"/>
  <c r="AT158" i="2"/>
  <c r="AV158" i="2" s="1"/>
  <c r="AT156" i="2"/>
  <c r="AV156" i="2" s="1"/>
  <c r="AT155" i="2"/>
  <c r="AV155" i="2" s="1"/>
  <c r="AT154" i="2"/>
  <c r="AV154" i="2" s="1"/>
  <c r="AT153" i="2"/>
  <c r="AV153" i="2" s="1"/>
  <c r="AT152" i="2"/>
  <c r="AV152" i="2" s="1"/>
  <c r="AT151" i="2"/>
  <c r="AV151" i="2" s="1"/>
  <c r="AT150" i="2"/>
  <c r="AV150" i="2" s="1"/>
  <c r="AT149" i="2"/>
  <c r="AV149" i="2" s="1"/>
  <c r="AT148" i="2"/>
  <c r="AV148" i="2" s="1"/>
  <c r="AT147" i="2"/>
  <c r="AV147" i="2" s="1"/>
  <c r="AT146" i="2"/>
  <c r="AV146" i="2" s="1"/>
  <c r="AT145" i="2"/>
  <c r="AV145" i="2" s="1"/>
  <c r="AT142" i="2"/>
  <c r="AV142" i="2" s="1"/>
  <c r="AT141" i="2"/>
  <c r="AV141" i="2" s="1"/>
  <c r="AT140" i="2"/>
  <c r="AV140" i="2" s="1"/>
  <c r="AT139" i="2"/>
  <c r="AV139" i="2" s="1"/>
  <c r="AT138" i="2"/>
  <c r="AV138" i="2" s="1"/>
  <c r="AT136" i="2"/>
  <c r="AV136" i="2" s="1"/>
  <c r="AT135" i="2"/>
  <c r="AV135" i="2" s="1"/>
  <c r="AT133" i="2"/>
  <c r="AV133" i="2" s="1"/>
  <c r="AT132" i="2"/>
  <c r="AV132" i="2" s="1"/>
  <c r="AT131" i="2"/>
  <c r="AV131" i="2" s="1"/>
  <c r="AT130" i="2"/>
  <c r="AV130" i="2" s="1"/>
  <c r="AT129" i="2"/>
  <c r="AV129" i="2" s="1"/>
  <c r="AT128" i="2"/>
  <c r="AV128" i="2" s="1"/>
  <c r="AT127" i="2"/>
  <c r="AV127" i="2" s="1"/>
  <c r="AT126" i="2"/>
  <c r="AV126" i="2" s="1"/>
  <c r="AT125" i="2"/>
  <c r="AV125" i="2" s="1"/>
  <c r="AT124" i="2"/>
  <c r="AV124" i="2" s="1"/>
  <c r="AT123" i="2"/>
  <c r="AV123" i="2" s="1"/>
  <c r="AT121" i="2"/>
  <c r="AV121" i="2" s="1"/>
  <c r="AT120" i="2"/>
  <c r="AV120" i="2" s="1"/>
  <c r="AT119" i="2"/>
  <c r="AV119" i="2" s="1"/>
  <c r="AT118" i="2"/>
  <c r="AV118" i="2" s="1"/>
  <c r="AT117" i="2"/>
  <c r="AV117" i="2" s="1"/>
  <c r="AT116" i="2"/>
  <c r="AV116" i="2" s="1"/>
  <c r="AT143" i="2"/>
  <c r="AV143" i="2" s="1"/>
  <c r="AT115" i="2"/>
  <c r="AV115" i="2" s="1"/>
  <c r="AT114" i="2"/>
  <c r="AV114" i="2" s="1"/>
  <c r="AT113" i="2"/>
  <c r="AV113" i="2" s="1"/>
  <c r="AT111" i="2"/>
  <c r="AV111" i="2" s="1"/>
  <c r="AT110" i="2"/>
  <c r="AV110" i="2" s="1"/>
  <c r="AT109" i="2"/>
  <c r="AV109" i="2" s="1"/>
  <c r="AT108" i="2"/>
  <c r="AV108" i="2" s="1"/>
  <c r="AT107" i="2"/>
  <c r="AV107" i="2" s="1"/>
  <c r="AT106" i="2"/>
  <c r="AV106" i="2" s="1"/>
  <c r="AT105" i="2"/>
  <c r="AV105" i="2" s="1"/>
  <c r="AT104" i="2"/>
  <c r="AV104" i="2" s="1"/>
  <c r="AT102" i="2"/>
  <c r="AV102" i="2" s="1"/>
  <c r="AT101" i="2"/>
  <c r="AV101" i="2" s="1"/>
  <c r="AT100" i="2"/>
  <c r="AV100" i="2" s="1"/>
  <c r="AT99" i="2"/>
  <c r="AV99" i="2" s="1"/>
  <c r="AT98" i="2"/>
  <c r="AV98" i="2" s="1"/>
  <c r="AT97" i="2"/>
  <c r="AV97" i="2" s="1"/>
  <c r="AT96" i="2"/>
  <c r="AV96" i="2" s="1"/>
  <c r="AT95" i="2"/>
  <c r="AV95" i="2" s="1"/>
  <c r="AT94" i="2"/>
  <c r="AV94" i="2" s="1"/>
  <c r="AT93" i="2"/>
  <c r="AV93" i="2" s="1"/>
  <c r="AT92" i="2"/>
  <c r="AV92" i="2" s="1"/>
  <c r="AT91" i="2"/>
  <c r="AV91" i="2" s="1"/>
  <c r="AT90" i="2"/>
  <c r="AV90" i="2" s="1"/>
  <c r="AT89" i="2"/>
  <c r="AV89" i="2" s="1"/>
  <c r="AT88" i="2"/>
  <c r="AV88" i="2" s="1"/>
  <c r="AT87" i="2"/>
  <c r="AV87" i="2" s="1"/>
  <c r="AT86" i="2"/>
  <c r="AV86" i="2" s="1"/>
  <c r="AT85" i="2"/>
  <c r="AV85" i="2" s="1"/>
  <c r="AT84" i="2"/>
  <c r="AV84" i="2" s="1"/>
  <c r="AT83" i="2"/>
  <c r="AV83" i="2" s="1"/>
  <c r="AT82" i="2"/>
  <c r="AV82" i="2" s="1"/>
  <c r="AT81" i="2"/>
  <c r="AV81" i="2" s="1"/>
  <c r="AT80" i="2"/>
  <c r="AV80" i="2" s="1"/>
  <c r="AT79" i="2"/>
  <c r="AV79" i="2" s="1"/>
  <c r="AT77" i="2"/>
  <c r="AV77" i="2" s="1"/>
  <c r="AT76" i="2"/>
  <c r="AV76" i="2" s="1"/>
  <c r="AT75" i="2"/>
  <c r="AV75" i="2" s="1"/>
  <c r="AT74" i="2"/>
  <c r="AV74" i="2" s="1"/>
  <c r="AT73" i="2"/>
  <c r="AV73" i="2" s="1"/>
  <c r="AT72" i="2"/>
  <c r="AV72" i="2" s="1"/>
  <c r="AT71" i="2"/>
  <c r="AV71" i="2" s="1"/>
  <c r="AT70" i="2"/>
  <c r="AV70" i="2" s="1"/>
  <c r="AT68" i="2"/>
  <c r="AV68" i="2" s="1"/>
  <c r="AT67" i="2"/>
  <c r="AV67" i="2" s="1"/>
  <c r="AT66" i="2"/>
  <c r="AV66" i="2" s="1"/>
  <c r="AT65" i="2"/>
  <c r="AV65" i="2" s="1"/>
  <c r="AT64" i="2"/>
  <c r="AV64" i="2" s="1"/>
  <c r="AT63" i="2"/>
  <c r="AV63" i="2" s="1"/>
  <c r="AT62" i="2"/>
  <c r="AV62" i="2" s="1"/>
  <c r="AT61" i="2"/>
  <c r="AV61" i="2" s="1"/>
  <c r="AT60" i="2"/>
  <c r="AV60" i="2" s="1"/>
  <c r="AT59" i="2"/>
  <c r="AV59" i="2" s="1"/>
  <c r="AT58" i="2"/>
  <c r="AV58" i="2" s="1"/>
  <c r="AT57" i="2"/>
  <c r="AV57" i="2" s="1"/>
  <c r="AT56" i="2"/>
  <c r="AV56" i="2" s="1"/>
  <c r="AT55" i="2"/>
  <c r="AV55" i="2" s="1"/>
  <c r="AT54" i="2"/>
  <c r="AV54" i="2" s="1"/>
  <c r="AT53" i="2"/>
  <c r="AV53" i="2" s="1"/>
  <c r="AT52" i="2"/>
  <c r="AV52" i="2" s="1"/>
  <c r="AT51" i="2"/>
  <c r="AV51" i="2" s="1"/>
  <c r="AT50" i="2"/>
  <c r="AV50" i="2" s="1"/>
  <c r="AT49" i="2"/>
  <c r="AV49" i="2" s="1"/>
  <c r="AT48" i="2"/>
  <c r="AV48" i="2" s="1"/>
  <c r="AT47" i="2"/>
  <c r="AV47" i="2" s="1"/>
  <c r="AT46" i="2"/>
  <c r="AV46" i="2" s="1"/>
  <c r="AT45" i="2"/>
  <c r="AV45" i="2" s="1"/>
  <c r="AT44" i="2"/>
  <c r="AV44" i="2" s="1"/>
  <c r="AT43" i="2"/>
  <c r="AV43" i="2" s="1"/>
  <c r="AT42" i="2"/>
  <c r="AV42" i="2" s="1"/>
  <c r="AT40" i="2"/>
  <c r="AV40" i="2" s="1"/>
  <c r="AT39" i="2"/>
  <c r="AV39" i="2" s="1"/>
  <c r="AT38" i="2"/>
  <c r="AV38" i="2" s="1"/>
  <c r="AT36" i="2"/>
  <c r="AV36" i="2" s="1"/>
  <c r="AT35" i="2"/>
  <c r="AV35" i="2" s="1"/>
  <c r="AT34" i="2"/>
  <c r="AV34" i="2" s="1"/>
  <c r="AT33" i="2"/>
  <c r="AV33" i="2" s="1"/>
  <c r="AT32" i="2"/>
  <c r="AV32" i="2" s="1"/>
  <c r="AT31" i="2"/>
  <c r="AV31" i="2" s="1"/>
  <c r="AT30" i="2"/>
  <c r="AV30" i="2" s="1"/>
  <c r="AT29" i="2"/>
  <c r="AV29" i="2" s="1"/>
  <c r="AT27" i="2"/>
  <c r="AV27" i="2" s="1"/>
  <c r="AT26" i="2"/>
  <c r="AV26" i="2" s="1"/>
  <c r="AT25" i="2"/>
  <c r="AV25" i="2" s="1"/>
  <c r="AT24" i="2"/>
  <c r="AV24" i="2" s="1"/>
  <c r="AT23" i="2"/>
  <c r="AV23" i="2" s="1"/>
  <c r="AT22" i="2"/>
  <c r="AV22" i="2" s="1"/>
  <c r="AT21" i="2"/>
  <c r="AV21" i="2" s="1"/>
  <c r="AT20" i="2"/>
  <c r="AV20" i="2" s="1"/>
  <c r="AT19" i="2"/>
  <c r="AV19" i="2" s="1"/>
  <c r="AT18" i="2"/>
  <c r="AV18" i="2" s="1"/>
  <c r="AT17" i="2"/>
  <c r="AV17" i="2" s="1"/>
  <c r="AT16" i="2"/>
  <c r="AV16" i="2" s="1"/>
  <c r="AT15" i="2"/>
  <c r="AV15" i="2" s="1"/>
  <c r="AT14" i="2"/>
  <c r="AV14" i="2" s="1"/>
  <c r="AT13" i="2"/>
  <c r="AV13" i="2" s="1"/>
  <c r="AT12" i="2"/>
  <c r="AV12" i="2" s="1"/>
  <c r="AT11" i="2"/>
  <c r="AV11" i="2" s="1"/>
  <c r="AT10" i="2"/>
  <c r="AV10" i="2" s="1"/>
  <c r="AT9" i="2"/>
  <c r="AV9" i="2" s="1"/>
  <c r="AT8" i="2"/>
  <c r="AV8" i="2" s="1"/>
  <c r="AT7" i="2"/>
  <c r="AV7" i="2" s="1"/>
  <c r="AT6" i="2"/>
  <c r="AV6" i="2" s="1"/>
  <c r="AT5" i="2"/>
  <c r="AV5" i="2" s="1"/>
  <c r="AT4" i="2"/>
  <c r="AV4" i="2" s="1"/>
  <c r="AT3" i="2"/>
  <c r="AV3" i="2" s="1"/>
  <c r="AT2" i="2"/>
  <c r="AV2" i="2" s="1"/>
  <c r="AY160" i="2"/>
  <c r="AY159" i="2"/>
  <c r="AY131" i="2"/>
  <c r="AY77" i="2"/>
  <c r="AY36" i="2"/>
  <c r="AJ2" i="2" l="1"/>
  <c r="AK2" i="2"/>
  <c r="AJ128" i="2"/>
  <c r="AK128" i="2"/>
  <c r="AJ195" i="2"/>
  <c r="AK195" i="2"/>
  <c r="AJ54" i="2"/>
  <c r="AK54" i="2"/>
  <c r="AJ170" i="2"/>
  <c r="AK170" i="2"/>
  <c r="AJ5" i="2"/>
  <c r="AK5" i="2"/>
  <c r="AJ64" i="2"/>
  <c r="AK64" i="2"/>
  <c r="AJ109" i="2"/>
  <c r="AK109" i="2"/>
  <c r="AJ125" i="2"/>
  <c r="AK125" i="2"/>
  <c r="AJ141" i="2"/>
  <c r="AK141" i="2"/>
  <c r="AJ180" i="2"/>
  <c r="AK180" i="2"/>
  <c r="AJ11" i="2"/>
  <c r="AK11" i="2"/>
  <c r="AJ52" i="2"/>
  <c r="AK52" i="2"/>
  <c r="AJ97" i="2"/>
  <c r="AK97" i="2"/>
  <c r="AJ132" i="2"/>
  <c r="AK132" i="2"/>
  <c r="AJ165" i="2"/>
  <c r="AK165" i="2"/>
  <c r="AJ198" i="2"/>
  <c r="AK198" i="2"/>
  <c r="AJ18" i="2"/>
  <c r="AK18" i="2"/>
  <c r="AJ58" i="2"/>
  <c r="AK58" i="2"/>
  <c r="AJ80" i="2"/>
  <c r="AK80" i="2"/>
  <c r="AJ121" i="2"/>
  <c r="AK121" i="2"/>
  <c r="AJ181" i="2"/>
  <c r="AK181" i="2"/>
  <c r="AJ49" i="2"/>
  <c r="AK49" i="2"/>
  <c r="AJ153" i="2"/>
  <c r="AK153" i="2"/>
  <c r="AJ6" i="2"/>
  <c r="AK6" i="2"/>
  <c r="AJ25" i="2"/>
  <c r="AK25" i="2"/>
  <c r="AJ39" i="2"/>
  <c r="AK39" i="2"/>
  <c r="AJ53" i="2"/>
  <c r="AK53" i="2"/>
  <c r="AJ70" i="2"/>
  <c r="AK70" i="2"/>
  <c r="AJ84" i="2"/>
  <c r="AK84" i="2"/>
  <c r="AJ113" i="2"/>
  <c r="AK113" i="2"/>
  <c r="AJ126" i="2"/>
  <c r="AK126" i="2"/>
  <c r="AJ142" i="2"/>
  <c r="AK142" i="2"/>
  <c r="AJ167" i="2"/>
  <c r="AK167" i="2"/>
  <c r="AJ185" i="2"/>
  <c r="AK185" i="2"/>
  <c r="AJ206" i="2"/>
  <c r="AK206" i="2"/>
  <c r="AJ46" i="2"/>
  <c r="AK46" i="2"/>
  <c r="AJ116" i="2"/>
  <c r="AK116" i="2"/>
  <c r="AJ164" i="2"/>
  <c r="AK164" i="2"/>
  <c r="AJ13" i="2"/>
  <c r="AK13" i="2"/>
  <c r="AJ66" i="2"/>
  <c r="AK66" i="2"/>
  <c r="AJ98" i="2"/>
  <c r="AK98" i="2"/>
  <c r="AJ135" i="2"/>
  <c r="AK135" i="2"/>
  <c r="AJ168" i="2"/>
  <c r="AK168" i="2"/>
  <c r="AJ204" i="2"/>
  <c r="AK204" i="2"/>
  <c r="AJ19" i="2"/>
  <c r="AK19" i="2"/>
  <c r="AJ59" i="2"/>
  <c r="AK59" i="2"/>
  <c r="AJ86" i="2"/>
  <c r="AK86" i="2"/>
  <c r="AJ136" i="2"/>
  <c r="AK136" i="2"/>
  <c r="AJ184" i="2"/>
  <c r="AK184" i="2"/>
  <c r="AJ55" i="2"/>
  <c r="AK55" i="2"/>
  <c r="AJ169" i="2"/>
  <c r="AK169" i="2"/>
  <c r="AJ7" i="2"/>
  <c r="AK7" i="2"/>
  <c r="AJ26" i="2"/>
  <c r="AK26" i="2"/>
  <c r="AJ42" i="2"/>
  <c r="AK42" i="2"/>
  <c r="AJ56" i="2"/>
  <c r="AK56" i="2"/>
  <c r="AJ71" i="2"/>
  <c r="AK71" i="2"/>
  <c r="AJ91" i="2"/>
  <c r="AK91" i="2"/>
  <c r="AJ115" i="2"/>
  <c r="AK115" i="2"/>
  <c r="AJ127" i="2"/>
  <c r="AK127" i="2"/>
  <c r="AJ148" i="2"/>
  <c r="AK148" i="2"/>
  <c r="AJ171" i="2"/>
  <c r="AK171" i="2"/>
  <c r="AJ188" i="2"/>
  <c r="AK188" i="2"/>
  <c r="AJ214" i="2"/>
  <c r="AK214" i="2"/>
  <c r="AJ93" i="2"/>
  <c r="AK93" i="2"/>
  <c r="AJ15" i="2"/>
  <c r="AK15" i="2"/>
  <c r="AJ72" i="2"/>
  <c r="AK72" i="2"/>
  <c r="AJ101" i="2"/>
  <c r="AK101" i="2"/>
  <c r="AJ138" i="2"/>
  <c r="AK138" i="2"/>
  <c r="AJ173" i="2"/>
  <c r="AK173" i="2"/>
  <c r="AJ208" i="2"/>
  <c r="AK208" i="2"/>
  <c r="AJ21" i="2"/>
  <c r="AK21" i="2"/>
  <c r="AJ65" i="2"/>
  <c r="AK65" i="2"/>
  <c r="AJ87" i="2"/>
  <c r="AK87" i="2"/>
  <c r="AJ145" i="2"/>
  <c r="AK145" i="2"/>
  <c r="AJ186" i="2"/>
  <c r="AK186" i="2"/>
  <c r="AJ99" i="2"/>
  <c r="AK99" i="2"/>
  <c r="AJ179" i="2"/>
  <c r="AK179" i="2"/>
  <c r="AJ10" i="2"/>
  <c r="AK10" i="2"/>
  <c r="AJ30" i="2"/>
  <c r="AK30" i="2"/>
  <c r="AJ43" i="2"/>
  <c r="AK43" i="2"/>
  <c r="AJ57" i="2"/>
  <c r="AK57" i="2"/>
  <c r="AJ76" i="2"/>
  <c r="AK76" i="2"/>
  <c r="AJ95" i="2"/>
  <c r="AK95" i="2"/>
  <c r="AJ143" i="2"/>
  <c r="AK143" i="2"/>
  <c r="AJ129" i="2"/>
  <c r="AK129" i="2"/>
  <c r="AJ149" i="2"/>
  <c r="AK149" i="2"/>
  <c r="AJ172" i="2"/>
  <c r="AK172" i="2"/>
  <c r="AJ189" i="2"/>
  <c r="AK189" i="2"/>
  <c r="AJ215" i="2"/>
  <c r="AK215" i="2"/>
  <c r="AJ160" i="2"/>
  <c r="AK160" i="2"/>
  <c r="AJ12" i="2"/>
  <c r="AK12" i="2"/>
  <c r="AJ75" i="2"/>
  <c r="AK75" i="2"/>
  <c r="AJ24" i="2"/>
  <c r="AK24" i="2"/>
  <c r="AJ51" i="2"/>
  <c r="AK51" i="2"/>
  <c r="AJ83" i="2"/>
  <c r="AK83" i="2"/>
  <c r="AJ203" i="2"/>
  <c r="AK203" i="2"/>
  <c r="AJ16" i="2"/>
  <c r="AK16" i="2"/>
  <c r="AJ85" i="2"/>
  <c r="AK85" i="2"/>
  <c r="AJ105" i="2"/>
  <c r="AK105" i="2"/>
  <c r="AJ146" i="2"/>
  <c r="AK146" i="2"/>
  <c r="AJ182" i="2"/>
  <c r="AK182" i="2"/>
  <c r="AJ209" i="2"/>
  <c r="AK209" i="2"/>
  <c r="AJ27" i="2"/>
  <c r="AK27" i="2"/>
  <c r="AJ67" i="2"/>
  <c r="AK67" i="2"/>
  <c r="AJ92" i="2"/>
  <c r="AK92" i="2"/>
  <c r="AJ155" i="2"/>
  <c r="AK155" i="2"/>
  <c r="AJ187" i="2"/>
  <c r="AK187" i="2"/>
  <c r="AJ104" i="2"/>
  <c r="AK104" i="2"/>
  <c r="AJ194" i="2"/>
  <c r="AK194" i="2"/>
  <c r="AJ14" i="2"/>
  <c r="AK14" i="2"/>
  <c r="AJ31" i="2"/>
  <c r="AK31" i="2"/>
  <c r="AJ44" i="2"/>
  <c r="AK44" i="2"/>
  <c r="AJ60" i="2"/>
  <c r="AK60" i="2"/>
  <c r="AJ77" i="2"/>
  <c r="AK77" i="2"/>
  <c r="AJ96" i="2"/>
  <c r="AK96" i="2"/>
  <c r="AJ117" i="2"/>
  <c r="AK117" i="2"/>
  <c r="AJ131" i="2"/>
  <c r="AK131" i="2"/>
  <c r="AJ150" i="2"/>
  <c r="AK150" i="2"/>
  <c r="AJ175" i="2"/>
  <c r="AK175" i="2"/>
  <c r="AJ191" i="2"/>
  <c r="AK191" i="2"/>
  <c r="AJ216" i="2"/>
  <c r="AK216" i="2"/>
  <c r="AJ151" i="2"/>
  <c r="AK151" i="2"/>
  <c r="AJ29" i="2"/>
  <c r="AK29" i="2"/>
  <c r="AJ88" i="2"/>
  <c r="AK88" i="2"/>
  <c r="AJ106" i="2"/>
  <c r="AK106" i="2"/>
  <c r="AJ147" i="2"/>
  <c r="AK147" i="2"/>
  <c r="AJ190" i="2"/>
  <c r="AK190" i="2"/>
  <c r="AJ212" i="2"/>
  <c r="AK212" i="2"/>
  <c r="AJ36" i="2"/>
  <c r="AK36" i="2"/>
  <c r="AJ68" i="2"/>
  <c r="AK68" i="2"/>
  <c r="AJ94" i="2"/>
  <c r="AK94" i="2"/>
  <c r="AJ156" i="2"/>
  <c r="AK156" i="2"/>
  <c r="AJ205" i="2"/>
  <c r="AK205" i="2"/>
  <c r="AJ108" i="2"/>
  <c r="AK108" i="2"/>
  <c r="AJ197" i="2"/>
  <c r="AK197" i="2"/>
  <c r="AJ17" i="2"/>
  <c r="AK17" i="2"/>
  <c r="AJ32" i="2"/>
  <c r="AK32" i="2"/>
  <c r="AJ45" i="2"/>
  <c r="AK45" i="2"/>
  <c r="AJ61" i="2"/>
  <c r="AK61" i="2"/>
  <c r="AJ79" i="2"/>
  <c r="AK79" i="2"/>
  <c r="AJ100" i="2"/>
  <c r="AK100" i="2"/>
  <c r="AJ120" i="2"/>
  <c r="AK120" i="2"/>
  <c r="AJ133" i="2"/>
  <c r="AK133" i="2"/>
  <c r="AJ152" i="2"/>
  <c r="AK152" i="2"/>
  <c r="AJ176" i="2"/>
  <c r="AK176" i="2"/>
  <c r="AJ196" i="2"/>
  <c r="AK196" i="2"/>
  <c r="AJ217" i="2"/>
  <c r="AK217" i="2"/>
  <c r="AJ38" i="2"/>
  <c r="AK38" i="2"/>
  <c r="AJ34" i="2"/>
  <c r="AK34" i="2"/>
  <c r="AJ89" i="2"/>
  <c r="AK89" i="2"/>
  <c r="AJ118" i="2"/>
  <c r="AK118" i="2"/>
  <c r="AJ154" i="2"/>
  <c r="AK154" i="2"/>
  <c r="AJ192" i="2"/>
  <c r="AK192" i="2"/>
  <c r="AJ4" i="2"/>
  <c r="AK4" i="2"/>
  <c r="AJ40" i="2"/>
  <c r="AK40" i="2"/>
  <c r="AJ73" i="2"/>
  <c r="AK73" i="2"/>
  <c r="AJ110" i="2"/>
  <c r="AK110" i="2"/>
  <c r="AJ159" i="2"/>
  <c r="AK159" i="2"/>
  <c r="AJ207" i="2"/>
  <c r="AK207" i="2"/>
  <c r="AJ111" i="2"/>
  <c r="AK111" i="2"/>
  <c r="AJ211" i="2"/>
  <c r="AK211" i="2"/>
  <c r="AJ20" i="2"/>
  <c r="AK20" i="2"/>
  <c r="AJ33" i="2"/>
  <c r="AK33" i="2"/>
  <c r="AJ47" i="2"/>
  <c r="AK47" i="2"/>
  <c r="AJ62" i="2"/>
  <c r="AK62" i="2"/>
  <c r="AJ81" i="2"/>
  <c r="AK81" i="2"/>
  <c r="AJ102" i="2"/>
  <c r="AK102" i="2"/>
  <c r="AJ123" i="2"/>
  <c r="AK123" i="2"/>
  <c r="AJ139" i="2"/>
  <c r="AK139" i="2"/>
  <c r="AJ162" i="2"/>
  <c r="AK162" i="2"/>
  <c r="AJ177" i="2"/>
  <c r="AK177" i="2"/>
  <c r="AJ199" i="2"/>
  <c r="AK199" i="2"/>
  <c r="AJ23" i="2"/>
  <c r="AK23" i="2"/>
  <c r="AJ41" i="2"/>
  <c r="AK210" i="2"/>
  <c r="AK122" i="2"/>
  <c r="AK201" i="2"/>
  <c r="AK137" i="2"/>
  <c r="AK41" i="2"/>
  <c r="AK183" i="2"/>
  <c r="AK103" i="2"/>
  <c r="AK174" i="2"/>
  <c r="AK166" i="2"/>
  <c r="AK134" i="2"/>
  <c r="AK78" i="2"/>
  <c r="AK213" i="2"/>
  <c r="AK157" i="2"/>
  <c r="AK69" i="2"/>
  <c r="AK37" i="2"/>
  <c r="AK144" i="2"/>
  <c r="AK200" i="2"/>
  <c r="AK28" i="2"/>
  <c r="AK112" i="2"/>
  <c r="AJ90" i="2"/>
  <c r="AK90" i="2"/>
  <c r="AJ119" i="2"/>
  <c r="AK119" i="2"/>
  <c r="AJ158" i="2"/>
  <c r="AK158" i="2"/>
  <c r="AJ193" i="2"/>
  <c r="AK193" i="2"/>
  <c r="AJ8" i="2"/>
  <c r="AK8" i="2"/>
  <c r="AJ48" i="2"/>
  <c r="AK48" i="2"/>
  <c r="AJ74" i="2"/>
  <c r="AK74" i="2"/>
  <c r="AJ114" i="2"/>
  <c r="AK114" i="2"/>
  <c r="AJ161" i="2"/>
  <c r="AK161" i="2"/>
  <c r="AJ9" i="2"/>
  <c r="AK9" i="2"/>
  <c r="AJ130" i="2"/>
  <c r="AK130" i="2"/>
  <c r="AJ3" i="2"/>
  <c r="AK3" i="2"/>
  <c r="AJ22" i="2"/>
  <c r="AK22" i="2"/>
  <c r="AJ35" i="2"/>
  <c r="AK35" i="2"/>
  <c r="AJ50" i="2"/>
  <c r="AK50" i="2"/>
  <c r="AJ63" i="2"/>
  <c r="AK63" i="2"/>
  <c r="AJ82" i="2"/>
  <c r="AK82" i="2"/>
  <c r="AJ107" i="2"/>
  <c r="AK107" i="2"/>
  <c r="AJ124" i="2"/>
  <c r="AK124" i="2"/>
  <c r="AJ140" i="2"/>
  <c r="AK140" i="2"/>
  <c r="AJ163" i="2"/>
  <c r="AK163" i="2"/>
  <c r="AJ178" i="2"/>
  <c r="AK178" i="2"/>
  <c r="AJ202" i="2"/>
  <c r="AK202" i="2"/>
  <c r="AX194" i="2"/>
  <c r="AX8" i="2"/>
  <c r="AX3" i="2"/>
  <c r="AX11" i="2"/>
  <c r="AX19" i="2"/>
  <c r="AX27" i="2"/>
  <c r="AX36" i="2"/>
  <c r="AX46" i="2"/>
  <c r="AX54" i="2"/>
  <c r="AX62" i="2"/>
  <c r="AX71" i="2"/>
  <c r="AX80" i="2"/>
  <c r="AX88" i="2"/>
  <c r="AX96" i="2"/>
  <c r="AX105" i="2"/>
  <c r="AX114" i="2"/>
  <c r="AX121" i="2"/>
  <c r="AX130" i="2"/>
  <c r="AX140" i="2"/>
  <c r="AX150" i="2"/>
  <c r="AX159" i="2"/>
  <c r="AX168" i="2"/>
  <c r="AX177" i="2"/>
  <c r="AX186" i="2"/>
  <c r="AX205" i="2"/>
  <c r="AX215" i="2"/>
  <c r="AX198" i="2"/>
  <c r="AY3" i="2"/>
  <c r="AY88" i="2"/>
  <c r="AY215" i="2"/>
  <c r="AY140" i="2"/>
  <c r="AY130" i="2"/>
  <c r="AY11" i="2"/>
  <c r="AY114" i="2"/>
  <c r="AY177" i="2"/>
  <c r="AY194" i="2"/>
  <c r="AX2" i="2"/>
  <c r="AX10" i="2"/>
  <c r="AX18" i="2"/>
  <c r="AX26" i="2"/>
  <c r="AX35" i="2"/>
  <c r="AX45" i="2"/>
  <c r="AX53" i="2"/>
  <c r="AX61" i="2"/>
  <c r="AX70" i="2"/>
  <c r="AX79" i="2"/>
  <c r="AX87" i="2"/>
  <c r="AX95" i="2"/>
  <c r="AX104" i="2"/>
  <c r="AX113" i="2"/>
  <c r="AX120" i="2"/>
  <c r="AX129" i="2"/>
  <c r="AX139" i="2"/>
  <c r="AX149" i="2"/>
  <c r="AX158" i="2"/>
  <c r="AX167" i="2"/>
  <c r="AX176" i="2"/>
  <c r="AX185" i="2"/>
  <c r="AX204" i="2"/>
  <c r="AX214" i="2"/>
  <c r="AY19" i="2"/>
  <c r="AY205" i="2"/>
  <c r="AY62" i="2"/>
  <c r="AY105" i="2"/>
  <c r="AY168" i="2"/>
  <c r="AY186" i="2"/>
  <c r="AY46" i="2"/>
  <c r="AX146" i="2"/>
  <c r="AX197" i="2"/>
  <c r="AY54" i="2"/>
  <c r="AY80" i="2"/>
  <c r="AX193" i="2"/>
  <c r="AY27" i="2"/>
  <c r="AY71" i="2"/>
  <c r="AY96" i="2"/>
  <c r="AY121" i="2"/>
  <c r="AY150" i="2"/>
  <c r="AX196" i="2"/>
  <c r="AX14" i="2"/>
  <c r="AX22" i="2"/>
  <c r="AX40" i="2"/>
  <c r="AX49" i="2"/>
  <c r="AX57" i="2"/>
  <c r="AX65" i="2"/>
  <c r="AX74" i="2"/>
  <c r="AX83" i="2"/>
  <c r="AX91" i="2"/>
  <c r="AX108" i="2"/>
  <c r="AX116" i="2"/>
  <c r="AX125" i="2"/>
  <c r="AX133" i="2"/>
  <c r="AX145" i="2"/>
  <c r="AX208" i="2"/>
  <c r="AX7" i="2"/>
  <c r="AX15" i="2"/>
  <c r="AX23" i="2"/>
  <c r="AX32" i="2"/>
  <c r="AX42" i="2"/>
  <c r="AX50" i="2"/>
  <c r="AX58" i="2"/>
  <c r="AX66" i="2"/>
  <c r="AX75" i="2"/>
  <c r="AX84" i="2"/>
  <c r="AX92" i="2"/>
  <c r="AX100" i="2"/>
  <c r="AX109" i="2"/>
  <c r="AX117" i="2"/>
  <c r="AX126" i="2"/>
  <c r="AX135" i="2"/>
  <c r="AX154" i="2"/>
  <c r="AX163" i="2"/>
  <c r="AX172" i="2"/>
  <c r="AX181" i="2"/>
  <c r="AX190" i="2"/>
  <c r="AX199" i="2"/>
  <c r="AX209" i="2"/>
  <c r="AX6" i="2"/>
  <c r="AY8" i="2"/>
  <c r="AY15" i="2"/>
  <c r="AY26" i="2"/>
  <c r="AY50" i="2"/>
  <c r="AY61" i="2"/>
  <c r="AY84" i="2"/>
  <c r="AY95" i="2"/>
  <c r="AY117" i="2"/>
  <c r="AY129" i="2"/>
  <c r="AY154" i="2"/>
  <c r="AY167" i="2"/>
  <c r="AY190" i="2"/>
  <c r="AY204" i="2"/>
  <c r="AX9" i="2"/>
  <c r="AX17" i="2"/>
  <c r="AX25" i="2"/>
  <c r="AX34" i="2"/>
  <c r="AX44" i="2"/>
  <c r="AX52" i="2"/>
  <c r="AX60" i="2"/>
  <c r="AX68" i="2"/>
  <c r="AX77" i="2"/>
  <c r="AX86" i="2"/>
  <c r="AX94" i="2"/>
  <c r="AX102" i="2"/>
  <c r="AX111" i="2"/>
  <c r="AX119" i="2"/>
  <c r="AX128" i="2"/>
  <c r="AX138" i="2"/>
  <c r="AX148" i="2"/>
  <c r="AX156" i="2"/>
  <c r="AX165" i="2"/>
  <c r="AX175" i="2"/>
  <c r="AX184" i="2"/>
  <c r="AX192" i="2"/>
  <c r="AX203" i="2"/>
  <c r="AX212" i="2"/>
  <c r="AY18" i="2"/>
  <c r="AY42" i="2"/>
  <c r="AX31" i="2"/>
  <c r="AX99" i="2"/>
  <c r="AY53" i="2"/>
  <c r="AY65" i="2"/>
  <c r="AY133" i="2"/>
  <c r="AY208" i="2"/>
  <c r="AX12" i="2"/>
  <c r="AX20" i="2"/>
  <c r="AX29" i="2"/>
  <c r="AX38" i="2"/>
  <c r="AX47" i="2"/>
  <c r="AX55" i="2"/>
  <c r="AX63" i="2"/>
  <c r="AX72" i="2"/>
  <c r="AX81" i="2"/>
  <c r="AX89" i="2"/>
  <c r="AX97" i="2"/>
  <c r="AX106" i="2"/>
  <c r="AX115" i="2"/>
  <c r="AX123" i="2"/>
  <c r="AX131" i="2"/>
  <c r="AX141" i="2"/>
  <c r="AX151" i="2"/>
  <c r="AX160" i="2"/>
  <c r="AX169" i="2"/>
  <c r="AX178" i="2"/>
  <c r="AX187" i="2"/>
  <c r="AX195" i="2"/>
  <c r="AX206" i="2"/>
  <c r="AX216" i="2"/>
  <c r="AX153" i="2"/>
  <c r="AX162" i="2"/>
  <c r="AX171" i="2"/>
  <c r="AX180" i="2"/>
  <c r="AX189" i="2"/>
  <c r="AX147" i="2"/>
  <c r="AX155" i="2"/>
  <c r="AX164" i="2"/>
  <c r="AX173" i="2"/>
  <c r="AX182" i="2"/>
  <c r="AX191" i="2"/>
  <c r="AX16" i="2"/>
  <c r="AX24" i="2"/>
  <c r="AX33" i="2"/>
  <c r="AX43" i="2"/>
  <c r="AX51" i="2"/>
  <c r="AX59" i="2"/>
  <c r="AX67" i="2"/>
  <c r="AX76" i="2"/>
  <c r="AX85" i="2"/>
  <c r="AX93" i="2"/>
  <c r="AX101" i="2"/>
  <c r="AX110" i="2"/>
  <c r="AX118" i="2"/>
  <c r="AX127" i="2"/>
  <c r="AX136" i="2"/>
  <c r="AX202" i="2"/>
  <c r="AX211" i="2"/>
  <c r="AX4" i="2"/>
  <c r="AX142" i="2"/>
  <c r="AX152" i="2"/>
  <c r="AX161" i="2"/>
  <c r="AX170" i="2"/>
  <c r="AX179" i="2"/>
  <c r="AX188" i="2"/>
  <c r="AX5" i="2"/>
  <c r="AX13" i="2"/>
  <c r="AX21" i="2"/>
  <c r="AX30" i="2"/>
  <c r="AX39" i="2"/>
  <c r="AX48" i="2"/>
  <c r="AX56" i="2"/>
  <c r="AX64" i="2"/>
  <c r="AX73" i="2"/>
  <c r="AX82" i="2"/>
  <c r="AX90" i="2"/>
  <c r="AX98" i="2"/>
  <c r="AX107" i="2"/>
  <c r="AX143" i="2"/>
  <c r="AX124" i="2"/>
  <c r="AX132" i="2"/>
  <c r="AX207" i="2"/>
  <c r="AX217" i="2"/>
  <c r="AY196" i="2"/>
  <c r="AY198" i="2"/>
</calcChain>
</file>

<file path=xl/sharedStrings.xml><?xml version="1.0" encoding="utf-8"?>
<sst xmlns="http://schemas.openxmlformats.org/spreadsheetml/2006/main" count="5786" uniqueCount="548">
  <si>
    <t>Afghanistan</t>
  </si>
  <si>
    <t>South Asia</t>
  </si>
  <si>
    <t>Low income</t>
  </si>
  <si>
    <t>Albania</t>
  </si>
  <si>
    <t>Europe &amp; Central Asia</t>
  </si>
  <si>
    <t>Upper middle income</t>
  </si>
  <si>
    <t>Algeria</t>
  </si>
  <si>
    <t>Middle East &amp; North Africa</t>
  </si>
  <si>
    <t>Angola</t>
  </si>
  <si>
    <t>Sub-Saharan Africa</t>
  </si>
  <si>
    <t>Lower middle income</t>
  </si>
  <si>
    <t>Antigua and Barbuda</t>
  </si>
  <si>
    <t>Latin America &amp; Caribbean</t>
  </si>
  <si>
    <t>High income</t>
  </si>
  <si>
    <t>Armenia</t>
  </si>
  <si>
    <t>Azerbaijan</t>
  </si>
  <si>
    <t>Bahrain</t>
  </si>
  <si>
    <t>Bangladesh</t>
  </si>
  <si>
    <t>Barbados</t>
  </si>
  <si>
    <t>Belarus</t>
  </si>
  <si>
    <t>Bolivia</t>
  </si>
  <si>
    <t>Bosnia and Herzegovina</t>
  </si>
  <si>
    <t>Botswana</t>
  </si>
  <si>
    <t>East Asia &amp; Pacific</t>
  </si>
  <si>
    <t>Bulgaria</t>
  </si>
  <si>
    <t>Burundi</t>
  </si>
  <si>
    <t>Cambodia</t>
  </si>
  <si>
    <t>Cameroon</t>
  </si>
  <si>
    <t>Chad</t>
  </si>
  <si>
    <t>Chile</t>
  </si>
  <si>
    <t>China</t>
  </si>
  <si>
    <t>Cook Islands</t>
  </si>
  <si>
    <t>Costa Rica</t>
  </si>
  <si>
    <t>Croatia</t>
  </si>
  <si>
    <t>Cuba</t>
  </si>
  <si>
    <t>Cyprus</t>
  </si>
  <si>
    <t>Czech Republic</t>
  </si>
  <si>
    <t>Djibouti</t>
  </si>
  <si>
    <t>Dominican Republic</t>
  </si>
  <si>
    <t>Ecuador</t>
  </si>
  <si>
    <t>El Salvador</t>
  </si>
  <si>
    <t>Equatorial Guinea</t>
  </si>
  <si>
    <t>Estonia</t>
  </si>
  <si>
    <t>Ethiopia</t>
  </si>
  <si>
    <t>Fiji</t>
  </si>
  <si>
    <t>Gabon</t>
  </si>
  <si>
    <t>Georgia</t>
  </si>
  <si>
    <t>Ghana</t>
  </si>
  <si>
    <t>Greece</t>
  </si>
  <si>
    <t>Grenada</t>
  </si>
  <si>
    <t>Guinea</t>
  </si>
  <si>
    <t>Guyana</t>
  </si>
  <si>
    <t>Hungary</t>
  </si>
  <si>
    <t>Indonesia</t>
  </si>
  <si>
    <t>Iraq</t>
  </si>
  <si>
    <t>Italy</t>
  </si>
  <si>
    <t>Jamaica</t>
  </si>
  <si>
    <t>Kazakhstan</t>
  </si>
  <si>
    <t>Kenya</t>
  </si>
  <si>
    <t>Kiribati</t>
  </si>
  <si>
    <t>Kuwait</t>
  </si>
  <si>
    <t>Latvia</t>
  </si>
  <si>
    <t>Lebanon</t>
  </si>
  <si>
    <t>Lesotho</t>
  </si>
  <si>
    <t>Liberia</t>
  </si>
  <si>
    <t>Libya</t>
  </si>
  <si>
    <t>Lithuania</t>
  </si>
  <si>
    <t>Luxembourg</t>
  </si>
  <si>
    <t>Madagascar</t>
  </si>
  <si>
    <t>Malaysia</t>
  </si>
  <si>
    <t>Maldives</t>
  </si>
  <si>
    <t>Mali</t>
  </si>
  <si>
    <t>Malta</t>
  </si>
  <si>
    <t>Mauritania</t>
  </si>
  <si>
    <t>Moldova</t>
  </si>
  <si>
    <t>Mongolia</t>
  </si>
  <si>
    <t>Montenegro</t>
  </si>
  <si>
    <t>Morocco</t>
  </si>
  <si>
    <t>Mozambique</t>
  </si>
  <si>
    <t>Myanmar</t>
  </si>
  <si>
    <t>Namibia</t>
  </si>
  <si>
    <t>Nepal</t>
  </si>
  <si>
    <t>New Zealand</t>
  </si>
  <si>
    <t>Nigeria</t>
  </si>
  <si>
    <t>Niue</t>
  </si>
  <si>
    <t>Oman</t>
  </si>
  <si>
    <t>Pakistan</t>
  </si>
  <si>
    <t>Panama</t>
  </si>
  <si>
    <t>Papua New Guinea</t>
  </si>
  <si>
    <t>Peru</t>
  </si>
  <si>
    <t>Philippines</t>
  </si>
  <si>
    <t>Poland</t>
  </si>
  <si>
    <t>Portugal</t>
  </si>
  <si>
    <t>Qatar</t>
  </si>
  <si>
    <t>Romania</t>
  </si>
  <si>
    <t>Rwanda</t>
  </si>
  <si>
    <t>Samoa</t>
  </si>
  <si>
    <t>Saudi Arabia</t>
  </si>
  <si>
    <t>Senegal</t>
  </si>
  <si>
    <t>Serbia</t>
  </si>
  <si>
    <t>Seychelles</t>
  </si>
  <si>
    <t>Sierra Leone</t>
  </si>
  <si>
    <t>Singapore</t>
  </si>
  <si>
    <t>Slovenia</t>
  </si>
  <si>
    <t>Solomon Islands</t>
  </si>
  <si>
    <t>Somalia</t>
  </si>
  <si>
    <t>South Africa</t>
  </si>
  <si>
    <t>South Sudan</t>
  </si>
  <si>
    <t>Sri Lanka</t>
  </si>
  <si>
    <t>Sudan</t>
  </si>
  <si>
    <t>Suriname</t>
  </si>
  <si>
    <t>Tajikistan</t>
  </si>
  <si>
    <t>Tanzania</t>
  </si>
  <si>
    <t>Thailand</t>
  </si>
  <si>
    <t>Togo</t>
  </si>
  <si>
    <t>Tonga</t>
  </si>
  <si>
    <t>Trinidad and Tobago</t>
  </si>
  <si>
    <t>Tunisia</t>
  </si>
  <si>
    <t>Turkey</t>
  </si>
  <si>
    <t>Uganda</t>
  </si>
  <si>
    <t>Ukraine</t>
  </si>
  <si>
    <t>United Arab Emirates</t>
  </si>
  <si>
    <t>Uruguay</t>
  </si>
  <si>
    <t>Uzbekistan</t>
  </si>
  <si>
    <t>Vanuatu</t>
  </si>
  <si>
    <t>Vietnam</t>
  </si>
  <si>
    <t>Zambia</t>
  </si>
  <si>
    <t>Zimbabwe</t>
  </si>
  <si>
    <t>country</t>
  </si>
  <si>
    <t>region</t>
  </si>
  <si>
    <t>income</t>
  </si>
  <si>
    <t>mou-year</t>
  </si>
  <si>
    <t>Austria</t>
  </si>
  <si>
    <t>Benin</t>
  </si>
  <si>
    <t>Comoros</t>
  </si>
  <si>
    <t>Congo</t>
  </si>
  <si>
    <t>Dominica</t>
  </si>
  <si>
    <t>Niger</t>
  </si>
  <si>
    <t>Russia</t>
  </si>
  <si>
    <t>Kyrgyzstan</t>
  </si>
  <si>
    <t>Slovakia</t>
  </si>
  <si>
    <t>Egypt</t>
  </si>
  <si>
    <t>Yemen</t>
  </si>
  <si>
    <t>Brunei</t>
  </si>
  <si>
    <t>Gambia</t>
  </si>
  <si>
    <t>Iran</t>
  </si>
  <si>
    <t>Laos</t>
  </si>
  <si>
    <t>Micronesia</t>
  </si>
  <si>
    <t>Venezuela</t>
  </si>
  <si>
    <t>Burkina Faso</t>
  </si>
  <si>
    <t>mou-bri</t>
  </si>
  <si>
    <t>id</t>
  </si>
  <si>
    <t>na</t>
  </si>
  <si>
    <t>Argentina</t>
  </si>
  <si>
    <t>Paraguay</t>
  </si>
  <si>
    <t>Colombia</t>
  </si>
  <si>
    <t>Mexico</t>
  </si>
  <si>
    <t>Brazil</t>
  </si>
  <si>
    <t>Canada</t>
  </si>
  <si>
    <t>Australia</t>
  </si>
  <si>
    <t>Guatemala</t>
  </si>
  <si>
    <t>Nicaragua</t>
  </si>
  <si>
    <t>Honduras</t>
  </si>
  <si>
    <t>Belize</t>
  </si>
  <si>
    <t>Japan</t>
  </si>
  <si>
    <t>India</t>
  </si>
  <si>
    <t>Spain</t>
  </si>
  <si>
    <t>France</t>
  </si>
  <si>
    <t>Germany</t>
  </si>
  <si>
    <t>United Kingdom</t>
  </si>
  <si>
    <t>Denmark</t>
  </si>
  <si>
    <t>Switzerland</t>
  </si>
  <si>
    <t>Haiti</t>
  </si>
  <si>
    <t>Turkmenistan</t>
  </si>
  <si>
    <t>Iceland</t>
  </si>
  <si>
    <t>Belgium</t>
  </si>
  <si>
    <t>Netherlands</t>
  </si>
  <si>
    <t>Ireland</t>
  </si>
  <si>
    <t>Finland</t>
  </si>
  <si>
    <t>Norway</t>
  </si>
  <si>
    <t>Sweden</t>
  </si>
  <si>
    <t>Israel</t>
  </si>
  <si>
    <t>Syria</t>
  </si>
  <si>
    <t>Jordan</t>
  </si>
  <si>
    <t>Palestine</t>
  </si>
  <si>
    <t>United States</t>
  </si>
  <si>
    <t>Bahamas</t>
  </si>
  <si>
    <t>Central African Republic</t>
  </si>
  <si>
    <t>Eritrea</t>
  </si>
  <si>
    <t>Andorra</t>
  </si>
  <si>
    <t>Aruba</t>
  </si>
  <si>
    <t>Bermuda</t>
  </si>
  <si>
    <t>Cabo Verde</t>
  </si>
  <si>
    <t>Congo, Democratic Republic of the</t>
  </si>
  <si>
    <t>Côte d'Ivoire</t>
  </si>
  <si>
    <t>Curaçao</t>
  </si>
  <si>
    <t>Eswatini</t>
  </si>
  <si>
    <t>Greenland</t>
  </si>
  <si>
    <t>Guinea-Bissau</t>
  </si>
  <si>
    <t>Hong Kong, China</t>
  </si>
  <si>
    <t>Macao, China</t>
  </si>
  <si>
    <t>Malawi</t>
  </si>
  <si>
    <t>Mauritius</t>
  </si>
  <si>
    <t>Palau</t>
  </si>
  <si>
    <t>Saint Kitts and Nevis</t>
  </si>
  <si>
    <t>Saint Lucia</t>
  </si>
  <si>
    <t>Saint Vincent and the Grenadines</t>
  </si>
  <si>
    <t>Sao Tome and Principe</t>
  </si>
  <si>
    <t>Taipei, Chinese</t>
  </si>
  <si>
    <t>Timor</t>
  </si>
  <si>
    <t>Korea Republic</t>
  </si>
  <si>
    <t>Referencias</t>
  </si>
  <si>
    <t>Korea, Democratic People's Republic of</t>
  </si>
  <si>
    <t>Western Sahara</t>
  </si>
  <si>
    <t>Bhutan</t>
  </si>
  <si>
    <t>North America</t>
  </si>
  <si>
    <t>gdp-current</t>
  </si>
  <si>
    <t>recog-rpc-year</t>
  </si>
  <si>
    <t>recog-rpc-recent</t>
  </si>
  <si>
    <t>En rojo son datos de 2016 y espejo (Korea)</t>
  </si>
  <si>
    <t>Comercio: datos de Trade Map</t>
  </si>
  <si>
    <t>Miembros de BRI: CFI y Green Belt and Road</t>
  </si>
  <si>
    <t>Datos de comercio total son directos</t>
  </si>
  <si>
    <t>Comercio con China en azul: datos directos</t>
  </si>
  <si>
    <t>Datos de comercio con China son espejos</t>
  </si>
  <si>
    <t>projects-proposed-AIIB</t>
  </si>
  <si>
    <t>projects-approved-AIIB</t>
  </si>
  <si>
    <t>Proyectos AIIB no consideran los multipaíses</t>
  </si>
  <si>
    <t>members-AIIB</t>
  </si>
  <si>
    <t>total-amount-aiib</t>
  </si>
  <si>
    <t>Miembros AIIB: 1. Regionales. 2. No Regionales. 3. Prospectivos. 0. No miembros</t>
  </si>
  <si>
    <t>Reconocimiento a RPC: Wikipedia</t>
  </si>
  <si>
    <t>Las inversiones de BRI de AEI están incluídas en el total</t>
  </si>
  <si>
    <t>invest-bri0</t>
  </si>
  <si>
    <t>invest-bri1</t>
  </si>
  <si>
    <t>invest-total</t>
  </si>
  <si>
    <t>amount-invest-total</t>
  </si>
  <si>
    <t>Asociación Cooperativa 1; Asociación Estratégica 2; Asociación Estratégica Integral 3; Asociación Cooperativa Estratégica 4.</t>
  </si>
  <si>
    <t>partnerships-rpc</t>
  </si>
  <si>
    <t>Pueden faltar Asociaciones Estratégicas</t>
  </si>
  <si>
    <t>TLC: WTO Regional Trade Agreements DB</t>
  </si>
  <si>
    <t>tlc-rpc</t>
  </si>
  <si>
    <t>AFG</t>
  </si>
  <si>
    <t>ALB</t>
  </si>
  <si>
    <t>DZA</t>
  </si>
  <si>
    <t>AND</t>
  </si>
  <si>
    <t>AGO</t>
  </si>
  <si>
    <t>ATG</t>
  </si>
  <si>
    <t>ARG</t>
  </si>
  <si>
    <t>ARM</t>
  </si>
  <si>
    <t>ABW</t>
  </si>
  <si>
    <t>AUS</t>
  </si>
  <si>
    <t>AUT</t>
  </si>
  <si>
    <t>AZE</t>
  </si>
  <si>
    <t>BHS</t>
  </si>
  <si>
    <t>BHR</t>
  </si>
  <si>
    <t>BGD</t>
  </si>
  <si>
    <t>BRB</t>
  </si>
  <si>
    <t>BLR</t>
  </si>
  <si>
    <t>BEL</t>
  </si>
  <si>
    <t>BLZ</t>
  </si>
  <si>
    <t>BEN</t>
  </si>
  <si>
    <t>BMU</t>
  </si>
  <si>
    <t>BTN</t>
  </si>
  <si>
    <t>BOL</t>
  </si>
  <si>
    <t>BIH</t>
  </si>
  <si>
    <t>BWA</t>
  </si>
  <si>
    <t>BRA</t>
  </si>
  <si>
    <t>BRN</t>
  </si>
  <si>
    <t>BGR</t>
  </si>
  <si>
    <t>BFA</t>
  </si>
  <si>
    <t>BDI</t>
  </si>
  <si>
    <t>KHM</t>
  </si>
  <si>
    <t>CMR</t>
  </si>
  <si>
    <t>CAN</t>
  </si>
  <si>
    <t>CPV</t>
  </si>
  <si>
    <t>CAF</t>
  </si>
  <si>
    <t>TCD</t>
  </si>
  <si>
    <t>CHL</t>
  </si>
  <si>
    <t>CHN</t>
  </si>
  <si>
    <t>COL</t>
  </si>
  <si>
    <t>COM</t>
  </si>
  <si>
    <t>COK</t>
  </si>
  <si>
    <t>CRI</t>
  </si>
  <si>
    <t>HRV</t>
  </si>
  <si>
    <t>CUB</t>
  </si>
  <si>
    <t>CUW</t>
  </si>
  <si>
    <t>CYP</t>
  </si>
  <si>
    <t>CZE</t>
  </si>
  <si>
    <t>COD</t>
  </si>
  <si>
    <t>DNK</t>
  </si>
  <si>
    <t>DJI</t>
  </si>
  <si>
    <t>DMA</t>
  </si>
  <si>
    <t>DOM</t>
  </si>
  <si>
    <t>TLS</t>
  </si>
  <si>
    <t>ECU</t>
  </si>
  <si>
    <t>EGY</t>
  </si>
  <si>
    <t>SLV</t>
  </si>
  <si>
    <t>GNQ</t>
  </si>
  <si>
    <t>ERI</t>
  </si>
  <si>
    <t>EST</t>
  </si>
  <si>
    <t>ETH</t>
  </si>
  <si>
    <t>FJI</t>
  </si>
  <si>
    <t>FIN</t>
  </si>
  <si>
    <t>FRA</t>
  </si>
  <si>
    <t>GAB</t>
  </si>
  <si>
    <t>GMB</t>
  </si>
  <si>
    <t>GEO</t>
  </si>
  <si>
    <t>DEU</t>
  </si>
  <si>
    <t>GHA</t>
  </si>
  <si>
    <t>GRC</t>
  </si>
  <si>
    <t>GRL</t>
  </si>
  <si>
    <t>GRD</t>
  </si>
  <si>
    <t>GTM</t>
  </si>
  <si>
    <t>GIN</t>
  </si>
  <si>
    <t>GNB</t>
  </si>
  <si>
    <t>GUY</t>
  </si>
  <si>
    <t>HTI</t>
  </si>
  <si>
    <t>HND</t>
  </si>
  <si>
    <t>HKG</t>
  </si>
  <si>
    <t>HUN</t>
  </si>
  <si>
    <t>ISL</t>
  </si>
  <si>
    <t>IND</t>
  </si>
  <si>
    <t>IDN</t>
  </si>
  <si>
    <t>IRN</t>
  </si>
  <si>
    <t>IRQ</t>
  </si>
  <si>
    <t>IRL</t>
  </si>
  <si>
    <t>ISR</t>
  </si>
  <si>
    <t>ITA</t>
  </si>
  <si>
    <t>CIV</t>
  </si>
  <si>
    <t>JAM</t>
  </si>
  <si>
    <t>JPN</t>
  </si>
  <si>
    <t>JOR</t>
  </si>
  <si>
    <t>KAZ</t>
  </si>
  <si>
    <t>KEN</t>
  </si>
  <si>
    <t>KIR</t>
  </si>
  <si>
    <t>Kosovo</t>
  </si>
  <si>
    <t>KWT</t>
  </si>
  <si>
    <t>KGZ</t>
  </si>
  <si>
    <t>LAO</t>
  </si>
  <si>
    <t>LVA</t>
  </si>
  <si>
    <t>LBN</t>
  </si>
  <si>
    <t>LSO</t>
  </si>
  <si>
    <t>LBR</t>
  </si>
  <si>
    <t>LBY</t>
  </si>
  <si>
    <t>LTU</t>
  </si>
  <si>
    <t>LUX</t>
  </si>
  <si>
    <t>MAC</t>
  </si>
  <si>
    <t>MKD</t>
  </si>
  <si>
    <t>MDG</t>
  </si>
  <si>
    <t>MWI</t>
  </si>
  <si>
    <t>MYS</t>
  </si>
  <si>
    <t>MDV</t>
  </si>
  <si>
    <t>MLI</t>
  </si>
  <si>
    <t>MLT</t>
  </si>
  <si>
    <t>MRT</t>
  </si>
  <si>
    <t>MUS</t>
  </si>
  <si>
    <t>MEX</t>
  </si>
  <si>
    <t>FSM</t>
  </si>
  <si>
    <t>MDA</t>
  </si>
  <si>
    <t>MNG</t>
  </si>
  <si>
    <t>MNE</t>
  </si>
  <si>
    <t>MAR</t>
  </si>
  <si>
    <t>MOZ</t>
  </si>
  <si>
    <t>MMR</t>
  </si>
  <si>
    <t>NAM</t>
  </si>
  <si>
    <t>Nauru</t>
  </si>
  <si>
    <t>NPL</t>
  </si>
  <si>
    <t>NLD</t>
  </si>
  <si>
    <t>NZL</t>
  </si>
  <si>
    <t>NIC</t>
  </si>
  <si>
    <t>NER</t>
  </si>
  <si>
    <t>NGA</t>
  </si>
  <si>
    <t>NIU</t>
  </si>
  <si>
    <t>PRK</t>
  </si>
  <si>
    <t>NOR</t>
  </si>
  <si>
    <t>OMN</t>
  </si>
  <si>
    <t>PAK</t>
  </si>
  <si>
    <t>PLW</t>
  </si>
  <si>
    <t>PSE</t>
  </si>
  <si>
    <t>PAN</t>
  </si>
  <si>
    <t>PNG</t>
  </si>
  <si>
    <t>PRY</t>
  </si>
  <si>
    <t>PER</t>
  </si>
  <si>
    <t>PHL</t>
  </si>
  <si>
    <t>POL</t>
  </si>
  <si>
    <t>PRT</t>
  </si>
  <si>
    <t>QAT</t>
  </si>
  <si>
    <t>COG</t>
  </si>
  <si>
    <t>ROU</t>
  </si>
  <si>
    <t>RUS</t>
  </si>
  <si>
    <t>RWA</t>
  </si>
  <si>
    <t>KNA</t>
  </si>
  <si>
    <t>LCA</t>
  </si>
  <si>
    <t>VCT</t>
  </si>
  <si>
    <t>WSM</t>
  </si>
  <si>
    <t>STP</t>
  </si>
  <si>
    <t>SAU</t>
  </si>
  <si>
    <t>SEN</t>
  </si>
  <si>
    <t>SRB</t>
  </si>
  <si>
    <t>SYC</t>
  </si>
  <si>
    <t>SLE</t>
  </si>
  <si>
    <t>SGP</t>
  </si>
  <si>
    <t>SVK</t>
  </si>
  <si>
    <t>SVN</t>
  </si>
  <si>
    <t>SLB</t>
  </si>
  <si>
    <t>SOM</t>
  </si>
  <si>
    <t>ZAF</t>
  </si>
  <si>
    <t>KOR</t>
  </si>
  <si>
    <t>SSD</t>
  </si>
  <si>
    <t>ESP</t>
  </si>
  <si>
    <t>LKA</t>
  </si>
  <si>
    <t>SDN</t>
  </si>
  <si>
    <t>SUR</t>
  </si>
  <si>
    <t>SWZ</t>
  </si>
  <si>
    <t>SWE</t>
  </si>
  <si>
    <t>CHE</t>
  </si>
  <si>
    <t>SYR</t>
  </si>
  <si>
    <t>TWN</t>
  </si>
  <si>
    <t>TJK</t>
  </si>
  <si>
    <t>TZA</t>
  </si>
  <si>
    <t>THA</t>
  </si>
  <si>
    <t>TGO</t>
  </si>
  <si>
    <t>TON</t>
  </si>
  <si>
    <t>TTO</t>
  </si>
  <si>
    <t>TUN</t>
  </si>
  <si>
    <t>TUR</t>
  </si>
  <si>
    <t>TKM</t>
  </si>
  <si>
    <t>Tuvalu</t>
  </si>
  <si>
    <t>UGA</t>
  </si>
  <si>
    <t>UKR</t>
  </si>
  <si>
    <t>ARE</t>
  </si>
  <si>
    <t>GBR</t>
  </si>
  <si>
    <t>USA</t>
  </si>
  <si>
    <t>URY</t>
  </si>
  <si>
    <t>UZB</t>
  </si>
  <si>
    <t>VUT</t>
  </si>
  <si>
    <t>VEN</t>
  </si>
  <si>
    <t>VNM</t>
  </si>
  <si>
    <t>ESH</t>
  </si>
  <si>
    <t>YEM</t>
  </si>
  <si>
    <t>ZMB</t>
  </si>
  <si>
    <t>ZWE</t>
  </si>
  <si>
    <t>abv-country</t>
  </si>
  <si>
    <t>Marshall Islands</t>
  </si>
  <si>
    <t>St. Martin (French part)</t>
  </si>
  <si>
    <t>French Polynesia</t>
  </si>
  <si>
    <t>Guam</t>
  </si>
  <si>
    <t>North Macedonia</t>
  </si>
  <si>
    <t>Sint Maarten (Dutch part)</t>
  </si>
  <si>
    <t>No se incluye financiamiento al desarrollo para multipaís y regionales (AidData)</t>
  </si>
  <si>
    <t>VGB</t>
  </si>
  <si>
    <t>CYM</t>
  </si>
  <si>
    <t>PYF</t>
  </si>
  <si>
    <t>GUM</t>
  </si>
  <si>
    <t>XXK</t>
  </si>
  <si>
    <t>MHL</t>
  </si>
  <si>
    <t>NRU</t>
  </si>
  <si>
    <t>NCL</t>
  </si>
  <si>
    <t>MNP</t>
  </si>
  <si>
    <t>PRI</t>
  </si>
  <si>
    <t>MAF</t>
  </si>
  <si>
    <t>SXM</t>
  </si>
  <si>
    <t>TCA</t>
  </si>
  <si>
    <t>TUV</t>
  </si>
  <si>
    <t>VIR</t>
  </si>
  <si>
    <t>Reconocimiento RPC es 0 si no es reciente, 1 si es reciente, y 2 si aún no lo reconoce</t>
  </si>
  <si>
    <t>Vaticano</t>
  </si>
  <si>
    <t>VAT</t>
  </si>
  <si>
    <t>SMR</t>
  </si>
  <si>
    <t>San Marino</t>
  </si>
  <si>
    <t>LIE</t>
  </si>
  <si>
    <t>Liechtenstein</t>
  </si>
  <si>
    <t>British Virgin Islands</t>
  </si>
  <si>
    <t>Cayman Islands</t>
  </si>
  <si>
    <t>New Caledonia</t>
  </si>
  <si>
    <t>Northern Mariana Islands</t>
  </si>
  <si>
    <t>Puerto Rico</t>
  </si>
  <si>
    <t>Turks and Caicos Islands</t>
  </si>
  <si>
    <t>Virgin Islands (U.S.)</t>
  </si>
  <si>
    <t>PBI: datos del Banco Mundial del 2019</t>
  </si>
  <si>
    <t>Datos en rojo del PBI son del primer año previo</t>
  </si>
  <si>
    <t>amount-investbri0</t>
  </si>
  <si>
    <t>amount-investbri1</t>
  </si>
  <si>
    <t>Las inversiones de AEI son del 2005 al 2021.</t>
  </si>
  <si>
    <t>amount-approved-AIIB</t>
  </si>
  <si>
    <t>amount-proposed-AIIB</t>
  </si>
  <si>
    <t>amount-cancelled-AIIB</t>
  </si>
  <si>
    <t>projects-cancelled-AIIB</t>
  </si>
  <si>
    <t>projects-devfinance</t>
  </si>
  <si>
    <t>amount-devfinance</t>
  </si>
  <si>
    <t>amount-oda</t>
  </si>
  <si>
    <t>projects-off</t>
  </si>
  <si>
    <t>amount-off</t>
  </si>
  <si>
    <t>projects-oda</t>
  </si>
  <si>
    <t>projects-vague</t>
  </si>
  <si>
    <t>amount-vague</t>
  </si>
  <si>
    <t>total-projects-aiib</t>
  </si>
  <si>
    <t>Datos comerciales son del 2019</t>
  </si>
  <si>
    <t>imports-rpc</t>
  </si>
  <si>
    <t>exports-rpc</t>
  </si>
  <si>
    <t>balance-rpc</t>
  </si>
  <si>
    <t>trade-rpc</t>
  </si>
  <si>
    <t>imports-total</t>
  </si>
  <si>
    <t>exports-total</t>
  </si>
  <si>
    <t>balance-total</t>
  </si>
  <si>
    <t>trade-total</t>
  </si>
  <si>
    <t>%imports-rpc</t>
  </si>
  <si>
    <t>%exports-rpc</t>
  </si>
  <si>
    <t>%trade-rpc</t>
  </si>
  <si>
    <t>All: porcentaje del monto sobre el total de esa categoría.</t>
  </si>
  <si>
    <t>%total/GDP-aiib</t>
  </si>
  <si>
    <t>%total/all-aiib</t>
  </si>
  <si>
    <t>%invest/all-total</t>
  </si>
  <si>
    <t>%invest/GDP-total</t>
  </si>
  <si>
    <t>%investbri1/GDP</t>
  </si>
  <si>
    <t>%investbri0/GDP</t>
  </si>
  <si>
    <t>%vague/GDP</t>
  </si>
  <si>
    <t>%off/GDP</t>
  </si>
  <si>
    <t>%oda/GDP</t>
  </si>
  <si>
    <t>%devfinance/GDP</t>
  </si>
  <si>
    <t>%trade/GDP-rpc</t>
  </si>
  <si>
    <t>%investbri1/all</t>
  </si>
  <si>
    <t>%investbri0/all</t>
  </si>
  <si>
    <t>La intensidad comercial bilateral mide la importancia de los productos exportados o importados en el mercado del país socio. En ese sentido, este indicador no sólo mide el flujo de comercio de dos vías, sino, además, cuantifica la importancia de los bienes comerciados para el mercado del país socio.</t>
  </si>
  <si>
    <t>Aclaración: Las tasas obtenidas de inversión sobre gdp (incluyendo las de aiib) y financiamiento sobre gdp son ilusorias. Estas erogaciones no son flujos anuales (como sí lo es el gdp), sino acumulación en un periodo determinado, y no necesariamente están a dólares constantes. Se podría dividir estas erogaciones en los años del periodo para tratar de convertirlas a flujo.</t>
  </si>
  <si>
    <t>Inversiones: AEI (2005 al 2021)</t>
  </si>
  <si>
    <t>Financiamiento al Desarrollo: AIDData (2000-2017). No incluye países de altos ingresos (sí cubre algunos que cayeron en esa categoría durante el relevamiento)</t>
  </si>
  <si>
    <t>invest/year</t>
  </si>
  <si>
    <t>%invest/year/GDP</t>
  </si>
  <si>
    <t xml:space="preserve">Intestity Index: Zhang, Ming 1995 Major Powers at a Crossroads: Economic Interdependence and an Asia Pacific Security Community, Boulder, Colo., Lynne Rienner. </t>
  </si>
  <si>
    <t>intensity-imports-rpc</t>
  </si>
  <si>
    <t>intensity-exports-rpc</t>
  </si>
  <si>
    <t>devfinance/year</t>
  </si>
  <si>
    <t>%devfinance/year/GDP</t>
  </si>
  <si>
    <t>(Todas)</t>
  </si>
  <si>
    <t>Cuenta de mou-bri</t>
  </si>
  <si>
    <t>Total general</t>
  </si>
  <si>
    <t>(Varios elementos)</t>
  </si>
  <si>
    <t>Suma de amount-investbri1</t>
  </si>
  <si>
    <t>Suma de amount-investbri0</t>
  </si>
  <si>
    <t>Suma de amount-invest-total</t>
  </si>
  <si>
    <t>Cuenta de trade-rpc</t>
  </si>
  <si>
    <t>Suma de trade-rpc</t>
  </si>
  <si>
    <t>Suma de imports-rpc</t>
  </si>
  <si>
    <t>Suma de exports-rpc</t>
  </si>
  <si>
    <t>Suma de balance-rpc</t>
  </si>
  <si>
    <t>Suma de amount-devfinance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</si>
</sst>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00_-;\-* #,##0.000_-;_-* &quot;-&quot;??_-;_-@_-"/>
  </numFmts>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theme="1"/>
      <name val="Calibri"/>
      <family val="2"/>
      <scheme val="minor"/>
    </font>
    <font>
      <sz val="11"/>
      <color rgb="FF0070C0"/>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4" fillId="0" borderId="0" applyFont="0" applyFill="0" applyBorder="0" applyAlignment="0" applyProtection="0"/>
  </cellStyleXfs>
  <cellXfs count="44">
    <xf numFmtId="0" fontId="0" fillId="0" borderId="0" xfId="0"/>
    <xf numFmtId="0" fontId="2" fillId="0" borderId="0" xfId="0" applyFont="1" applyAlignment="1">
      <alignment horizontal="left"/>
    </xf>
    <xf numFmtId="0" fontId="0" fillId="0" borderId="0" xfId="0" applyAlignment="1">
      <alignment horizontal="left"/>
    </xf>
    <xf numFmtId="0" fontId="3" fillId="0" borderId="0" xfId="0" applyFont="1" applyAlignment="1">
      <alignment horizontal="left"/>
    </xf>
    <xf numFmtId="164" fontId="0" fillId="0" borderId="0" xfId="1" applyNumberFormat="1" applyFont="1" applyAlignment="1">
      <alignment horizontal="left"/>
    </xf>
    <xf numFmtId="43" fontId="0" fillId="0" borderId="0" xfId="1" applyNumberFormat="1" applyFont="1" applyAlignment="1">
      <alignment horizontal="left"/>
    </xf>
    <xf numFmtId="164" fontId="2" fillId="0" borderId="0" xfId="1" applyNumberFormat="1" applyFont="1" applyAlignment="1">
      <alignment horizontal="left"/>
    </xf>
    <xf numFmtId="164" fontId="1" fillId="0" borderId="0" xfId="1" applyNumberFormat="1" applyFont="1" applyAlignment="1">
      <alignment horizontal="left"/>
    </xf>
    <xf numFmtId="164" fontId="3" fillId="0" borderId="0" xfId="1" applyNumberFormat="1" applyFont="1" applyAlignment="1">
      <alignment horizontal="left"/>
    </xf>
    <xf numFmtId="0" fontId="2" fillId="0" borderId="0" xfId="0" applyFont="1"/>
    <xf numFmtId="43" fontId="0" fillId="0" borderId="0" xfId="0" applyNumberFormat="1" applyAlignment="1">
      <alignment horizontal="left"/>
    </xf>
    <xf numFmtId="0" fontId="0" fillId="0" borderId="0" xfId="0" applyAlignment="1">
      <alignment horizontal="left" vertical="top"/>
    </xf>
    <xf numFmtId="164" fontId="0" fillId="0" borderId="0" xfId="0" applyNumberFormat="1" applyAlignment="1">
      <alignment horizontal="left"/>
    </xf>
    <xf numFmtId="164" fontId="3" fillId="0" borderId="0" xfId="0" applyNumberFormat="1" applyFont="1" applyAlignment="1">
      <alignment horizontal="left"/>
    </xf>
    <xf numFmtId="164" fontId="5" fillId="0" borderId="0" xfId="1" applyNumberFormat="1" applyFont="1" applyAlignment="1">
      <alignment horizontal="left"/>
    </xf>
    <xf numFmtId="43" fontId="0" fillId="0" borderId="0" xfId="1" applyFont="1" applyAlignment="1">
      <alignment horizontal="left"/>
    </xf>
    <xf numFmtId="0" fontId="0" fillId="0" borderId="0" xfId="0" applyAlignment="1">
      <alignment horizontal="left"/>
    </xf>
    <xf numFmtId="0" fontId="0" fillId="0" borderId="0" xfId="0"/>
    <xf numFmtId="0" fontId="0" fillId="0" borderId="0" xfId="0" applyAlignment="1">
      <alignment horizontal="left"/>
    </xf>
    <xf numFmtId="164" fontId="0" fillId="0" borderId="0" xfId="1" applyNumberFormat="1" applyFont="1"/>
    <xf numFmtId="164" fontId="1" fillId="0" borderId="0" xfId="1" applyNumberFormat="1" applyFont="1"/>
    <xf numFmtId="164" fontId="5" fillId="0" borderId="0" xfId="1" applyNumberFormat="1" applyFont="1"/>
    <xf numFmtId="0" fontId="3" fillId="0" borderId="0" xfId="0" applyFont="1"/>
    <xf numFmtId="0" fontId="6" fillId="0" borderId="0" xfId="0" applyFont="1"/>
    <xf numFmtId="0" fontId="0" fillId="0" borderId="0" xfId="0" applyAlignment="1">
      <alignment horizontal="right"/>
    </xf>
    <xf numFmtId="0" fontId="6" fillId="0" borderId="0" xfId="0" applyFont="1" applyAlignment="1">
      <alignment horizontal="left"/>
    </xf>
    <xf numFmtId="165" fontId="0" fillId="0" borderId="0" xfId="1" applyNumberFormat="1" applyFont="1" applyAlignment="1">
      <alignment horizontal="left"/>
    </xf>
    <xf numFmtId="164" fontId="0" fillId="0" borderId="0" xfId="1" applyNumberFormat="1" applyFont="1" applyAlignment="1">
      <alignment horizontal="left" vertical="top"/>
    </xf>
    <xf numFmtId="1" fontId="0" fillId="0" borderId="0" xfId="1" applyNumberFormat="1" applyFont="1" applyAlignment="1">
      <alignment horizontal="right"/>
    </xf>
    <xf numFmtId="164" fontId="0" fillId="0" borderId="0" xfId="1" applyNumberFormat="1" applyFont="1" applyAlignment="1">
      <alignment horizontal="right"/>
    </xf>
    <xf numFmtId="0" fontId="2" fillId="0" borderId="0" xfId="0" applyFont="1" applyAlignment="1">
      <alignment vertical="center" wrapText="1"/>
    </xf>
    <xf numFmtId="0" fontId="0" fillId="0" borderId="0" xfId="0" applyAlignment="1">
      <alignment vertical="center" wrapText="1"/>
    </xf>
    <xf numFmtId="43" fontId="0" fillId="0" borderId="0" xfId="1" applyNumberFormat="1" applyFont="1"/>
    <xf numFmtId="43" fontId="2" fillId="0" borderId="0" xfId="1" applyNumberFormat="1" applyFont="1"/>
    <xf numFmtId="164" fontId="0" fillId="0" borderId="0" xfId="0" applyNumberFormat="1"/>
    <xf numFmtId="43" fontId="0" fillId="0" borderId="0" xfId="0" applyNumberFormat="1"/>
    <xf numFmtId="43" fontId="2" fillId="0" borderId="0" xfId="1" applyNumberFormat="1" applyFont="1" applyFill="1"/>
    <xf numFmtId="0" fontId="2" fillId="0" borderId="0" xfId="0" applyFont="1" applyFill="1" applyAlignment="1">
      <alignment horizontal="left"/>
    </xf>
    <xf numFmtId="0" fontId="6" fillId="0" borderId="0" xfId="0" applyFont="1" applyFill="1"/>
    <xf numFmtId="0" fontId="0" fillId="0" borderId="0" xfId="1" applyNumberFormat="1" applyFont="1"/>
    <xf numFmtId="0" fontId="0" fillId="0" borderId="0" xfId="0" applyNumberFormat="1"/>
    <xf numFmtId="0" fontId="0" fillId="0" borderId="0" xfId="0" pivotButton="1"/>
    <xf numFmtId="164" fontId="2" fillId="0" borderId="0" xfId="1" applyNumberFormat="1" applyFont="1" applyFill="1"/>
    <xf numFmtId="164" fontId="0" fillId="0" borderId="0" xfId="0" pivotButton="1" applyNumberFormat="1"/>
  </cellXfs>
  <cellStyles count="2">
    <cellStyle name="Millares" xfId="1" builtinId="3"/>
    <cellStyle name="Normal" xfId="0" builtinId="0"/>
  </cellStyles>
  <dxfs count="44">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7" formatCode="_-* #,##0.0_-;\-* #,##0.0_-;_-* &quot;-&quot;??_-;_-@_-"/>
    </dxf>
    <dxf>
      <numFmt numFmtId="35" formatCode="_-* #,##0.00_-;\-* #,##0.00_-;_-* &quot;-&quot;??_-;_-@_-"/>
    </dxf>
    <dxf>
      <numFmt numFmtId="167" formatCode="_-* #,##0.0_-;\-* #,##0.0_-;_-* &quot;-&quot;??_-;_-@_-"/>
    </dxf>
    <dxf>
      <numFmt numFmtId="164" formatCode="_-* #,##0_-;\-* #,##0_-;_-* &quot;-&quot;??_-;_-@_-"/>
    </dxf>
    <dxf>
      <numFmt numFmtId="167" formatCode="_-* #,##0.0_-;\-* #,##0.0_-;_-* &quot;-&quot;??_-;_-@_-"/>
    </dxf>
    <dxf>
      <numFmt numFmtId="35" formatCode="_-* #,##0.00_-;\-* #,##0.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7" formatCode="_-* #,##0.0_-;\-* #,##0.0_-;_-* &quot;-&quot;??_-;_-@_-"/>
    </dxf>
    <dxf>
      <numFmt numFmtId="164" formatCode="_-* #,##0_-;\-* #,##0_-;_-* &quot;-&quot;??_-;_-@_-"/>
    </dxf>
    <dxf>
      <numFmt numFmtId="167" formatCode="_-* #,##0.0_-;\-* #,##0.0_-;_-* &quot;-&quot;??_-;_-@_-"/>
    </dxf>
    <dxf>
      <numFmt numFmtId="35" formatCode="_-* #,##0.00_-;\-* #,##0.00_-;_-* &quot;-&quot;??_-;_-@_-"/>
    </dxf>
    <dxf>
      <numFmt numFmtId="35" formatCode="_-* #,##0.00_-;\-* #,##0.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0"/>
          <c:order val="0"/>
          <c:tx>
            <c:strRef>
              <c:f>Data2!$Z$1</c:f>
              <c:strCache>
                <c:ptCount val="1"/>
                <c:pt idx="0">
                  <c:v> %invest/year/GDP </c:v>
                </c:pt>
              </c:strCache>
            </c:strRef>
          </c:tx>
          <c:spPr>
            <a:ln w="19050" cap="rnd">
              <a:noFill/>
              <a:round/>
            </a:ln>
            <a:effectLst/>
          </c:spPr>
          <c:marker>
            <c:symbol val="circle"/>
            <c:size val="5"/>
            <c:spPr>
              <a:solidFill>
                <a:schemeClr val="accent1"/>
              </a:solidFill>
              <a:ln w="9525">
                <a:solidFill>
                  <a:schemeClr val="accent1"/>
                </a:solidFill>
              </a:ln>
              <a:effectLst/>
            </c:spPr>
          </c:marker>
          <c:xVal>
            <c:numRef>
              <c:f>Data2!$H$2:$H$217</c:f>
              <c:numCache>
                <c:formatCode>General</c:formatCode>
                <c:ptCount val="216"/>
                <c:pt idx="0">
                  <c:v>1</c:v>
                </c:pt>
                <c:pt idx="1">
                  <c:v>1</c:v>
                </c:pt>
                <c:pt idx="2">
                  <c:v>1</c:v>
                </c:pt>
                <c:pt idx="3">
                  <c:v>0</c:v>
                </c:pt>
                <c:pt idx="4">
                  <c:v>1</c:v>
                </c:pt>
                <c:pt idx="5">
                  <c:v>1</c:v>
                </c:pt>
                <c:pt idx="6">
                  <c:v>0</c:v>
                </c:pt>
                <c:pt idx="7">
                  <c:v>1</c:v>
                </c:pt>
                <c:pt idx="8">
                  <c:v>0</c:v>
                </c:pt>
                <c:pt idx="9">
                  <c:v>0</c:v>
                </c:pt>
                <c:pt idx="10">
                  <c:v>1</c:v>
                </c:pt>
                <c:pt idx="11">
                  <c:v>1</c:v>
                </c:pt>
                <c:pt idx="12">
                  <c:v>0</c:v>
                </c:pt>
                <c:pt idx="13">
                  <c:v>1</c:v>
                </c:pt>
                <c:pt idx="14">
                  <c:v>1</c:v>
                </c:pt>
                <c:pt idx="15">
                  <c:v>1</c:v>
                </c:pt>
                <c:pt idx="16">
                  <c:v>1</c:v>
                </c:pt>
                <c:pt idx="17">
                  <c:v>0</c:v>
                </c:pt>
                <c:pt idx="18">
                  <c:v>0</c:v>
                </c:pt>
                <c:pt idx="19">
                  <c:v>1</c:v>
                </c:pt>
                <c:pt idx="20">
                  <c:v>0</c:v>
                </c:pt>
                <c:pt idx="21">
                  <c:v>0</c:v>
                </c:pt>
                <c:pt idx="22">
                  <c:v>1</c:v>
                </c:pt>
                <c:pt idx="23">
                  <c:v>1</c:v>
                </c:pt>
                <c:pt idx="24">
                  <c:v>1</c:v>
                </c:pt>
                <c:pt idx="25">
                  <c:v>0</c:v>
                </c:pt>
                <c:pt idx="26">
                  <c:v>0</c:v>
                </c:pt>
                <c:pt idx="27">
                  <c:v>1</c:v>
                </c:pt>
                <c:pt idx="28">
                  <c:v>1</c:v>
                </c:pt>
                <c:pt idx="29">
                  <c:v>0</c:v>
                </c:pt>
                <c:pt idx="30">
                  <c:v>1</c:v>
                </c:pt>
                <c:pt idx="31">
                  <c:v>1</c:v>
                </c:pt>
                <c:pt idx="32">
                  <c:v>1</c:v>
                </c:pt>
                <c:pt idx="33">
                  <c:v>1</c:v>
                </c:pt>
                <c:pt idx="34">
                  <c:v>0</c:v>
                </c:pt>
                <c:pt idx="35">
                  <c:v>0</c:v>
                </c:pt>
                <c:pt idx="36">
                  <c:v>0</c:v>
                </c:pt>
                <c:pt idx="37">
                  <c:v>1</c:v>
                </c:pt>
                <c:pt idx="38">
                  <c:v>1</c:v>
                </c:pt>
                <c:pt idx="39">
                  <c:v>1</c:v>
                </c:pt>
                <c:pt idx="40">
                  <c:v>0</c:v>
                </c:pt>
                <c:pt idx="41">
                  <c:v>1</c:v>
                </c:pt>
                <c:pt idx="42">
                  <c:v>1</c:v>
                </c:pt>
                <c:pt idx="43">
                  <c:v>1</c:v>
                </c:pt>
                <c:pt idx="44">
                  <c:v>1</c:v>
                </c:pt>
                <c:pt idx="45">
                  <c:v>1</c:v>
                </c:pt>
                <c:pt idx="46">
                  <c:v>1</c:v>
                </c:pt>
                <c:pt idx="47">
                  <c:v>1</c:v>
                </c:pt>
                <c:pt idx="48">
                  <c:v>1</c:v>
                </c:pt>
                <c:pt idx="49">
                  <c:v>0</c:v>
                </c:pt>
                <c:pt idx="50">
                  <c:v>1</c:v>
                </c:pt>
                <c:pt idx="51">
                  <c:v>1</c:v>
                </c:pt>
                <c:pt idx="52">
                  <c:v>0</c:v>
                </c:pt>
                <c:pt idx="53">
                  <c:v>1</c:v>
                </c:pt>
                <c:pt idx="54">
                  <c:v>1</c:v>
                </c:pt>
                <c:pt idx="55">
                  <c:v>1</c:v>
                </c:pt>
                <c:pt idx="56">
                  <c:v>1</c:v>
                </c:pt>
                <c:pt idx="57">
                  <c:v>1</c:v>
                </c:pt>
                <c:pt idx="58">
                  <c:v>1</c:v>
                </c:pt>
                <c:pt idx="59">
                  <c:v>1</c:v>
                </c:pt>
                <c:pt idx="60">
                  <c:v>0</c:v>
                </c:pt>
                <c:pt idx="61">
                  <c:v>1</c:v>
                </c:pt>
                <c:pt idx="62">
                  <c:v>0</c:v>
                </c:pt>
                <c:pt idx="63">
                  <c:v>1</c:v>
                </c:pt>
                <c:pt idx="64">
                  <c:v>1</c:v>
                </c:pt>
                <c:pt idx="65">
                  <c:v>0</c:v>
                </c:pt>
                <c:pt idx="66">
                  <c:v>0</c:v>
                </c:pt>
                <c:pt idx="67">
                  <c:v>0</c:v>
                </c:pt>
                <c:pt idx="68">
                  <c:v>1</c:v>
                </c:pt>
                <c:pt idx="69">
                  <c:v>1</c:v>
                </c:pt>
                <c:pt idx="70">
                  <c:v>1</c:v>
                </c:pt>
                <c:pt idx="71">
                  <c:v>0</c:v>
                </c:pt>
                <c:pt idx="72">
                  <c:v>1</c:v>
                </c:pt>
                <c:pt idx="73">
                  <c:v>1</c:v>
                </c:pt>
                <c:pt idx="74">
                  <c:v>0</c:v>
                </c:pt>
                <c:pt idx="75">
                  <c:v>1</c:v>
                </c:pt>
                <c:pt idx="76">
                  <c:v>0</c:v>
                </c:pt>
                <c:pt idx="77">
                  <c:v>0</c:v>
                </c:pt>
                <c:pt idx="78">
                  <c:v>1</c:v>
                </c:pt>
                <c:pt idx="79">
                  <c:v>0</c:v>
                </c:pt>
                <c:pt idx="80">
                  <c:v>1</c:v>
                </c:pt>
                <c:pt idx="81">
                  <c:v>0</c:v>
                </c:pt>
                <c:pt idx="82">
                  <c:v>0</c:v>
                </c:pt>
                <c:pt idx="83">
                  <c:v>0</c:v>
                </c:pt>
                <c:pt idx="84">
                  <c:v>1</c:v>
                </c:pt>
                <c:pt idx="85">
                  <c:v>0</c:v>
                </c:pt>
                <c:pt idx="86">
                  <c:v>0</c:v>
                </c:pt>
                <c:pt idx="87">
                  <c:v>1</c:v>
                </c:pt>
                <c:pt idx="88">
                  <c:v>1</c:v>
                </c:pt>
                <c:pt idx="89">
                  <c:v>1</c:v>
                </c:pt>
                <c:pt idx="90">
                  <c:v>0</c:v>
                </c:pt>
                <c:pt idx="91">
                  <c:v>0</c:v>
                </c:pt>
                <c:pt idx="92">
                  <c:v>1</c:v>
                </c:pt>
                <c:pt idx="93">
                  <c:v>1</c:v>
                </c:pt>
                <c:pt idx="94">
                  <c:v>0</c:v>
                </c:pt>
                <c:pt idx="95">
                  <c:v>0</c:v>
                </c:pt>
                <c:pt idx="96">
                  <c:v>1</c:v>
                </c:pt>
                <c:pt idx="97">
                  <c:v>1</c:v>
                </c:pt>
                <c:pt idx="98">
                  <c:v>1</c:v>
                </c:pt>
                <c:pt idx="99">
                  <c:v>1</c:v>
                </c:pt>
                <c:pt idx="100">
                  <c:v>0</c:v>
                </c:pt>
                <c:pt idx="101">
                  <c:v>0</c:v>
                </c:pt>
                <c:pt idx="102">
                  <c:v>1</c:v>
                </c:pt>
                <c:pt idx="103">
                  <c:v>1</c:v>
                </c:pt>
                <c:pt idx="104">
                  <c:v>1</c:v>
                </c:pt>
                <c:pt idx="105">
                  <c:v>1</c:v>
                </c:pt>
                <c:pt idx="106">
                  <c:v>1</c:v>
                </c:pt>
                <c:pt idx="107">
                  <c:v>1</c:v>
                </c:pt>
                <c:pt idx="108">
                  <c:v>1</c:v>
                </c:pt>
                <c:pt idx="109">
                  <c:v>1</c:v>
                </c:pt>
                <c:pt idx="110">
                  <c:v>0</c:v>
                </c:pt>
                <c:pt idx="111">
                  <c:v>1</c:v>
                </c:pt>
                <c:pt idx="112">
                  <c:v>1</c:v>
                </c:pt>
                <c:pt idx="113">
                  <c:v>0</c:v>
                </c:pt>
                <c:pt idx="114">
                  <c:v>1</c:v>
                </c:pt>
                <c:pt idx="115">
                  <c:v>0</c:v>
                </c:pt>
                <c:pt idx="116">
                  <c:v>1</c:v>
                </c:pt>
                <c:pt idx="117">
                  <c:v>1</c:v>
                </c:pt>
                <c:pt idx="118">
                  <c:v>1</c:v>
                </c:pt>
                <c:pt idx="119">
                  <c:v>1</c:v>
                </c:pt>
                <c:pt idx="120">
                  <c:v>0</c:v>
                </c:pt>
                <c:pt idx="121">
                  <c:v>1</c:v>
                </c:pt>
                <c:pt idx="122">
                  <c:v>0</c:v>
                </c:pt>
                <c:pt idx="123">
                  <c:v>0</c:v>
                </c:pt>
                <c:pt idx="124">
                  <c:v>1</c:v>
                </c:pt>
                <c:pt idx="125">
                  <c:v>1</c:v>
                </c:pt>
                <c:pt idx="126">
                  <c:v>1</c:v>
                </c:pt>
                <c:pt idx="127">
                  <c:v>1</c:v>
                </c:pt>
                <c:pt idx="128">
                  <c:v>1</c:v>
                </c:pt>
                <c:pt idx="129">
                  <c:v>1</c:v>
                </c:pt>
                <c:pt idx="130">
                  <c:v>1</c:v>
                </c:pt>
                <c:pt idx="131">
                  <c:v>1</c:v>
                </c:pt>
                <c:pt idx="132">
                  <c:v>0</c:v>
                </c:pt>
                <c:pt idx="133">
                  <c:v>1</c:v>
                </c:pt>
                <c:pt idx="134">
                  <c:v>0</c:v>
                </c:pt>
                <c:pt idx="135">
                  <c:v>0</c:v>
                </c:pt>
                <c:pt idx="136">
                  <c:v>1</c:v>
                </c:pt>
                <c:pt idx="137">
                  <c:v>0</c:v>
                </c:pt>
                <c:pt idx="138">
                  <c:v>1</c:v>
                </c:pt>
                <c:pt idx="139">
                  <c:v>1</c:v>
                </c:pt>
                <c:pt idx="140">
                  <c:v>1</c:v>
                </c:pt>
                <c:pt idx="141">
                  <c:v>1</c:v>
                </c:pt>
                <c:pt idx="142">
                  <c:v>0</c:v>
                </c:pt>
                <c:pt idx="143">
                  <c:v>0</c:v>
                </c:pt>
                <c:pt idx="144">
                  <c:v>1</c:v>
                </c:pt>
                <c:pt idx="145">
                  <c:v>1</c:v>
                </c:pt>
                <c:pt idx="146">
                  <c:v>0</c:v>
                </c:pt>
                <c:pt idx="147">
                  <c:v>0</c:v>
                </c:pt>
                <c:pt idx="148">
                  <c:v>1</c:v>
                </c:pt>
                <c:pt idx="149">
                  <c:v>1</c:v>
                </c:pt>
                <c:pt idx="150">
                  <c:v>0</c:v>
                </c:pt>
                <c:pt idx="151">
                  <c:v>1</c:v>
                </c:pt>
                <c:pt idx="152">
                  <c:v>1</c:v>
                </c:pt>
                <c:pt idx="153">
                  <c:v>1</c:v>
                </c:pt>
                <c:pt idx="154">
                  <c:v>1</c:v>
                </c:pt>
                <c:pt idx="155">
                  <c:v>0</c:v>
                </c:pt>
                <c:pt idx="156">
                  <c:v>1</c:v>
                </c:pt>
                <c:pt idx="157">
                  <c:v>1</c:v>
                </c:pt>
                <c:pt idx="158">
                  <c:v>1</c:v>
                </c:pt>
                <c:pt idx="159">
                  <c:v>1</c:v>
                </c:pt>
                <c:pt idx="160">
                  <c:v>0</c:v>
                </c:pt>
                <c:pt idx="161">
                  <c:v>0</c:v>
                </c:pt>
                <c:pt idx="162">
                  <c:v>0</c:v>
                </c:pt>
                <c:pt idx="163">
                  <c:v>1</c:v>
                </c:pt>
                <c:pt idx="164">
                  <c:v>0</c:v>
                </c:pt>
                <c:pt idx="165">
                  <c:v>0</c:v>
                </c:pt>
                <c:pt idx="166">
                  <c:v>1</c:v>
                </c:pt>
                <c:pt idx="167">
                  <c:v>1</c:v>
                </c:pt>
                <c:pt idx="168">
                  <c:v>1</c:v>
                </c:pt>
                <c:pt idx="169">
                  <c:v>1</c:v>
                </c:pt>
                <c:pt idx="170">
                  <c:v>1</c:v>
                </c:pt>
                <c:pt idx="171">
                  <c:v>1</c:v>
                </c:pt>
                <c:pt idx="172">
                  <c:v>0</c:v>
                </c:pt>
                <c:pt idx="173">
                  <c:v>1</c:v>
                </c:pt>
                <c:pt idx="174">
                  <c:v>1</c:v>
                </c:pt>
                <c:pt idx="175">
                  <c:v>1</c:v>
                </c:pt>
                <c:pt idx="176">
                  <c:v>1</c:v>
                </c:pt>
                <c:pt idx="177">
                  <c:v>1</c:v>
                </c:pt>
                <c:pt idx="178">
                  <c:v>1</c:v>
                </c:pt>
                <c:pt idx="179">
                  <c:v>0</c:v>
                </c:pt>
                <c:pt idx="180">
                  <c:v>1</c:v>
                </c:pt>
                <c:pt idx="181">
                  <c:v>0</c:v>
                </c:pt>
                <c:pt idx="182">
                  <c:v>1</c:v>
                </c:pt>
                <c:pt idx="183">
                  <c:v>1</c:v>
                </c:pt>
                <c:pt idx="184">
                  <c:v>0</c:v>
                </c:pt>
                <c:pt idx="185">
                  <c:v>0</c:v>
                </c:pt>
                <c:pt idx="186">
                  <c:v>0</c:v>
                </c:pt>
                <c:pt idx="187">
                  <c:v>0</c:v>
                </c:pt>
                <c:pt idx="188">
                  <c:v>1</c:v>
                </c:pt>
                <c:pt idx="189">
                  <c:v>1</c:v>
                </c:pt>
                <c:pt idx="190">
                  <c:v>1</c:v>
                </c:pt>
                <c:pt idx="191">
                  <c:v>1</c:v>
                </c:pt>
                <c:pt idx="192">
                  <c:v>1</c:v>
                </c:pt>
                <c:pt idx="193">
                  <c:v>1</c:v>
                </c:pt>
                <c:pt idx="194">
                  <c:v>1</c:v>
                </c:pt>
                <c:pt idx="195">
                  <c:v>1</c:v>
                </c:pt>
                <c:pt idx="196">
                  <c:v>1</c:v>
                </c:pt>
                <c:pt idx="197">
                  <c:v>0</c:v>
                </c:pt>
                <c:pt idx="198">
                  <c:v>0</c:v>
                </c:pt>
                <c:pt idx="199">
                  <c:v>0</c:v>
                </c:pt>
                <c:pt idx="200">
                  <c:v>1</c:v>
                </c:pt>
                <c:pt idx="201">
                  <c:v>1</c:v>
                </c:pt>
                <c:pt idx="202">
                  <c:v>1</c:v>
                </c:pt>
                <c:pt idx="203">
                  <c:v>0</c:v>
                </c:pt>
                <c:pt idx="204">
                  <c:v>0</c:v>
                </c:pt>
                <c:pt idx="205">
                  <c:v>1</c:v>
                </c:pt>
                <c:pt idx="206">
                  <c:v>1</c:v>
                </c:pt>
                <c:pt idx="207">
                  <c:v>1</c:v>
                </c:pt>
                <c:pt idx="208">
                  <c:v>0</c:v>
                </c:pt>
                <c:pt idx="209">
                  <c:v>1</c:v>
                </c:pt>
                <c:pt idx="210">
                  <c:v>1</c:v>
                </c:pt>
                <c:pt idx="211">
                  <c:v>0</c:v>
                </c:pt>
                <c:pt idx="212">
                  <c:v>0</c:v>
                </c:pt>
                <c:pt idx="213">
                  <c:v>1</c:v>
                </c:pt>
                <c:pt idx="214">
                  <c:v>1</c:v>
                </c:pt>
                <c:pt idx="215">
                  <c:v>1</c:v>
                </c:pt>
              </c:numCache>
            </c:numRef>
          </c:xVal>
          <c:yVal>
            <c:numRef>
              <c:f>Data2!$Z$2:$Z$217</c:f>
              <c:numCache>
                <c:formatCode>General</c:formatCode>
                <c:ptCount val="216"/>
                <c:pt idx="0">
                  <c:v>1.0611413544406308E-2</c:v>
                </c:pt>
                <c:pt idx="1">
                  <c:v>0</c:v>
                </c:pt>
                <c:pt idx="2">
                  <c:v>8.4579670359256533E-3</c:v>
                </c:pt>
                <c:pt idx="3">
                  <c:v>0</c:v>
                </c:pt>
                <c:pt idx="4">
                  <c:v>1.6347692208887901E-2</c:v>
                </c:pt>
                <c:pt idx="5">
                  <c:v>3.5394007401280216E-2</c:v>
                </c:pt>
                <c:pt idx="6">
                  <c:v>3.0121881968393021E-3</c:v>
                </c:pt>
                <c:pt idx="7">
                  <c:v>0</c:v>
                </c:pt>
                <c:pt idx="8">
                  <c:v>0</c:v>
                </c:pt>
                <c:pt idx="9">
                  <c:v>5.0885281646099664E-3</c:v>
                </c:pt>
                <c:pt idx="10">
                  <c:v>6.7404310730842702E-5</c:v>
                </c:pt>
                <c:pt idx="11">
                  <c:v>2.6741167477856119E-3</c:v>
                </c:pt>
                <c:pt idx="12">
                  <c:v>1.5162043254276997E-3</c:v>
                </c:pt>
                <c:pt idx="13">
                  <c:v>2.1710318671467727E-3</c:v>
                </c:pt>
                <c:pt idx="14">
                  <c:v>5.6089362744716296E-3</c:v>
                </c:pt>
                <c:pt idx="15">
                  <c:v>5.5334093706593795E-3</c:v>
                </c:pt>
                <c:pt idx="16">
                  <c:v>5.6440211614708878E-3</c:v>
                </c:pt>
                <c:pt idx="17">
                  <c:v>5.1073724071324462E-4</c:v>
                </c:pt>
                <c:pt idx="18">
                  <c:v>0</c:v>
                </c:pt>
                <c:pt idx="19">
                  <c:v>7.0710758765274171E-3</c:v>
                </c:pt>
                <c:pt idx="20">
                  <c:v>0</c:v>
                </c:pt>
                <c:pt idx="21">
                  <c:v>0.11762162105278788</c:v>
                </c:pt>
                <c:pt idx="22">
                  <c:v>7.2782665124914887E-3</c:v>
                </c:pt>
                <c:pt idx="23">
                  <c:v>7.2501292706805718E-3</c:v>
                </c:pt>
                <c:pt idx="24">
                  <c:v>5.2537172028414656E-3</c:v>
                </c:pt>
                <c:pt idx="25">
                  <c:v>2.213153202296406E-3</c:v>
                </c:pt>
                <c:pt idx="26">
                  <c:v>0</c:v>
                </c:pt>
                <c:pt idx="27">
                  <c:v>1.7949150972118032E-2</c:v>
                </c:pt>
                <c:pt idx="28">
                  <c:v>3.9468044314006252E-4</c:v>
                </c:pt>
                <c:pt idx="29">
                  <c:v>0</c:v>
                </c:pt>
                <c:pt idx="30">
                  <c:v>0</c:v>
                </c:pt>
                <c:pt idx="31">
                  <c:v>3.858554006733495E-3</c:v>
                </c:pt>
                <c:pt idx="32">
                  <c:v>3.9564003261451632E-2</c:v>
                </c:pt>
                <c:pt idx="33">
                  <c:v>1.5019792102403772E-2</c:v>
                </c:pt>
                <c:pt idx="34">
                  <c:v>1.9296243604663501E-3</c:v>
                </c:pt>
                <c:pt idx="35">
                  <c:v>0</c:v>
                </c:pt>
                <c:pt idx="36">
                  <c:v>0</c:v>
                </c:pt>
                <c:pt idx="37">
                  <c:v>4.3045595935343503E-2</c:v>
                </c:pt>
                <c:pt idx="38">
                  <c:v>3.2024064344102093E-3</c:v>
                </c:pt>
                <c:pt idx="39">
                  <c:v>0</c:v>
                </c:pt>
                <c:pt idx="40">
                  <c:v>4.4377287528265809E-4</c:v>
                </c:pt>
                <c:pt idx="41">
                  <c:v>0</c:v>
                </c:pt>
                <c:pt idx="42">
                  <c:v>5.0929009521953957E-2</c:v>
                </c:pt>
                <c:pt idx="43">
                  <c:v>1.9070679376830369E-2</c:v>
                </c:pt>
                <c:pt idx="44">
                  <c:v>0</c:v>
                </c:pt>
                <c:pt idx="45">
                  <c:v>7.4505439574249399E-4</c:v>
                </c:pt>
                <c:pt idx="46">
                  <c:v>4.8936351626138307E-3</c:v>
                </c:pt>
                <c:pt idx="47">
                  <c:v>6.6809062754411529E-4</c:v>
                </c:pt>
                <c:pt idx="48">
                  <c:v>4.2207882949555302E-4</c:v>
                </c:pt>
                <c:pt idx="49">
                  <c:v>0</c:v>
                </c:pt>
                <c:pt idx="50">
                  <c:v>7.0732344627176481E-4</c:v>
                </c:pt>
                <c:pt idx="51">
                  <c:v>2.2364763690521251E-4</c:v>
                </c:pt>
                <c:pt idx="52">
                  <c:v>2.4202244366292223E-4</c:v>
                </c:pt>
                <c:pt idx="53">
                  <c:v>4.6002406486802053E-2</c:v>
                </c:pt>
                <c:pt idx="54">
                  <c:v>0</c:v>
                </c:pt>
                <c:pt idx="55">
                  <c:v>0</c:v>
                </c:pt>
                <c:pt idx="56">
                  <c:v>7.6176540423078731E-3</c:v>
                </c:pt>
                <c:pt idx="57">
                  <c:v>4.7939059880166713E-3</c:v>
                </c:pt>
                <c:pt idx="58">
                  <c:v>0</c:v>
                </c:pt>
                <c:pt idx="59">
                  <c:v>1.7311224097790137E-2</c:v>
                </c:pt>
                <c:pt idx="60">
                  <c:v>0</c:v>
                </c:pt>
                <c:pt idx="61">
                  <c:v>0</c:v>
                </c:pt>
                <c:pt idx="62">
                  <c:v>0</c:v>
                </c:pt>
                <c:pt idx="63">
                  <c:v>1.533258799145229E-2</c:v>
                </c:pt>
                <c:pt idx="64">
                  <c:v>4.2809931848704821E-3</c:v>
                </c:pt>
                <c:pt idx="65">
                  <c:v>3.5738499998188302E-3</c:v>
                </c:pt>
                <c:pt idx="66">
                  <c:v>7.3247290955831253E-4</c:v>
                </c:pt>
                <c:pt idx="67">
                  <c:v>0</c:v>
                </c:pt>
                <c:pt idx="68">
                  <c:v>6.8324666094098287E-3</c:v>
                </c:pt>
                <c:pt idx="69">
                  <c:v>0</c:v>
                </c:pt>
                <c:pt idx="70">
                  <c:v>7.9767537992028285E-3</c:v>
                </c:pt>
                <c:pt idx="71">
                  <c:v>7.2902974375607318E-4</c:v>
                </c:pt>
                <c:pt idx="72">
                  <c:v>1.0953793963530616E-2</c:v>
                </c:pt>
                <c:pt idx="73">
                  <c:v>3.0195777062032845E-3</c:v>
                </c:pt>
                <c:pt idx="74">
                  <c:v>0</c:v>
                </c:pt>
                <c:pt idx="75">
                  <c:v>0</c:v>
                </c:pt>
                <c:pt idx="76">
                  <c:v>0</c:v>
                </c:pt>
                <c:pt idx="77">
                  <c:v>5.346203903051108E-4</c:v>
                </c:pt>
                <c:pt idx="78">
                  <c:v>5.575995615795834E-2</c:v>
                </c:pt>
                <c:pt idx="79">
                  <c:v>1.8386969559608075E-2</c:v>
                </c:pt>
                <c:pt idx="80">
                  <c:v>3.1266375064845434E-2</c:v>
                </c:pt>
                <c:pt idx="81">
                  <c:v>0</c:v>
                </c:pt>
                <c:pt idx="82">
                  <c:v>8.2057609450156082E-4</c:v>
                </c:pt>
                <c:pt idx="83">
                  <c:v>0</c:v>
                </c:pt>
                <c:pt idx="84">
                  <c:v>2.1154411676979259E-3</c:v>
                </c:pt>
                <c:pt idx="85">
                  <c:v>0</c:v>
                </c:pt>
                <c:pt idx="86">
                  <c:v>7.0821747956929533E-4</c:v>
                </c:pt>
                <c:pt idx="87">
                  <c:v>2.8946806066420003E-3</c:v>
                </c:pt>
                <c:pt idx="88">
                  <c:v>6.0498748489580525E-3</c:v>
                </c:pt>
                <c:pt idx="89">
                  <c:v>6.6457213523235708E-3</c:v>
                </c:pt>
                <c:pt idx="90">
                  <c:v>1.1687416730106321E-3</c:v>
                </c:pt>
                <c:pt idx="91">
                  <c:v>1.9048790021745756E-3</c:v>
                </c:pt>
                <c:pt idx="92">
                  <c:v>8.0185363251188569E-4</c:v>
                </c:pt>
                <c:pt idx="93">
                  <c:v>9.9582694501972983E-3</c:v>
                </c:pt>
                <c:pt idx="94">
                  <c:v>1.34812010686136E-4</c:v>
                </c:pt>
                <c:pt idx="95">
                  <c:v>8.3801552415548493E-3</c:v>
                </c:pt>
                <c:pt idx="96">
                  <c:v>1.1229325444796767E-2</c:v>
                </c:pt>
                <c:pt idx="97">
                  <c:v>1.0199854915375757E-2</c:v>
                </c:pt>
                <c:pt idx="98">
                  <c:v>0</c:v>
                </c:pt>
                <c:pt idx="99">
                  <c:v>3.3435059344611063E-4</c:v>
                </c:pt>
                <c:pt idx="100">
                  <c:v>0</c:v>
                </c:pt>
                <c:pt idx="101">
                  <c:v>0</c:v>
                </c:pt>
                <c:pt idx="102">
                  <c:v>4.7984211290805203E-3</c:v>
                </c:pt>
                <c:pt idx="103">
                  <c:v>3.1364521743438102E-2</c:v>
                </c:pt>
                <c:pt idx="104">
                  <c:v>9.6105260759914074E-2</c:v>
                </c:pt>
                <c:pt idx="105">
                  <c:v>1.9000146674792988E-4</c:v>
                </c:pt>
                <c:pt idx="106">
                  <c:v>0</c:v>
                </c:pt>
                <c:pt idx="107">
                  <c:v>2.4859777081354816E-3</c:v>
                </c:pt>
                <c:pt idx="108">
                  <c:v>1.3218692732707761E-2</c:v>
                </c:pt>
                <c:pt idx="109">
                  <c:v>2.936029823263801E-3</c:v>
                </c:pt>
                <c:pt idx="110">
                  <c:v>0</c:v>
                </c:pt>
                <c:pt idx="111">
                  <c:v>0</c:v>
                </c:pt>
                <c:pt idx="112">
                  <c:v>3.8716606544249538E-3</c:v>
                </c:pt>
                <c:pt idx="113">
                  <c:v>0</c:v>
                </c:pt>
                <c:pt idx="114">
                  <c:v>8.621315111263305E-3</c:v>
                </c:pt>
                <c:pt idx="115">
                  <c:v>4.3863346780044273E-3</c:v>
                </c:pt>
                <c:pt idx="116">
                  <c:v>7.0682170473093378E-3</c:v>
                </c:pt>
                <c:pt idx="117">
                  <c:v>1.2823580923358883E-2</c:v>
                </c:pt>
                <c:pt idx="118">
                  <c:v>8.5434922519973342E-3</c:v>
                </c:pt>
                <c:pt idx="119">
                  <c:v>1.7010277937264868E-3</c:v>
                </c:pt>
                <c:pt idx="120">
                  <c:v>0</c:v>
                </c:pt>
                <c:pt idx="121">
                  <c:v>7.8166688914830113E-3</c:v>
                </c:pt>
                <c:pt idx="122">
                  <c:v>6.1560948575260128E-3</c:v>
                </c:pt>
                <c:pt idx="123">
                  <c:v>1.6689228833797695E-4</c:v>
                </c:pt>
                <c:pt idx="124">
                  <c:v>0</c:v>
                </c:pt>
                <c:pt idx="125">
                  <c:v>2.7522771233639914E-3</c:v>
                </c:pt>
                <c:pt idx="126">
                  <c:v>3.3032950814732863E-2</c:v>
                </c:pt>
                <c:pt idx="127">
                  <c:v>1.2947666772176833E-2</c:v>
                </c:pt>
                <c:pt idx="128">
                  <c:v>1.1302735988807295E-3</c:v>
                </c:pt>
                <c:pt idx="129">
                  <c:v>4.0045451071915025E-2</c:v>
                </c:pt>
                <c:pt idx="130">
                  <c:v>7.2788729077273582E-3</c:v>
                </c:pt>
                <c:pt idx="131">
                  <c:v>1.5214064786384209E-2</c:v>
                </c:pt>
                <c:pt idx="132">
                  <c:v>0</c:v>
                </c:pt>
                <c:pt idx="133">
                  <c:v>5.0415968579385394E-3</c:v>
                </c:pt>
                <c:pt idx="134">
                  <c:v>1.313875828976196E-3</c:v>
                </c:pt>
                <c:pt idx="135">
                  <c:v>0</c:v>
                </c:pt>
                <c:pt idx="136">
                  <c:v>1.1301002891826468E-3</c:v>
                </c:pt>
                <c:pt idx="137">
                  <c:v>2.4721219661779314E-3</c:v>
                </c:pt>
                <c:pt idx="138">
                  <c:v>3.4032088463933033E-2</c:v>
                </c:pt>
                <c:pt idx="139">
                  <c:v>5.2703794645048256E-3</c:v>
                </c:pt>
                <c:pt idx="140">
                  <c:v>0</c:v>
                </c:pt>
                <c:pt idx="141">
                  <c:v>3.0473445072585854E-3</c:v>
                </c:pt>
                <c:pt idx="142">
                  <c:v>0</c:v>
                </c:pt>
                <c:pt idx="143">
                  <c:v>1.0836027834230536E-3</c:v>
                </c:pt>
                <c:pt idx="144">
                  <c:v>5.1015854459370126E-3</c:v>
                </c:pt>
                <c:pt idx="145">
                  <c:v>1.3736390352988952E-2</c:v>
                </c:pt>
                <c:pt idx="146">
                  <c:v>0</c:v>
                </c:pt>
                <c:pt idx="147">
                  <c:v>0</c:v>
                </c:pt>
                <c:pt idx="148">
                  <c:v>2.1049955949223988E-3</c:v>
                </c:pt>
                <c:pt idx="149">
                  <c:v>1.3361926618401337E-2</c:v>
                </c:pt>
                <c:pt idx="150">
                  <c:v>0</c:v>
                </c:pt>
                <c:pt idx="151">
                  <c:v>7.0211020721037938E-3</c:v>
                </c:pt>
                <c:pt idx="152">
                  <c:v>2.7599144192257305E-3</c:v>
                </c:pt>
                <c:pt idx="153">
                  <c:v>2.7740331407756329E-4</c:v>
                </c:pt>
                <c:pt idx="154">
                  <c:v>2.264419838110745E-3</c:v>
                </c:pt>
                <c:pt idx="155">
                  <c:v>0</c:v>
                </c:pt>
                <c:pt idx="156">
                  <c:v>2.6093603261212331E-3</c:v>
                </c:pt>
                <c:pt idx="157">
                  <c:v>4.9707333026071797E-4</c:v>
                </c:pt>
                <c:pt idx="158">
                  <c:v>2.0253341107862718E-3</c:v>
                </c:pt>
                <c:pt idx="159">
                  <c:v>6.6457802971645477E-3</c:v>
                </c:pt>
                <c:pt idx="160">
                  <c:v>0</c:v>
                </c:pt>
                <c:pt idx="161">
                  <c:v>0</c:v>
                </c:pt>
                <c:pt idx="162">
                  <c:v>0</c:v>
                </c:pt>
                <c:pt idx="163">
                  <c:v>7.592357624246422E-3</c:v>
                </c:pt>
                <c:pt idx="164">
                  <c:v>0</c:v>
                </c:pt>
                <c:pt idx="165">
                  <c:v>0.13074187928354999</c:v>
                </c:pt>
                <c:pt idx="166">
                  <c:v>3.1749714334403652E-3</c:v>
                </c:pt>
                <c:pt idx="167">
                  <c:v>1.1786808676419614E-2</c:v>
                </c:pt>
                <c:pt idx="168">
                  <c:v>1.2181809075049413E-2</c:v>
                </c:pt>
                <c:pt idx="169">
                  <c:v>0</c:v>
                </c:pt>
                <c:pt idx="170">
                  <c:v>8.5486585589968023E-2</c:v>
                </c:pt>
                <c:pt idx="171">
                  <c:v>7.9659776158195889E-3</c:v>
                </c:pt>
                <c:pt idx="172">
                  <c:v>0</c:v>
                </c:pt>
                <c:pt idx="173">
                  <c:v>0</c:v>
                </c:pt>
                <c:pt idx="174">
                  <c:v>2.3668872406364862E-3</c:v>
                </c:pt>
                <c:pt idx="175">
                  <c:v>7.4924144505862187E-3</c:v>
                </c:pt>
                <c:pt idx="176">
                  <c:v>0</c:v>
                </c:pt>
                <c:pt idx="177">
                  <c:v>2.4069612249409079E-3</c:v>
                </c:pt>
                <c:pt idx="178">
                  <c:v>0</c:v>
                </c:pt>
                <c:pt idx="179">
                  <c:v>3.5934793382662046E-4</c:v>
                </c:pt>
                <c:pt idx="180">
                  <c:v>1.0381168688762559E-2</c:v>
                </c:pt>
                <c:pt idx="181">
                  <c:v>0</c:v>
                </c:pt>
                <c:pt idx="182">
                  <c:v>1.2475886786572471E-2</c:v>
                </c:pt>
                <c:pt idx="183">
                  <c:v>0</c:v>
                </c:pt>
                <c:pt idx="184">
                  <c:v>1.6901808214076508E-3</c:v>
                </c:pt>
                <c:pt idx="185">
                  <c:v>4.9203999042246628E-3</c:v>
                </c:pt>
                <c:pt idx="186">
                  <c:v>0</c:v>
                </c:pt>
                <c:pt idx="187">
                  <c:v>0</c:v>
                </c:pt>
                <c:pt idx="188">
                  <c:v>1.6440684897669401E-2</c:v>
                </c:pt>
                <c:pt idx="189">
                  <c:v>1.4384310331933756E-2</c:v>
                </c:pt>
                <c:pt idx="190">
                  <c:v>1.0959215056431891E-3</c:v>
                </c:pt>
                <c:pt idx="191">
                  <c:v>2.2737393716275801E-2</c:v>
                </c:pt>
                <c:pt idx="192">
                  <c:v>5.947205796526806E-3</c:v>
                </c:pt>
                <c:pt idx="193">
                  <c:v>0</c:v>
                </c:pt>
                <c:pt idx="194">
                  <c:v>5.7788590135587261E-3</c:v>
                </c:pt>
                <c:pt idx="195">
                  <c:v>1.65084066349143E-4</c:v>
                </c:pt>
                <c:pt idx="196">
                  <c:v>1.2600160929960237E-3</c:v>
                </c:pt>
                <c:pt idx="197">
                  <c:v>8.8434085023056021E-3</c:v>
                </c:pt>
                <c:pt idx="198">
                  <c:v>0</c:v>
                </c:pt>
                <c:pt idx="199">
                  <c:v>0</c:v>
                </c:pt>
                <c:pt idx="200">
                  <c:v>1.3029138671515493E-2</c:v>
                </c:pt>
                <c:pt idx="201">
                  <c:v>3.4966350673894149E-3</c:v>
                </c:pt>
                <c:pt idx="202">
                  <c:v>5.0506894830269671E-3</c:v>
                </c:pt>
                <c:pt idx="203">
                  <c:v>2.0677905470444465E-3</c:v>
                </c:pt>
                <c:pt idx="204">
                  <c:v>5.2521535992225464E-4</c:v>
                </c:pt>
                <c:pt idx="205">
                  <c:v>1.7292236573650922E-4</c:v>
                </c:pt>
                <c:pt idx="206">
                  <c:v>7.8463243184018882E-3</c:v>
                </c:pt>
                <c:pt idx="207">
                  <c:v>0</c:v>
                </c:pt>
                <c:pt idx="208">
                  <c:v>0</c:v>
                </c:pt>
                <c:pt idx="209">
                  <c:v>0</c:v>
                </c:pt>
                <c:pt idx="210">
                  <c:v>6.4927464601520204E-3</c:v>
                </c:pt>
                <c:pt idx="211">
                  <c:v>0</c:v>
                </c:pt>
                <c:pt idx="212">
                  <c:v>0</c:v>
                </c:pt>
                <c:pt idx="213">
                  <c:v>0</c:v>
                </c:pt>
                <c:pt idx="214">
                  <c:v>4.1943459915777033E-2</c:v>
                </c:pt>
                <c:pt idx="215">
                  <c:v>3.5678132106454957E-2</c:v>
                </c:pt>
              </c:numCache>
            </c:numRef>
          </c:yVal>
          <c:smooth val="0"/>
          <c:extLst>
            <c:ext xmlns:c16="http://schemas.microsoft.com/office/drawing/2014/chart" uri="{C3380CC4-5D6E-409C-BE32-E72D297353CC}">
              <c16:uniqueId val="{00000000-74D6-447C-85A4-F56C8D6ADA01}"/>
            </c:ext>
          </c:extLst>
        </c:ser>
        <c:dLbls>
          <c:showLegendKey val="0"/>
          <c:showVal val="0"/>
          <c:showCatName val="0"/>
          <c:showSerName val="0"/>
          <c:showPercent val="0"/>
          <c:showBubbleSize val="0"/>
        </c:dLbls>
        <c:axId val="1838117232"/>
        <c:axId val="1024454000"/>
      </c:scatterChart>
      <c:valAx>
        <c:axId val="1838117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54000"/>
        <c:crosses val="autoZero"/>
        <c:crossBetween val="midCat"/>
      </c:valAx>
      <c:valAx>
        <c:axId val="102445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381172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[BRI.xlsx]BRI!TablaDinámica25</c:name>
    <c:fmtId val="0"/>
  </c:pivotSource>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95162473996981E-2"/>
          <c:y val="0.1345553117335743"/>
          <c:w val="0.87687092021696311"/>
          <c:h val="0.61905809941016521"/>
        </c:manualLayout>
      </c:layout>
      <c:barChart>
        <c:barDir val="col"/>
        <c:grouping val="clustered"/>
        <c:varyColors val="0"/>
        <c:ser>
          <c:idx val="0"/>
          <c:order val="0"/>
          <c:tx>
            <c:strRef>
              <c:f>BRI!$B$3:$B$4</c:f>
              <c:strCache>
                <c:ptCount val="1"/>
                <c:pt idx="0">
                  <c:v>0</c:v>
                </c:pt>
              </c:strCache>
            </c:strRef>
          </c:tx>
          <c:spPr>
            <a:solidFill>
              <a:schemeClr val="accent1"/>
            </a:solidFill>
            <a:ln>
              <a:noFill/>
            </a:ln>
            <a:effectLst/>
          </c:spPr>
          <c:invertIfNegative val="0"/>
          <c:cat>
            <c:strRef>
              <c:f>BRI!$A$5:$A$12</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BRI!$B$5:$B$12</c:f>
              <c:numCache>
                <c:formatCode>General</c:formatCode>
                <c:ptCount val="7"/>
                <c:pt idx="0">
                  <c:v>14</c:v>
                </c:pt>
                <c:pt idx="1">
                  <c:v>20</c:v>
                </c:pt>
                <c:pt idx="2">
                  <c:v>23</c:v>
                </c:pt>
                <c:pt idx="3">
                  <c:v>5</c:v>
                </c:pt>
                <c:pt idx="4">
                  <c:v>3</c:v>
                </c:pt>
                <c:pt idx="5">
                  <c:v>2</c:v>
                </c:pt>
                <c:pt idx="6">
                  <c:v>8</c:v>
                </c:pt>
              </c:numCache>
            </c:numRef>
          </c:val>
          <c:extLst>
            <c:ext xmlns:c16="http://schemas.microsoft.com/office/drawing/2014/chart" uri="{C3380CC4-5D6E-409C-BE32-E72D297353CC}">
              <c16:uniqueId val="{00000001-159D-4C94-AE04-CF4E88D5BD9A}"/>
            </c:ext>
          </c:extLst>
        </c:ser>
        <c:ser>
          <c:idx val="1"/>
          <c:order val="1"/>
          <c:tx>
            <c:strRef>
              <c:f>BRI!$C$3:$C$4</c:f>
              <c:strCache>
                <c:ptCount val="1"/>
                <c:pt idx="0">
                  <c:v>1</c:v>
                </c:pt>
              </c:strCache>
            </c:strRef>
          </c:tx>
          <c:spPr>
            <a:solidFill>
              <a:schemeClr val="accent2"/>
            </a:solidFill>
            <a:ln>
              <a:noFill/>
            </a:ln>
            <a:effectLst/>
          </c:spPr>
          <c:invertIfNegative val="0"/>
          <c:cat>
            <c:strRef>
              <c:f>BRI!$A$5:$A$12</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BRI!$C$5:$C$12</c:f>
              <c:numCache>
                <c:formatCode>General</c:formatCode>
                <c:ptCount val="7"/>
                <c:pt idx="0">
                  <c:v>25</c:v>
                </c:pt>
                <c:pt idx="1">
                  <c:v>34</c:v>
                </c:pt>
                <c:pt idx="2">
                  <c:v>19</c:v>
                </c:pt>
                <c:pt idx="3">
                  <c:v>17</c:v>
                </c:pt>
                <c:pt idx="5">
                  <c:v>6</c:v>
                </c:pt>
                <c:pt idx="6">
                  <c:v>40</c:v>
                </c:pt>
              </c:numCache>
            </c:numRef>
          </c:val>
          <c:extLst>
            <c:ext xmlns:c16="http://schemas.microsoft.com/office/drawing/2014/chart" uri="{C3380CC4-5D6E-409C-BE32-E72D297353CC}">
              <c16:uniqueId val="{00000002-159D-4C94-AE04-CF4E88D5BD9A}"/>
            </c:ext>
          </c:extLst>
        </c:ser>
        <c:dLbls>
          <c:showLegendKey val="0"/>
          <c:showVal val="0"/>
          <c:showCatName val="0"/>
          <c:showSerName val="0"/>
          <c:showPercent val="0"/>
          <c:showBubbleSize val="0"/>
        </c:dLbls>
        <c:gapWidth val="219"/>
        <c:overlap val="-27"/>
        <c:axId val="1030716208"/>
        <c:axId val="960415840"/>
      </c:barChart>
      <c:catAx>
        <c:axId val="103071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0415840"/>
        <c:crosses val="autoZero"/>
        <c:auto val="1"/>
        <c:lblAlgn val="ctr"/>
        <c:lblOffset val="100"/>
        <c:noMultiLvlLbl val="0"/>
      </c:catAx>
      <c:valAx>
        <c:axId val="96041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30716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[BRI.xlsx]BRI!TablaDinámica36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BRI!$B$23:$B$24</c:f>
              <c:strCache>
                <c:ptCount val="1"/>
                <c:pt idx="0">
                  <c:v>0</c:v>
                </c:pt>
              </c:strCache>
            </c:strRef>
          </c:tx>
          <c:spPr>
            <a:solidFill>
              <a:schemeClr val="accent1"/>
            </a:solidFill>
            <a:ln>
              <a:noFill/>
            </a:ln>
            <a:effectLst/>
          </c:spPr>
          <c:invertIfNegative val="0"/>
          <c:cat>
            <c:strRef>
              <c:f>BRI!$A$25:$A$28</c:f>
              <c:strCache>
                <c:ptCount val="4"/>
                <c:pt idx="0">
                  <c:v>High income</c:v>
                </c:pt>
                <c:pt idx="1">
                  <c:v>Low income</c:v>
                </c:pt>
                <c:pt idx="2">
                  <c:v>Lower middle income</c:v>
                </c:pt>
                <c:pt idx="3">
                  <c:v>Upper middle income</c:v>
                </c:pt>
              </c:strCache>
            </c:strRef>
          </c:cat>
          <c:val>
            <c:numRef>
              <c:f>BRI!$B$25:$B$28</c:f>
              <c:numCache>
                <c:formatCode>General</c:formatCode>
                <c:ptCount val="4"/>
                <c:pt idx="0">
                  <c:v>43</c:v>
                </c:pt>
                <c:pt idx="1">
                  <c:v>6</c:v>
                </c:pt>
                <c:pt idx="2">
                  <c:v>9</c:v>
                </c:pt>
                <c:pt idx="3">
                  <c:v>14</c:v>
                </c:pt>
              </c:numCache>
            </c:numRef>
          </c:val>
          <c:extLst>
            <c:ext xmlns:c16="http://schemas.microsoft.com/office/drawing/2014/chart" uri="{C3380CC4-5D6E-409C-BE32-E72D297353CC}">
              <c16:uniqueId val="{00000000-634C-4066-A80B-B23ADF431E05}"/>
            </c:ext>
          </c:extLst>
        </c:ser>
        <c:ser>
          <c:idx val="1"/>
          <c:order val="1"/>
          <c:tx>
            <c:strRef>
              <c:f>BRI!$C$23:$C$24</c:f>
              <c:strCache>
                <c:ptCount val="1"/>
                <c:pt idx="0">
                  <c:v>1</c:v>
                </c:pt>
              </c:strCache>
            </c:strRef>
          </c:tx>
          <c:spPr>
            <a:solidFill>
              <a:schemeClr val="accent2"/>
            </a:solidFill>
            <a:ln>
              <a:noFill/>
            </a:ln>
            <a:effectLst/>
          </c:spPr>
          <c:invertIfNegative val="0"/>
          <c:cat>
            <c:strRef>
              <c:f>BRI!$A$25:$A$28</c:f>
              <c:strCache>
                <c:ptCount val="4"/>
                <c:pt idx="0">
                  <c:v>High income</c:v>
                </c:pt>
                <c:pt idx="1">
                  <c:v>Low income</c:v>
                </c:pt>
                <c:pt idx="2">
                  <c:v>Lower middle income</c:v>
                </c:pt>
                <c:pt idx="3">
                  <c:v>Upper middle income</c:v>
                </c:pt>
              </c:strCache>
            </c:strRef>
          </c:cat>
          <c:val>
            <c:numRef>
              <c:f>BRI!$C$25:$C$28</c:f>
              <c:numCache>
                <c:formatCode>General</c:formatCode>
                <c:ptCount val="4"/>
                <c:pt idx="0">
                  <c:v>31</c:v>
                </c:pt>
                <c:pt idx="1">
                  <c:v>21</c:v>
                </c:pt>
                <c:pt idx="2">
                  <c:v>46</c:v>
                </c:pt>
                <c:pt idx="3">
                  <c:v>42</c:v>
                </c:pt>
              </c:numCache>
            </c:numRef>
          </c:val>
          <c:extLst>
            <c:ext xmlns:c16="http://schemas.microsoft.com/office/drawing/2014/chart" uri="{C3380CC4-5D6E-409C-BE32-E72D297353CC}">
              <c16:uniqueId val="{00000001-634C-4066-A80B-B23ADF431E05}"/>
            </c:ext>
          </c:extLst>
        </c:ser>
        <c:dLbls>
          <c:showLegendKey val="0"/>
          <c:showVal val="0"/>
          <c:showCatName val="0"/>
          <c:showSerName val="0"/>
          <c:showPercent val="0"/>
          <c:showBubbleSize val="0"/>
        </c:dLbls>
        <c:gapWidth val="219"/>
        <c:overlap val="-27"/>
        <c:axId val="965183456"/>
        <c:axId val="960419584"/>
      </c:barChart>
      <c:catAx>
        <c:axId val="96518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0419584"/>
        <c:crosses val="autoZero"/>
        <c:auto val="1"/>
        <c:lblAlgn val="ctr"/>
        <c:lblOffset val="100"/>
        <c:noMultiLvlLbl val="0"/>
      </c:catAx>
      <c:valAx>
        <c:axId val="96041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5183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[BRI.xlsx]BRI!TablaDinámica95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BRI!$B$40</c:f>
              <c:strCache>
                <c:ptCount val="1"/>
                <c:pt idx="0">
                  <c:v>Total</c:v>
                </c:pt>
              </c:strCache>
            </c:strRef>
          </c:tx>
          <c:spPr>
            <a:solidFill>
              <a:schemeClr val="accent1"/>
            </a:solidFill>
            <a:ln>
              <a:noFill/>
            </a:ln>
            <a:effectLst/>
          </c:spPr>
          <c:invertIfNegative val="0"/>
          <c:cat>
            <c:strRef>
              <c:f>BRI!$A$41:$A$43</c:f>
              <c:strCache>
                <c:ptCount val="2"/>
                <c:pt idx="0">
                  <c:v>0</c:v>
                </c:pt>
                <c:pt idx="1">
                  <c:v>1</c:v>
                </c:pt>
              </c:strCache>
            </c:strRef>
          </c:cat>
          <c:val>
            <c:numRef>
              <c:f>BRI!$B$41:$B$43</c:f>
              <c:numCache>
                <c:formatCode>_-* #,##0_-;\-* #,##0_-;_-* "-"??_-;_-@_-</c:formatCode>
                <c:ptCount val="2"/>
                <c:pt idx="0">
                  <c:v>2805794068669</c:v>
                </c:pt>
                <c:pt idx="1">
                  <c:v>1532898606166</c:v>
                </c:pt>
              </c:numCache>
            </c:numRef>
          </c:val>
          <c:extLst>
            <c:ext xmlns:c16="http://schemas.microsoft.com/office/drawing/2014/chart" uri="{C3380CC4-5D6E-409C-BE32-E72D297353CC}">
              <c16:uniqueId val="{00000000-665B-4AA0-9FA8-75D0AA5B57BD}"/>
            </c:ext>
          </c:extLst>
        </c:ser>
        <c:dLbls>
          <c:showLegendKey val="0"/>
          <c:showVal val="0"/>
          <c:showCatName val="0"/>
          <c:showSerName val="0"/>
          <c:showPercent val="0"/>
          <c:showBubbleSize val="0"/>
        </c:dLbls>
        <c:gapWidth val="219"/>
        <c:overlap val="-27"/>
        <c:axId val="2045629664"/>
        <c:axId val="888894480"/>
      </c:barChart>
      <c:catAx>
        <c:axId val="20456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88894480"/>
        <c:crosses val="autoZero"/>
        <c:auto val="1"/>
        <c:lblAlgn val="ctr"/>
        <c:lblOffset val="100"/>
        <c:noMultiLvlLbl val="0"/>
      </c:catAx>
      <c:valAx>
        <c:axId val="88889448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45629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[BRI.xlsx]BRI!TablaDinámica98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BRI!$B$57</c:f>
              <c:strCache>
                <c:ptCount val="1"/>
                <c:pt idx="0">
                  <c:v>Total</c:v>
                </c:pt>
              </c:strCache>
            </c:strRef>
          </c:tx>
          <c:spPr>
            <a:solidFill>
              <a:schemeClr val="accent1"/>
            </a:solidFill>
            <a:ln>
              <a:noFill/>
            </a:ln>
            <a:effectLst/>
          </c:spPr>
          <c:invertIfNegative val="0"/>
          <c:cat>
            <c:strRef>
              <c:f>BRI!$A$58:$A$60</c:f>
              <c:strCache>
                <c:ptCount val="2"/>
                <c:pt idx="0">
                  <c:v>0</c:v>
                </c:pt>
                <c:pt idx="1">
                  <c:v>1</c:v>
                </c:pt>
              </c:strCache>
            </c:strRef>
          </c:cat>
          <c:val>
            <c:numRef>
              <c:f>BRI!$B$58:$B$60</c:f>
              <c:numCache>
                <c:formatCode>_-* #,##0_-;\-* #,##0_-;_-* "-"??_-;_-@_-</c:formatCode>
                <c:ptCount val="2"/>
                <c:pt idx="0">
                  <c:v>884400000000</c:v>
                </c:pt>
                <c:pt idx="1">
                  <c:v>1258430000000</c:v>
                </c:pt>
              </c:numCache>
            </c:numRef>
          </c:val>
          <c:extLst>
            <c:ext xmlns:c16="http://schemas.microsoft.com/office/drawing/2014/chart" uri="{C3380CC4-5D6E-409C-BE32-E72D297353CC}">
              <c16:uniqueId val="{00000001-DEA7-4A6E-8A87-142BCDA6AB2F}"/>
            </c:ext>
          </c:extLst>
        </c:ser>
        <c:dLbls>
          <c:showLegendKey val="0"/>
          <c:showVal val="0"/>
          <c:showCatName val="0"/>
          <c:showSerName val="0"/>
          <c:showPercent val="0"/>
          <c:showBubbleSize val="0"/>
        </c:dLbls>
        <c:gapWidth val="219"/>
        <c:overlap val="-27"/>
        <c:axId val="889667376"/>
        <c:axId val="1024489776"/>
      </c:barChart>
      <c:catAx>
        <c:axId val="8896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89776"/>
        <c:crosses val="autoZero"/>
        <c:auto val="1"/>
        <c:lblAlgn val="ctr"/>
        <c:lblOffset val="100"/>
        <c:noMultiLvlLbl val="0"/>
      </c:catAx>
      <c:valAx>
        <c:axId val="10244897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8966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[BRI.xlsx]BRI!TablaDinámica99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BRI!$B$73</c:f>
              <c:strCache>
                <c:ptCount val="1"/>
                <c:pt idx="0">
                  <c:v>Total</c:v>
                </c:pt>
              </c:strCache>
            </c:strRef>
          </c:tx>
          <c:spPr>
            <a:solidFill>
              <a:schemeClr val="accent1"/>
            </a:solidFill>
            <a:ln>
              <a:noFill/>
            </a:ln>
            <a:effectLst/>
          </c:spPr>
          <c:invertIfNegative val="0"/>
          <c:cat>
            <c:strRef>
              <c:f>BRI!$A$74:$A$76</c:f>
              <c:strCache>
                <c:ptCount val="2"/>
                <c:pt idx="0">
                  <c:v>0</c:v>
                </c:pt>
                <c:pt idx="1">
                  <c:v>1</c:v>
                </c:pt>
              </c:strCache>
            </c:strRef>
          </c:cat>
          <c:val>
            <c:numRef>
              <c:f>BRI!$B$74:$B$76</c:f>
              <c:numCache>
                <c:formatCode>_-* #,##0_-;\-* #,##0_-;_-* "-"??_-;_-@_-</c:formatCode>
                <c:ptCount val="2"/>
                <c:pt idx="0">
                  <c:v>211382756759.54254</c:v>
                </c:pt>
                <c:pt idx="1">
                  <c:v>1516499670321.9392</c:v>
                </c:pt>
              </c:numCache>
            </c:numRef>
          </c:val>
          <c:extLst>
            <c:ext xmlns:c16="http://schemas.microsoft.com/office/drawing/2014/chart" uri="{C3380CC4-5D6E-409C-BE32-E72D297353CC}">
              <c16:uniqueId val="{00000000-A95D-4344-ABCE-F3A4DB40F85E}"/>
            </c:ext>
          </c:extLst>
        </c:ser>
        <c:dLbls>
          <c:showLegendKey val="0"/>
          <c:showVal val="0"/>
          <c:showCatName val="0"/>
          <c:showSerName val="0"/>
          <c:showPercent val="0"/>
          <c:showBubbleSize val="0"/>
        </c:dLbls>
        <c:gapWidth val="219"/>
        <c:overlap val="-27"/>
        <c:axId val="2131226064"/>
        <c:axId val="1024498096"/>
      </c:barChart>
      <c:catAx>
        <c:axId val="213122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98096"/>
        <c:crosses val="autoZero"/>
        <c:auto val="1"/>
        <c:lblAlgn val="ctr"/>
        <c:lblOffset val="100"/>
        <c:noMultiLvlLbl val="0"/>
      </c:catAx>
      <c:valAx>
        <c:axId val="102449809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122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[BRI.xlsx]Inversiones!TablaDinámica45</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Inversiones!$B$4:$B$5</c:f>
              <c:strCache>
                <c:ptCount val="1"/>
                <c:pt idx="0">
                  <c:v>0</c:v>
                </c:pt>
              </c:strCache>
            </c:strRef>
          </c:tx>
          <c:spPr>
            <a:solidFill>
              <a:schemeClr val="accent1"/>
            </a:solidFill>
            <a:ln>
              <a:noFill/>
            </a:ln>
            <a:effectLst/>
          </c:spPr>
          <c:invertIfNegative val="0"/>
          <c:cat>
            <c:strRef>
              <c:f>Inversiones!$A$6:$A$10</c:f>
              <c:strCache>
                <c:ptCount val="4"/>
                <c:pt idx="0">
                  <c:v>High income</c:v>
                </c:pt>
                <c:pt idx="1">
                  <c:v>Low income</c:v>
                </c:pt>
                <c:pt idx="2">
                  <c:v>Lower middle income</c:v>
                </c:pt>
                <c:pt idx="3">
                  <c:v>Upper middle income</c:v>
                </c:pt>
              </c:strCache>
            </c:strRef>
          </c:cat>
          <c:val>
            <c:numRef>
              <c:f>Inversiones!$B$6:$B$10</c:f>
              <c:numCache>
                <c:formatCode>_-* #,##0_-;\-* #,##0_-;_-* "-"??_-;_-@_-</c:formatCode>
                <c:ptCount val="4"/>
                <c:pt idx="0">
                  <c:v>721100000000</c:v>
                </c:pt>
                <c:pt idx="1">
                  <c:v>5820000000</c:v>
                </c:pt>
                <c:pt idx="2">
                  <c:v>41450000000</c:v>
                </c:pt>
                <c:pt idx="3">
                  <c:v>114810000000</c:v>
                </c:pt>
              </c:numCache>
            </c:numRef>
          </c:val>
          <c:extLst>
            <c:ext xmlns:c16="http://schemas.microsoft.com/office/drawing/2014/chart" uri="{C3380CC4-5D6E-409C-BE32-E72D297353CC}">
              <c16:uniqueId val="{00000078-7CA3-49DE-B2FB-48FE87523D45}"/>
            </c:ext>
          </c:extLst>
        </c:ser>
        <c:ser>
          <c:idx val="1"/>
          <c:order val="1"/>
          <c:tx>
            <c:strRef>
              <c:f>Inversiones!$C$4:$C$5</c:f>
              <c:strCache>
                <c:ptCount val="1"/>
                <c:pt idx="0">
                  <c:v>1</c:v>
                </c:pt>
              </c:strCache>
            </c:strRef>
          </c:tx>
          <c:spPr>
            <a:solidFill>
              <a:schemeClr val="accent2"/>
            </a:solidFill>
            <a:ln>
              <a:noFill/>
            </a:ln>
            <a:effectLst/>
          </c:spPr>
          <c:invertIfNegative val="0"/>
          <c:cat>
            <c:strRef>
              <c:f>Inversiones!$A$6:$A$10</c:f>
              <c:strCache>
                <c:ptCount val="4"/>
                <c:pt idx="0">
                  <c:v>High income</c:v>
                </c:pt>
                <c:pt idx="1">
                  <c:v>Low income</c:v>
                </c:pt>
                <c:pt idx="2">
                  <c:v>Lower middle income</c:v>
                </c:pt>
                <c:pt idx="3">
                  <c:v>Upper middle income</c:v>
                </c:pt>
              </c:strCache>
            </c:strRef>
          </c:cat>
          <c:val>
            <c:numRef>
              <c:f>Inversiones!$C$6:$C$10</c:f>
              <c:numCache>
                <c:formatCode>_-* #,##0_-;\-* #,##0_-;_-* "-"??_-;_-@_-</c:formatCode>
                <c:ptCount val="4"/>
                <c:pt idx="0">
                  <c:v>249620000000</c:v>
                </c:pt>
                <c:pt idx="1">
                  <c:v>127560000000</c:v>
                </c:pt>
                <c:pt idx="2">
                  <c:v>564950000000</c:v>
                </c:pt>
                <c:pt idx="3">
                  <c:v>296530000000</c:v>
                </c:pt>
              </c:numCache>
            </c:numRef>
          </c:val>
          <c:extLst>
            <c:ext xmlns:c16="http://schemas.microsoft.com/office/drawing/2014/chart" uri="{C3380CC4-5D6E-409C-BE32-E72D297353CC}">
              <c16:uniqueId val="{0000007D-7CA3-49DE-B2FB-48FE87523D45}"/>
            </c:ext>
          </c:extLst>
        </c:ser>
        <c:dLbls>
          <c:dLblPos val="outEnd"/>
          <c:showLegendKey val="0"/>
          <c:showVal val="0"/>
          <c:showCatName val="0"/>
          <c:showSerName val="0"/>
          <c:showPercent val="0"/>
          <c:showBubbleSize val="0"/>
        </c:dLbls>
        <c:gapWidth val="219"/>
        <c:overlap val="-27"/>
        <c:axId val="1081992080"/>
        <c:axId val="1024510576"/>
      </c:barChart>
      <c:catAx>
        <c:axId val="10819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510576"/>
        <c:crosses val="autoZero"/>
        <c:auto val="1"/>
        <c:lblAlgn val="ctr"/>
        <c:lblOffset val="100"/>
        <c:noMultiLvlLbl val="0"/>
      </c:catAx>
      <c:valAx>
        <c:axId val="10245105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81992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[BRI.xlsx]Inversiones!TablaDinámica49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Inversiones!$O$4:$O$5</c:f>
              <c:strCache>
                <c:ptCount val="1"/>
                <c:pt idx="0">
                  <c:v>0</c:v>
                </c:pt>
              </c:strCache>
            </c:strRef>
          </c:tx>
          <c:spPr>
            <a:solidFill>
              <a:schemeClr val="accent1"/>
            </a:solidFill>
            <a:ln>
              <a:noFill/>
            </a:ln>
            <a:effectLst/>
          </c:spPr>
          <c:invertIfNegative val="0"/>
          <c:cat>
            <c:multiLvlStrRef>
              <c:f>Inversiones!$M$6:$N$26</c:f>
              <c:multiLvlStrCache>
                <c:ptCount val="21"/>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Low income</c:v>
                  </c:pt>
                  <c:pt idx="19">
                    <c:v>Lower middle income</c:v>
                  </c:pt>
                  <c:pt idx="20">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Inversiones!$O$6:$O$26</c:f>
              <c:numCache>
                <c:formatCode>_-* #,##0_-;\-* #,##0_-;_-* "-"??_-;_-@_-</c:formatCode>
                <c:ptCount val="21"/>
                <c:pt idx="0">
                  <c:v>134610000000</c:v>
                </c:pt>
                <c:pt idx="3">
                  <c:v>0</c:v>
                </c:pt>
                <c:pt idx="4">
                  <c:v>324860000000</c:v>
                </c:pt>
                <c:pt idx="6">
                  <c:v>6800000000</c:v>
                </c:pt>
                <c:pt idx="7">
                  <c:v>350000000</c:v>
                </c:pt>
                <c:pt idx="8">
                  <c:v>880000000</c:v>
                </c:pt>
                <c:pt idx="9">
                  <c:v>100200000000</c:v>
                </c:pt>
                <c:pt idx="10">
                  <c:v>12780000000</c:v>
                </c:pt>
                <c:pt idx="11">
                  <c:v>4060000000</c:v>
                </c:pt>
                <c:pt idx="12">
                  <c:v>0</c:v>
                </c:pt>
                <c:pt idx="13">
                  <c:v>6340000000</c:v>
                </c:pt>
                <c:pt idx="14">
                  <c:v>248500000000</c:v>
                </c:pt>
                <c:pt idx="16">
                  <c:v>39620000000</c:v>
                </c:pt>
                <c:pt idx="18">
                  <c:v>1760000000</c:v>
                </c:pt>
                <c:pt idx="19">
                  <c:v>950000000</c:v>
                </c:pt>
                <c:pt idx="20">
                  <c:v>1470000000</c:v>
                </c:pt>
              </c:numCache>
            </c:numRef>
          </c:val>
          <c:extLst>
            <c:ext xmlns:c16="http://schemas.microsoft.com/office/drawing/2014/chart" uri="{C3380CC4-5D6E-409C-BE32-E72D297353CC}">
              <c16:uniqueId val="{00000000-5772-413E-8529-B2C54EA21236}"/>
            </c:ext>
          </c:extLst>
        </c:ser>
        <c:ser>
          <c:idx val="1"/>
          <c:order val="1"/>
          <c:tx>
            <c:strRef>
              <c:f>Inversiones!$P$4:$P$5</c:f>
              <c:strCache>
                <c:ptCount val="1"/>
                <c:pt idx="0">
                  <c:v>1</c:v>
                </c:pt>
              </c:strCache>
            </c:strRef>
          </c:tx>
          <c:spPr>
            <a:solidFill>
              <a:schemeClr val="accent2"/>
            </a:solidFill>
            <a:ln>
              <a:noFill/>
            </a:ln>
            <a:effectLst/>
          </c:spPr>
          <c:invertIfNegative val="0"/>
          <c:cat>
            <c:multiLvlStrRef>
              <c:f>Inversiones!$M$6:$N$26</c:f>
              <c:multiLvlStrCache>
                <c:ptCount val="21"/>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Low income</c:v>
                  </c:pt>
                  <c:pt idx="19">
                    <c:v>Lower middle income</c:v>
                  </c:pt>
                  <c:pt idx="20">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Inversiones!$P$6:$P$26</c:f>
              <c:numCache>
                <c:formatCode>_-* #,##0_-;\-* #,##0_-;_-* "-"??_-;_-@_-</c:formatCode>
                <c:ptCount val="21"/>
                <c:pt idx="0">
                  <c:v>58900000000</c:v>
                </c:pt>
                <c:pt idx="1">
                  <c:v>9360000000</c:v>
                </c:pt>
                <c:pt idx="2">
                  <c:v>174160000000</c:v>
                </c:pt>
                <c:pt idx="3">
                  <c:v>54360000000</c:v>
                </c:pt>
                <c:pt idx="4">
                  <c:v>65210000000</c:v>
                </c:pt>
                <c:pt idx="5">
                  <c:v>23900000000</c:v>
                </c:pt>
                <c:pt idx="6">
                  <c:v>137980000000</c:v>
                </c:pt>
                <c:pt idx="7">
                  <c:v>19160000000</c:v>
                </c:pt>
                <c:pt idx="8">
                  <c:v>5060000000</c:v>
                </c:pt>
                <c:pt idx="9">
                  <c:v>50640000000</c:v>
                </c:pt>
                <c:pt idx="10">
                  <c:v>106350000000</c:v>
                </c:pt>
                <c:pt idx="11">
                  <c:v>1710000000</c:v>
                </c:pt>
                <c:pt idx="12">
                  <c:v>80880000000</c:v>
                </c:pt>
                <c:pt idx="13">
                  <c:v>27730000000</c:v>
                </c:pt>
                <c:pt idx="15">
                  <c:v>3480000000</c:v>
                </c:pt>
                <c:pt idx="16">
                  <c:v>111570000000</c:v>
                </c:pt>
                <c:pt idx="17">
                  <c:v>1230000000</c:v>
                </c:pt>
                <c:pt idx="18">
                  <c:v>113010000000</c:v>
                </c:pt>
                <c:pt idx="19">
                  <c:v>169380000000</c:v>
                </c:pt>
                <c:pt idx="20">
                  <c:v>24590000000</c:v>
                </c:pt>
              </c:numCache>
            </c:numRef>
          </c:val>
          <c:extLst>
            <c:ext xmlns:c16="http://schemas.microsoft.com/office/drawing/2014/chart" uri="{C3380CC4-5D6E-409C-BE32-E72D297353CC}">
              <c16:uniqueId val="{00000001-5772-413E-8529-B2C54EA21236}"/>
            </c:ext>
          </c:extLst>
        </c:ser>
        <c:dLbls>
          <c:showLegendKey val="0"/>
          <c:showVal val="0"/>
          <c:showCatName val="0"/>
          <c:showSerName val="0"/>
          <c:showPercent val="0"/>
          <c:showBubbleSize val="0"/>
        </c:dLbls>
        <c:gapWidth val="219"/>
        <c:overlap val="-27"/>
        <c:axId val="965307376"/>
        <c:axId val="1024472720"/>
      </c:barChart>
      <c:catAx>
        <c:axId val="9653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72720"/>
        <c:crosses val="autoZero"/>
        <c:auto val="1"/>
        <c:lblAlgn val="ctr"/>
        <c:lblOffset val="100"/>
        <c:noMultiLvlLbl val="0"/>
      </c:catAx>
      <c:valAx>
        <c:axId val="102447272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530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[BRI.xlsx]Inversiones!TablaDinámica46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Inversiones!$B$39:$B$40</c:f>
              <c:strCache>
                <c:ptCount val="1"/>
                <c:pt idx="0">
                  <c:v>0</c:v>
                </c:pt>
              </c:strCache>
            </c:strRef>
          </c:tx>
          <c:spPr>
            <a:solidFill>
              <a:schemeClr val="accent1"/>
            </a:solidFill>
            <a:ln>
              <a:noFill/>
            </a:ln>
            <a:effectLst/>
          </c:spPr>
          <c:invertIfNegative val="0"/>
          <c:cat>
            <c:strRef>
              <c:f>Inversiones!$A$41:$A$48</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Inversiones!$B$41:$B$48</c:f>
              <c:numCache>
                <c:formatCode>_-* #,##0_-;\-* #,##0_-;_-* "-"??_-;_-@_-</c:formatCode>
                <c:ptCount val="7"/>
                <c:pt idx="0">
                  <c:v>135830000000</c:v>
                </c:pt>
                <c:pt idx="1">
                  <c:v>331660000000</c:v>
                </c:pt>
                <c:pt idx="2">
                  <c:v>101430000000</c:v>
                </c:pt>
                <c:pt idx="3">
                  <c:v>23180000000</c:v>
                </c:pt>
                <c:pt idx="4">
                  <c:v>248500000000</c:v>
                </c:pt>
                <c:pt idx="5">
                  <c:v>39620000000</c:v>
                </c:pt>
                <c:pt idx="6">
                  <c:v>4180000000</c:v>
                </c:pt>
              </c:numCache>
            </c:numRef>
          </c:val>
          <c:extLst>
            <c:ext xmlns:c16="http://schemas.microsoft.com/office/drawing/2014/chart" uri="{C3380CC4-5D6E-409C-BE32-E72D297353CC}">
              <c16:uniqueId val="{00000000-0829-4A10-9E34-EF52AB0DF43D}"/>
            </c:ext>
          </c:extLst>
        </c:ser>
        <c:ser>
          <c:idx val="1"/>
          <c:order val="1"/>
          <c:tx>
            <c:strRef>
              <c:f>Inversiones!$C$39:$C$40</c:f>
              <c:strCache>
                <c:ptCount val="1"/>
                <c:pt idx="0">
                  <c:v>1</c:v>
                </c:pt>
              </c:strCache>
            </c:strRef>
          </c:tx>
          <c:spPr>
            <a:solidFill>
              <a:schemeClr val="accent2"/>
            </a:solidFill>
            <a:ln>
              <a:noFill/>
            </a:ln>
            <a:effectLst/>
          </c:spPr>
          <c:invertIfNegative val="0"/>
          <c:cat>
            <c:strRef>
              <c:f>Inversiones!$A$41:$A$48</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Inversiones!$C$41:$C$48</c:f>
              <c:numCache>
                <c:formatCode>_-* #,##0_-;\-* #,##0_-;_-* "-"??_-;_-@_-</c:formatCode>
                <c:ptCount val="7"/>
                <c:pt idx="0">
                  <c:v>296780000000</c:v>
                </c:pt>
                <c:pt idx="1">
                  <c:v>227090000000</c:v>
                </c:pt>
                <c:pt idx="2">
                  <c:v>94630000000</c:v>
                </c:pt>
                <c:pt idx="3">
                  <c:v>216670000000</c:v>
                </c:pt>
                <c:pt idx="5">
                  <c:v>116280000000</c:v>
                </c:pt>
                <c:pt idx="6">
                  <c:v>306980000000</c:v>
                </c:pt>
              </c:numCache>
            </c:numRef>
          </c:val>
          <c:extLst>
            <c:ext xmlns:c16="http://schemas.microsoft.com/office/drawing/2014/chart" uri="{C3380CC4-5D6E-409C-BE32-E72D297353CC}">
              <c16:uniqueId val="{00000001-0829-4A10-9E34-EF52AB0DF43D}"/>
            </c:ext>
          </c:extLst>
        </c:ser>
        <c:dLbls>
          <c:showLegendKey val="0"/>
          <c:showVal val="0"/>
          <c:showCatName val="0"/>
          <c:showSerName val="0"/>
          <c:showPercent val="0"/>
          <c:showBubbleSize val="0"/>
        </c:dLbls>
        <c:gapWidth val="219"/>
        <c:overlap val="-27"/>
        <c:axId val="965282976"/>
        <c:axId val="1024453584"/>
      </c:barChart>
      <c:catAx>
        <c:axId val="96528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53584"/>
        <c:crosses val="autoZero"/>
        <c:auto val="1"/>
        <c:lblAlgn val="ctr"/>
        <c:lblOffset val="100"/>
        <c:noMultiLvlLbl val="0"/>
      </c:catAx>
      <c:valAx>
        <c:axId val="10244535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528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[BRI.xlsx]Inversiones!TablaDinámica51</c:name>
    <c:fmtId val="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Inversiones!$B$23</c:f>
              <c:strCache>
                <c:ptCount val="1"/>
                <c:pt idx="0">
                  <c:v>Suma de amount-investbri0</c:v>
                </c:pt>
              </c:strCache>
            </c:strRef>
          </c:tx>
          <c:spPr>
            <a:solidFill>
              <a:schemeClr val="accent2">
                <a:tint val="77000"/>
              </a:schemeClr>
            </a:solidFill>
            <a:ln>
              <a:noFill/>
            </a:ln>
            <a:effectLst/>
          </c:spPr>
          <c:invertIfNegative val="0"/>
          <c:cat>
            <c:strRef>
              <c:f>Inversiones!$A$24:$A$28</c:f>
              <c:strCache>
                <c:ptCount val="4"/>
                <c:pt idx="0">
                  <c:v>High income</c:v>
                </c:pt>
                <c:pt idx="1">
                  <c:v>Low income</c:v>
                </c:pt>
                <c:pt idx="2">
                  <c:v>Lower middle income</c:v>
                </c:pt>
                <c:pt idx="3">
                  <c:v>Upper middle income</c:v>
                </c:pt>
              </c:strCache>
            </c:strRef>
          </c:cat>
          <c:val>
            <c:numRef>
              <c:f>Inversiones!$B$24:$B$28</c:f>
              <c:numCache>
                <c:formatCode>_-* #,##0_-;\-* #,##0_-;_-* "-"??_-;_-@_-</c:formatCode>
                <c:ptCount val="4"/>
                <c:pt idx="0">
                  <c:v>67710000000</c:v>
                </c:pt>
                <c:pt idx="1">
                  <c:v>78150000000</c:v>
                </c:pt>
                <c:pt idx="2">
                  <c:v>197250000000</c:v>
                </c:pt>
                <c:pt idx="3">
                  <c:v>124510000000</c:v>
                </c:pt>
              </c:numCache>
            </c:numRef>
          </c:val>
          <c:extLst>
            <c:ext xmlns:c16="http://schemas.microsoft.com/office/drawing/2014/chart" uri="{C3380CC4-5D6E-409C-BE32-E72D297353CC}">
              <c16:uniqueId val="{00000000-58E4-4A4A-A9E3-8B9AC7F2774D}"/>
            </c:ext>
          </c:extLst>
        </c:ser>
        <c:ser>
          <c:idx val="1"/>
          <c:order val="1"/>
          <c:tx>
            <c:strRef>
              <c:f>Inversiones!$C$23</c:f>
              <c:strCache>
                <c:ptCount val="1"/>
                <c:pt idx="0">
                  <c:v>Suma de amount-investbri1</c:v>
                </c:pt>
              </c:strCache>
            </c:strRef>
          </c:tx>
          <c:spPr>
            <a:solidFill>
              <a:schemeClr val="accent2">
                <a:shade val="76000"/>
              </a:schemeClr>
            </a:solidFill>
            <a:ln>
              <a:noFill/>
            </a:ln>
            <a:effectLst/>
          </c:spPr>
          <c:invertIfNegative val="0"/>
          <c:cat>
            <c:strRef>
              <c:f>Inversiones!$A$24:$A$28</c:f>
              <c:strCache>
                <c:ptCount val="4"/>
                <c:pt idx="0">
                  <c:v>High income</c:v>
                </c:pt>
                <c:pt idx="1">
                  <c:v>Low income</c:v>
                </c:pt>
                <c:pt idx="2">
                  <c:v>Lower middle income</c:v>
                </c:pt>
                <c:pt idx="3">
                  <c:v>Upper middle income</c:v>
                </c:pt>
              </c:strCache>
            </c:strRef>
          </c:cat>
          <c:val>
            <c:numRef>
              <c:f>Inversiones!$C$24:$C$28</c:f>
              <c:numCache>
                <c:formatCode>_-* #,##0_-;\-* #,##0_-;_-* "-"??_-;_-@_-</c:formatCode>
                <c:ptCount val="4"/>
                <c:pt idx="0">
                  <c:v>181910000000</c:v>
                </c:pt>
                <c:pt idx="1">
                  <c:v>49410000000</c:v>
                </c:pt>
                <c:pt idx="2">
                  <c:v>367700000000</c:v>
                </c:pt>
                <c:pt idx="3">
                  <c:v>172020000000</c:v>
                </c:pt>
              </c:numCache>
            </c:numRef>
          </c:val>
          <c:extLst>
            <c:ext xmlns:c16="http://schemas.microsoft.com/office/drawing/2014/chart" uri="{C3380CC4-5D6E-409C-BE32-E72D297353CC}">
              <c16:uniqueId val="{00000001-58E4-4A4A-A9E3-8B9AC7F2774D}"/>
            </c:ext>
          </c:extLst>
        </c:ser>
        <c:dLbls>
          <c:showLegendKey val="0"/>
          <c:showVal val="0"/>
          <c:showCatName val="0"/>
          <c:showSerName val="0"/>
          <c:showPercent val="0"/>
          <c:showBubbleSize val="0"/>
        </c:dLbls>
        <c:gapWidth val="219"/>
        <c:overlap val="-27"/>
        <c:axId val="893887312"/>
        <c:axId val="1024519728"/>
      </c:barChart>
      <c:catAx>
        <c:axId val="89388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519728"/>
        <c:crosses val="autoZero"/>
        <c:auto val="1"/>
        <c:lblAlgn val="ctr"/>
        <c:lblOffset val="100"/>
        <c:noMultiLvlLbl val="0"/>
      </c:catAx>
      <c:valAx>
        <c:axId val="10245197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9388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[BRI.xlsx]Inversiones!TablaDinámica52</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Inversiones!$B$64</c:f>
              <c:strCache>
                <c:ptCount val="1"/>
                <c:pt idx="0">
                  <c:v>Suma de amount-investbri0</c:v>
                </c:pt>
              </c:strCache>
            </c:strRef>
          </c:tx>
          <c:spPr>
            <a:solidFill>
              <a:schemeClr val="accent2">
                <a:tint val="77000"/>
              </a:schemeClr>
            </a:solidFill>
            <a:ln>
              <a:noFill/>
            </a:ln>
            <a:effectLst/>
          </c:spPr>
          <c:invertIfNegative val="0"/>
          <c:cat>
            <c:strRef>
              <c:f>Inversiones!$A$65:$A$71</c:f>
              <c:strCache>
                <c:ptCount val="6"/>
                <c:pt idx="0">
                  <c:v>East Asia &amp; Pacific</c:v>
                </c:pt>
                <c:pt idx="1">
                  <c:v>Europe &amp; Central Asia</c:v>
                </c:pt>
                <c:pt idx="2">
                  <c:v>Latin America &amp; Caribbean</c:v>
                </c:pt>
                <c:pt idx="3">
                  <c:v>Middle East &amp; North Africa</c:v>
                </c:pt>
                <c:pt idx="4">
                  <c:v>South Asia</c:v>
                </c:pt>
                <c:pt idx="5">
                  <c:v>Sub-Saharan Africa</c:v>
                </c:pt>
              </c:strCache>
            </c:strRef>
          </c:cat>
          <c:val>
            <c:numRef>
              <c:f>Inversiones!$B$65:$B$71</c:f>
              <c:numCache>
                <c:formatCode>_-* #,##0_-;\-* #,##0_-;_-* "-"??_-;_-@_-</c:formatCode>
                <c:ptCount val="6"/>
                <c:pt idx="0">
                  <c:v>87770000000</c:v>
                </c:pt>
                <c:pt idx="1">
                  <c:v>92760000000</c:v>
                </c:pt>
                <c:pt idx="2">
                  <c:v>31650000000</c:v>
                </c:pt>
                <c:pt idx="3">
                  <c:v>91400000000</c:v>
                </c:pt>
                <c:pt idx="4">
                  <c:v>26250000000</c:v>
                </c:pt>
                <c:pt idx="5">
                  <c:v>149420000000</c:v>
                </c:pt>
              </c:numCache>
            </c:numRef>
          </c:val>
          <c:extLst>
            <c:ext xmlns:c16="http://schemas.microsoft.com/office/drawing/2014/chart" uri="{C3380CC4-5D6E-409C-BE32-E72D297353CC}">
              <c16:uniqueId val="{00000000-FD18-481D-A7D6-1C3E9EEC695E}"/>
            </c:ext>
          </c:extLst>
        </c:ser>
        <c:ser>
          <c:idx val="1"/>
          <c:order val="1"/>
          <c:tx>
            <c:strRef>
              <c:f>Inversiones!$C$64</c:f>
              <c:strCache>
                <c:ptCount val="1"/>
                <c:pt idx="0">
                  <c:v>Suma de amount-investbri1</c:v>
                </c:pt>
              </c:strCache>
            </c:strRef>
          </c:tx>
          <c:spPr>
            <a:solidFill>
              <a:schemeClr val="accent2">
                <a:shade val="76000"/>
              </a:schemeClr>
            </a:solidFill>
            <a:ln>
              <a:noFill/>
            </a:ln>
            <a:effectLst/>
          </c:spPr>
          <c:invertIfNegative val="0"/>
          <c:cat>
            <c:strRef>
              <c:f>Inversiones!$A$65:$A$71</c:f>
              <c:strCache>
                <c:ptCount val="6"/>
                <c:pt idx="0">
                  <c:v>East Asia &amp; Pacific</c:v>
                </c:pt>
                <c:pt idx="1">
                  <c:v>Europe &amp; Central Asia</c:v>
                </c:pt>
                <c:pt idx="2">
                  <c:v>Latin America &amp; Caribbean</c:v>
                </c:pt>
                <c:pt idx="3">
                  <c:v>Middle East &amp; North Africa</c:v>
                </c:pt>
                <c:pt idx="4">
                  <c:v>South Asia</c:v>
                </c:pt>
                <c:pt idx="5">
                  <c:v>Sub-Saharan Africa</c:v>
                </c:pt>
              </c:strCache>
            </c:strRef>
          </c:cat>
          <c:val>
            <c:numRef>
              <c:f>Inversiones!$C$65:$C$71</c:f>
              <c:numCache>
                <c:formatCode>_-* #,##0_-;\-* #,##0_-;_-* "-"??_-;_-@_-</c:formatCode>
                <c:ptCount val="6"/>
                <c:pt idx="0">
                  <c:v>209010000000</c:v>
                </c:pt>
                <c:pt idx="1">
                  <c:v>134330000000</c:v>
                </c:pt>
                <c:pt idx="2">
                  <c:v>62980000000</c:v>
                </c:pt>
                <c:pt idx="3">
                  <c:v>125270000000</c:v>
                </c:pt>
                <c:pt idx="4">
                  <c:v>90030000000</c:v>
                </c:pt>
                <c:pt idx="5">
                  <c:v>157560000000</c:v>
                </c:pt>
              </c:numCache>
            </c:numRef>
          </c:val>
          <c:extLst>
            <c:ext xmlns:c16="http://schemas.microsoft.com/office/drawing/2014/chart" uri="{C3380CC4-5D6E-409C-BE32-E72D297353CC}">
              <c16:uniqueId val="{00000001-FD18-481D-A7D6-1C3E9EEC695E}"/>
            </c:ext>
          </c:extLst>
        </c:ser>
        <c:dLbls>
          <c:showLegendKey val="0"/>
          <c:showVal val="0"/>
          <c:showCatName val="0"/>
          <c:showSerName val="0"/>
          <c:showPercent val="0"/>
          <c:showBubbleSize val="0"/>
        </c:dLbls>
        <c:gapWidth val="219"/>
        <c:overlap val="-27"/>
        <c:axId val="957280864"/>
        <c:axId val="1024452752"/>
      </c:barChart>
      <c:catAx>
        <c:axId val="95728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52752"/>
        <c:crosses val="autoZero"/>
        <c:auto val="1"/>
        <c:lblAlgn val="ctr"/>
        <c:lblOffset val="100"/>
        <c:noMultiLvlLbl val="0"/>
      </c:catAx>
      <c:valAx>
        <c:axId val="102445275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57280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[BRI.xlsx]Comercio!TablaDinámica47</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Comercio!$C$4:$C$5</c:f>
              <c:strCache>
                <c:ptCount val="1"/>
                <c:pt idx="0">
                  <c:v>0</c:v>
                </c:pt>
              </c:strCache>
            </c:strRef>
          </c:tx>
          <c:spPr>
            <a:solidFill>
              <a:schemeClr val="accent1"/>
            </a:solidFill>
            <a:ln>
              <a:noFill/>
            </a:ln>
            <a:effectLst/>
          </c:spPr>
          <c:invertIfNegative val="0"/>
          <c:cat>
            <c:strRef>
              <c:f>Comercio!$B$6:$B$13</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Comercio!$C$6:$C$13</c:f>
              <c:numCache>
                <c:formatCode>_-* #,##0_-;\-* #,##0_-;_-* "-"??_-;_-@_-</c:formatCode>
                <c:ptCount val="7"/>
                <c:pt idx="0">
                  <c:v>1171273394000</c:v>
                </c:pt>
                <c:pt idx="1">
                  <c:v>650299484000</c:v>
                </c:pt>
                <c:pt idx="2">
                  <c:v>224876127199</c:v>
                </c:pt>
                <c:pt idx="3">
                  <c:v>19563605470</c:v>
                </c:pt>
                <c:pt idx="4">
                  <c:v>651461864000</c:v>
                </c:pt>
                <c:pt idx="5">
                  <c:v>85691777000</c:v>
                </c:pt>
                <c:pt idx="6">
                  <c:v>2627817000</c:v>
                </c:pt>
              </c:numCache>
            </c:numRef>
          </c:val>
          <c:extLst>
            <c:ext xmlns:c16="http://schemas.microsoft.com/office/drawing/2014/chart" uri="{C3380CC4-5D6E-409C-BE32-E72D297353CC}">
              <c16:uniqueId val="{00000000-7C40-44A8-8B00-548A3895DC31}"/>
            </c:ext>
          </c:extLst>
        </c:ser>
        <c:ser>
          <c:idx val="1"/>
          <c:order val="1"/>
          <c:tx>
            <c:strRef>
              <c:f>Comercio!$D$4:$D$5</c:f>
              <c:strCache>
                <c:ptCount val="1"/>
                <c:pt idx="0">
                  <c:v>1</c:v>
                </c:pt>
              </c:strCache>
            </c:strRef>
          </c:tx>
          <c:spPr>
            <a:solidFill>
              <a:schemeClr val="accent2"/>
            </a:solidFill>
            <a:ln>
              <a:noFill/>
            </a:ln>
            <a:effectLst/>
          </c:spPr>
          <c:invertIfNegative val="0"/>
          <c:cat>
            <c:strRef>
              <c:f>Comercio!$B$6:$B$13</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Comercio!$D$6:$D$13</c:f>
              <c:numCache>
                <c:formatCode>_-* #,##0_-;\-* #,##0_-;_-* "-"??_-;_-@_-</c:formatCode>
                <c:ptCount val="7"/>
                <c:pt idx="0">
                  <c:v>772174517791</c:v>
                </c:pt>
                <c:pt idx="1">
                  <c:v>354818791000</c:v>
                </c:pt>
                <c:pt idx="2">
                  <c:v>94608290351</c:v>
                </c:pt>
                <c:pt idx="3">
                  <c:v>175888251553</c:v>
                </c:pt>
                <c:pt idx="5">
                  <c:v>37131471094</c:v>
                </c:pt>
                <c:pt idx="6">
                  <c:v>98277284377</c:v>
                </c:pt>
              </c:numCache>
            </c:numRef>
          </c:val>
          <c:extLst>
            <c:ext xmlns:c16="http://schemas.microsoft.com/office/drawing/2014/chart" uri="{C3380CC4-5D6E-409C-BE32-E72D297353CC}">
              <c16:uniqueId val="{00000001-7C40-44A8-8B00-548A3895DC31}"/>
            </c:ext>
          </c:extLst>
        </c:ser>
        <c:dLbls>
          <c:showLegendKey val="0"/>
          <c:showVal val="0"/>
          <c:showCatName val="0"/>
          <c:showSerName val="0"/>
          <c:showPercent val="0"/>
          <c:showBubbleSize val="0"/>
        </c:dLbls>
        <c:gapWidth val="219"/>
        <c:overlap val="-27"/>
        <c:axId val="965285376"/>
        <c:axId val="1024492688"/>
      </c:barChart>
      <c:catAx>
        <c:axId val="96528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92688"/>
        <c:crosses val="autoZero"/>
        <c:auto val="1"/>
        <c:lblAlgn val="ctr"/>
        <c:lblOffset val="100"/>
        <c:noMultiLvlLbl val="0"/>
      </c:catAx>
      <c:valAx>
        <c:axId val="102449268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5285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[BRI.xlsx]Comercio!TablaDinámica48</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Comercio!$C$30:$C$31</c:f>
              <c:strCache>
                <c:ptCount val="1"/>
                <c:pt idx="0">
                  <c:v>0</c:v>
                </c:pt>
              </c:strCache>
            </c:strRef>
          </c:tx>
          <c:spPr>
            <a:solidFill>
              <a:schemeClr val="accent1"/>
            </a:solidFill>
            <a:ln>
              <a:noFill/>
            </a:ln>
            <a:effectLst/>
          </c:spPr>
          <c:invertIfNegative val="0"/>
          <c:cat>
            <c:strRef>
              <c:f>Comercio!$B$32:$B$36</c:f>
              <c:strCache>
                <c:ptCount val="4"/>
                <c:pt idx="0">
                  <c:v>High income</c:v>
                </c:pt>
                <c:pt idx="1">
                  <c:v>Low income</c:v>
                </c:pt>
                <c:pt idx="2">
                  <c:v>Lower middle income</c:v>
                </c:pt>
                <c:pt idx="3">
                  <c:v>Upper middle income</c:v>
                </c:pt>
              </c:strCache>
            </c:strRef>
          </c:cat>
          <c:val>
            <c:numRef>
              <c:f>Comercio!$C$32:$C$36</c:f>
              <c:numCache>
                <c:formatCode>_-* #,##0_-;\-* #,##0_-;_-* "-"??_-;_-@_-</c:formatCode>
                <c:ptCount val="4"/>
                <c:pt idx="0">
                  <c:v>2327238418000</c:v>
                </c:pt>
                <c:pt idx="1">
                  <c:v>2837662000</c:v>
                </c:pt>
                <c:pt idx="2">
                  <c:v>87439568730</c:v>
                </c:pt>
                <c:pt idx="3">
                  <c:v>238959120939</c:v>
                </c:pt>
              </c:numCache>
            </c:numRef>
          </c:val>
          <c:extLst>
            <c:ext xmlns:c16="http://schemas.microsoft.com/office/drawing/2014/chart" uri="{C3380CC4-5D6E-409C-BE32-E72D297353CC}">
              <c16:uniqueId val="{00000000-9AD8-4F58-A809-F617EBEBA523}"/>
            </c:ext>
          </c:extLst>
        </c:ser>
        <c:ser>
          <c:idx val="1"/>
          <c:order val="1"/>
          <c:tx>
            <c:strRef>
              <c:f>Comercio!$D$30:$D$31</c:f>
              <c:strCache>
                <c:ptCount val="1"/>
                <c:pt idx="0">
                  <c:v>1</c:v>
                </c:pt>
              </c:strCache>
            </c:strRef>
          </c:tx>
          <c:spPr>
            <a:solidFill>
              <a:schemeClr val="accent2"/>
            </a:solidFill>
            <a:ln>
              <a:noFill/>
            </a:ln>
            <a:effectLst/>
          </c:spPr>
          <c:invertIfNegative val="0"/>
          <c:cat>
            <c:strRef>
              <c:f>Comercio!$B$32:$B$36</c:f>
              <c:strCache>
                <c:ptCount val="4"/>
                <c:pt idx="0">
                  <c:v>High income</c:v>
                </c:pt>
                <c:pt idx="1">
                  <c:v>Low income</c:v>
                </c:pt>
                <c:pt idx="2">
                  <c:v>Lower middle income</c:v>
                </c:pt>
                <c:pt idx="3">
                  <c:v>Upper middle income</c:v>
                </c:pt>
              </c:strCache>
            </c:strRef>
          </c:cat>
          <c:val>
            <c:numRef>
              <c:f>Comercio!$D$32:$D$36</c:f>
              <c:numCache>
                <c:formatCode>_-* #,##0_-;\-* #,##0_-;_-* "-"??_-;_-@_-</c:formatCode>
                <c:ptCount val="4"/>
                <c:pt idx="0">
                  <c:v>405723289244</c:v>
                </c:pt>
                <c:pt idx="1">
                  <c:v>276742078450</c:v>
                </c:pt>
                <c:pt idx="2">
                  <c:v>398773040720</c:v>
                </c:pt>
                <c:pt idx="3">
                  <c:v>445331966752</c:v>
                </c:pt>
              </c:numCache>
            </c:numRef>
          </c:val>
          <c:extLst>
            <c:ext xmlns:c16="http://schemas.microsoft.com/office/drawing/2014/chart" uri="{C3380CC4-5D6E-409C-BE32-E72D297353CC}">
              <c16:uniqueId val="{00000001-9AD8-4F58-A809-F617EBEBA523}"/>
            </c:ext>
          </c:extLst>
        </c:ser>
        <c:dLbls>
          <c:showLegendKey val="0"/>
          <c:showVal val="0"/>
          <c:showCatName val="0"/>
          <c:showSerName val="0"/>
          <c:showPercent val="0"/>
          <c:showBubbleSize val="0"/>
        </c:dLbls>
        <c:gapWidth val="219"/>
        <c:overlap val="-27"/>
        <c:axId val="965317776"/>
        <c:axId val="1024502256"/>
      </c:barChart>
      <c:catAx>
        <c:axId val="9653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502256"/>
        <c:crosses val="autoZero"/>
        <c:auto val="1"/>
        <c:lblAlgn val="ctr"/>
        <c:lblOffset val="100"/>
        <c:noMultiLvlLbl val="0"/>
      </c:catAx>
      <c:valAx>
        <c:axId val="102450225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5317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[BRI.xlsx]Comercio!TablaDinámica50</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Comercio!$S$5:$S$6</c:f>
              <c:strCache>
                <c:ptCount val="1"/>
                <c:pt idx="0">
                  <c:v>0</c:v>
                </c:pt>
              </c:strCache>
            </c:strRef>
          </c:tx>
          <c:spPr>
            <a:solidFill>
              <a:schemeClr val="accent1"/>
            </a:solidFill>
            <a:ln>
              <a:noFill/>
            </a:ln>
            <a:effectLst/>
          </c:spPr>
          <c:invertIfNegative val="0"/>
          <c:cat>
            <c:multiLvlStrRef>
              <c:f>Comercio!$Q$7:$R$28</c:f>
              <c:multiLvlStrCache>
                <c:ptCount val="22"/>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High income</c:v>
                  </c:pt>
                  <c:pt idx="19">
                    <c:v>Low income</c:v>
                  </c:pt>
                  <c:pt idx="20">
                    <c:v>Lower middle income</c:v>
                  </c:pt>
                  <c:pt idx="21">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Comercio!$S$7:$S$28</c:f>
              <c:numCache>
                <c:formatCode>_-* #,##0_-;\-* #,##0_-;_-* "-"??_-;_-@_-</c:formatCode>
                <c:ptCount val="22"/>
                <c:pt idx="0">
                  <c:v>11</c:v>
                </c:pt>
                <c:pt idx="3">
                  <c:v>2</c:v>
                </c:pt>
                <c:pt idx="4">
                  <c:v>17</c:v>
                </c:pt>
                <c:pt idx="6">
                  <c:v>2</c:v>
                </c:pt>
                <c:pt idx="7">
                  <c:v>11</c:v>
                </c:pt>
                <c:pt idx="8">
                  <c:v>4</c:v>
                </c:pt>
                <c:pt idx="9">
                  <c:v>8</c:v>
                </c:pt>
                <c:pt idx="10">
                  <c:v>1</c:v>
                </c:pt>
                <c:pt idx="11">
                  <c:v>1</c:v>
                </c:pt>
                <c:pt idx="12">
                  <c:v>1</c:v>
                </c:pt>
                <c:pt idx="13">
                  <c:v>1</c:v>
                </c:pt>
                <c:pt idx="14">
                  <c:v>3</c:v>
                </c:pt>
                <c:pt idx="16">
                  <c:v>2</c:v>
                </c:pt>
                <c:pt idx="19">
                  <c:v>5</c:v>
                </c:pt>
                <c:pt idx="20">
                  <c:v>2</c:v>
                </c:pt>
                <c:pt idx="21">
                  <c:v>1</c:v>
                </c:pt>
              </c:numCache>
            </c:numRef>
          </c:val>
          <c:extLst>
            <c:ext xmlns:c16="http://schemas.microsoft.com/office/drawing/2014/chart" uri="{C3380CC4-5D6E-409C-BE32-E72D297353CC}">
              <c16:uniqueId val="{00000000-716D-46FB-9C28-03E2AD04D756}"/>
            </c:ext>
          </c:extLst>
        </c:ser>
        <c:ser>
          <c:idx val="1"/>
          <c:order val="1"/>
          <c:tx>
            <c:strRef>
              <c:f>Comercio!$T$5:$T$6</c:f>
              <c:strCache>
                <c:ptCount val="1"/>
                <c:pt idx="0">
                  <c:v>1</c:v>
                </c:pt>
              </c:strCache>
            </c:strRef>
          </c:tx>
          <c:spPr>
            <a:solidFill>
              <a:schemeClr val="accent2"/>
            </a:solidFill>
            <a:ln>
              <a:noFill/>
            </a:ln>
            <a:effectLst/>
          </c:spPr>
          <c:invertIfNegative val="0"/>
          <c:cat>
            <c:multiLvlStrRef>
              <c:f>Comercio!$Q$7:$R$28</c:f>
              <c:multiLvlStrCache>
                <c:ptCount val="22"/>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High income</c:v>
                  </c:pt>
                  <c:pt idx="19">
                    <c:v>Low income</c:v>
                  </c:pt>
                  <c:pt idx="20">
                    <c:v>Lower middle income</c:v>
                  </c:pt>
                  <c:pt idx="21">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Comercio!$T$7:$T$28</c:f>
              <c:numCache>
                <c:formatCode>_-* #,##0_-;\-* #,##0_-;_-* "-"??_-;_-@_-</c:formatCode>
                <c:ptCount val="22"/>
                <c:pt idx="0">
                  <c:v>3</c:v>
                </c:pt>
                <c:pt idx="1">
                  <c:v>1</c:v>
                </c:pt>
                <c:pt idx="2">
                  <c:v>14</c:v>
                </c:pt>
                <c:pt idx="3">
                  <c:v>7</c:v>
                </c:pt>
                <c:pt idx="4">
                  <c:v>15</c:v>
                </c:pt>
                <c:pt idx="5">
                  <c:v>4</c:v>
                </c:pt>
                <c:pt idx="6">
                  <c:v>15</c:v>
                </c:pt>
                <c:pt idx="7">
                  <c:v>5</c:v>
                </c:pt>
                <c:pt idx="8">
                  <c:v>2</c:v>
                </c:pt>
                <c:pt idx="9">
                  <c:v>11</c:v>
                </c:pt>
                <c:pt idx="10">
                  <c:v>7</c:v>
                </c:pt>
                <c:pt idx="11">
                  <c:v>1</c:v>
                </c:pt>
                <c:pt idx="12">
                  <c:v>6</c:v>
                </c:pt>
                <c:pt idx="13">
                  <c:v>3</c:v>
                </c:pt>
                <c:pt idx="15">
                  <c:v>1</c:v>
                </c:pt>
                <c:pt idx="16">
                  <c:v>4</c:v>
                </c:pt>
                <c:pt idx="17">
                  <c:v>1</c:v>
                </c:pt>
                <c:pt idx="18">
                  <c:v>1</c:v>
                </c:pt>
                <c:pt idx="19">
                  <c:v>18</c:v>
                </c:pt>
                <c:pt idx="20">
                  <c:v>16</c:v>
                </c:pt>
                <c:pt idx="21">
                  <c:v>5</c:v>
                </c:pt>
              </c:numCache>
            </c:numRef>
          </c:val>
          <c:extLst>
            <c:ext xmlns:c16="http://schemas.microsoft.com/office/drawing/2014/chart" uri="{C3380CC4-5D6E-409C-BE32-E72D297353CC}">
              <c16:uniqueId val="{00000001-716D-46FB-9C28-03E2AD04D756}"/>
            </c:ext>
          </c:extLst>
        </c:ser>
        <c:dLbls>
          <c:showLegendKey val="0"/>
          <c:showVal val="0"/>
          <c:showCatName val="0"/>
          <c:showSerName val="0"/>
          <c:showPercent val="0"/>
          <c:showBubbleSize val="0"/>
        </c:dLbls>
        <c:gapWidth val="219"/>
        <c:overlap val="-27"/>
        <c:axId val="1086468752"/>
        <c:axId val="1024515152"/>
      </c:barChart>
      <c:catAx>
        <c:axId val="108646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515152"/>
        <c:crosses val="autoZero"/>
        <c:auto val="1"/>
        <c:lblAlgn val="ctr"/>
        <c:lblOffset val="100"/>
        <c:noMultiLvlLbl val="0"/>
      </c:catAx>
      <c:valAx>
        <c:axId val="102451515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8646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[BRI.xlsx]Comercio!TablaDinámica62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Comercio!$E$56</c:f>
              <c:strCache>
                <c:ptCount val="1"/>
                <c:pt idx="0">
                  <c:v>Suma de exports-rpc</c:v>
                </c:pt>
              </c:strCache>
            </c:strRef>
          </c:tx>
          <c:spPr>
            <a:solidFill>
              <a:schemeClr val="accent2"/>
            </a:solidFill>
            <a:ln>
              <a:noFill/>
            </a:ln>
            <a:effectLst/>
          </c:spPr>
          <c:invertIfNegative val="0"/>
          <c:cat>
            <c:multiLvlStrRef>
              <c:f>Comercio!$B$57:$C$70</c:f>
              <c:multiLvlStrCache>
                <c:ptCount val="13"/>
                <c:lvl>
                  <c:pt idx="0">
                    <c:v>East Asia &amp; Pacific</c:v>
                  </c:pt>
                  <c:pt idx="1">
                    <c:v>Europe &amp; Central Asia</c:v>
                  </c:pt>
                  <c:pt idx="2">
                    <c:v>Latin America &amp; Caribbean</c:v>
                  </c:pt>
                  <c:pt idx="3">
                    <c:v>Middle East &amp; North Africa</c:v>
                  </c:pt>
                  <c:pt idx="4">
                    <c:v>North America</c:v>
                  </c:pt>
                  <c:pt idx="5">
                    <c:v>South Asia</c:v>
                  </c:pt>
                  <c:pt idx="6">
                    <c:v>Sub-Saharan Africa</c:v>
                  </c:pt>
                  <c:pt idx="7">
                    <c:v>East Asia &amp; Pacific</c:v>
                  </c:pt>
                  <c:pt idx="8">
                    <c:v>Europe &amp; Central Asia</c:v>
                  </c:pt>
                  <c:pt idx="9">
                    <c:v>Latin America &amp; Caribbean</c:v>
                  </c:pt>
                  <c:pt idx="10">
                    <c:v>Middle East &amp; North Africa</c:v>
                  </c:pt>
                  <c:pt idx="11">
                    <c:v>South Asia</c:v>
                  </c:pt>
                  <c:pt idx="12">
                    <c:v>Sub-Saharan Africa</c:v>
                  </c:pt>
                </c:lvl>
                <c:lvl>
                  <c:pt idx="0">
                    <c:v>0</c:v>
                  </c:pt>
                  <c:pt idx="7">
                    <c:v>1</c:v>
                  </c:pt>
                </c:lvl>
              </c:multiLvlStrCache>
            </c:multiLvlStrRef>
          </c:cat>
          <c:val>
            <c:numRef>
              <c:f>Comercio!$E$57:$E$70</c:f>
              <c:numCache>
                <c:formatCode>_-* #,##0_-;\-* #,##0_-;_-* "-"??_-;_-@_-</c:formatCode>
                <c:ptCount val="13"/>
                <c:pt idx="0">
                  <c:v>615744799000</c:v>
                </c:pt>
                <c:pt idx="1">
                  <c:v>250190907000</c:v>
                </c:pt>
                <c:pt idx="2">
                  <c:v>80926677593</c:v>
                </c:pt>
                <c:pt idx="3">
                  <c:v>4930065197</c:v>
                </c:pt>
                <c:pt idx="4">
                  <c:v>123969550000</c:v>
                </c:pt>
                <c:pt idx="5">
                  <c:v>17278879000</c:v>
                </c:pt>
                <c:pt idx="6">
                  <c:v>307042000</c:v>
                </c:pt>
                <c:pt idx="7">
                  <c:v>351410680948</c:v>
                </c:pt>
                <c:pt idx="8">
                  <c:v>108240858000</c:v>
                </c:pt>
                <c:pt idx="9">
                  <c:v>47316361193</c:v>
                </c:pt>
                <c:pt idx="10">
                  <c:v>83634170769</c:v>
                </c:pt>
                <c:pt idx="11">
                  <c:v>3335965122</c:v>
                </c:pt>
                <c:pt idx="12">
                  <c:v>36568313203</c:v>
                </c:pt>
              </c:numCache>
            </c:numRef>
          </c:val>
          <c:extLst>
            <c:ext xmlns:c16="http://schemas.microsoft.com/office/drawing/2014/chart" uri="{C3380CC4-5D6E-409C-BE32-E72D297353CC}">
              <c16:uniqueId val="{00000001-6B9D-410B-95ED-DC7C69E486E6}"/>
            </c:ext>
          </c:extLst>
        </c:ser>
        <c:dLbls>
          <c:showLegendKey val="0"/>
          <c:showVal val="0"/>
          <c:showCatName val="0"/>
          <c:showSerName val="0"/>
          <c:showPercent val="0"/>
          <c:showBubbleSize val="0"/>
        </c:dLbls>
        <c:gapWidth val="219"/>
        <c:axId val="2048485168"/>
        <c:axId val="1024452336"/>
      </c:barChart>
      <c:barChart>
        <c:barDir val="col"/>
        <c:grouping val="clustered"/>
        <c:varyColors val="0"/>
        <c:ser>
          <c:idx val="0"/>
          <c:order val="0"/>
          <c:tx>
            <c:strRef>
              <c:f>Comercio!$D$56</c:f>
              <c:strCache>
                <c:ptCount val="1"/>
                <c:pt idx="0">
                  <c:v>Suma de imports-rpc</c:v>
                </c:pt>
              </c:strCache>
            </c:strRef>
          </c:tx>
          <c:spPr>
            <a:solidFill>
              <a:schemeClr val="accent1"/>
            </a:solidFill>
            <a:ln>
              <a:noFill/>
            </a:ln>
            <a:effectLst/>
          </c:spPr>
          <c:invertIfNegative val="0"/>
          <c:cat>
            <c:multiLvlStrRef>
              <c:f>Comercio!$B$57:$C$70</c:f>
              <c:multiLvlStrCache>
                <c:ptCount val="13"/>
                <c:lvl>
                  <c:pt idx="0">
                    <c:v>East Asia &amp; Pacific</c:v>
                  </c:pt>
                  <c:pt idx="1">
                    <c:v>Europe &amp; Central Asia</c:v>
                  </c:pt>
                  <c:pt idx="2">
                    <c:v>Latin America &amp; Caribbean</c:v>
                  </c:pt>
                  <c:pt idx="3">
                    <c:v>Middle East &amp; North Africa</c:v>
                  </c:pt>
                  <c:pt idx="4">
                    <c:v>North America</c:v>
                  </c:pt>
                  <c:pt idx="5">
                    <c:v>South Asia</c:v>
                  </c:pt>
                  <c:pt idx="6">
                    <c:v>Sub-Saharan Africa</c:v>
                  </c:pt>
                  <c:pt idx="7">
                    <c:v>East Asia &amp; Pacific</c:v>
                  </c:pt>
                  <c:pt idx="8">
                    <c:v>Europe &amp; Central Asia</c:v>
                  </c:pt>
                  <c:pt idx="9">
                    <c:v>Latin America &amp; Caribbean</c:v>
                  </c:pt>
                  <c:pt idx="10">
                    <c:v>Middle East &amp; North Africa</c:v>
                  </c:pt>
                  <c:pt idx="11">
                    <c:v>South Asia</c:v>
                  </c:pt>
                  <c:pt idx="12">
                    <c:v>Sub-Saharan Africa</c:v>
                  </c:pt>
                </c:lvl>
                <c:lvl>
                  <c:pt idx="0">
                    <c:v>0</c:v>
                  </c:pt>
                  <c:pt idx="7">
                    <c:v>1</c:v>
                  </c:pt>
                </c:lvl>
              </c:multiLvlStrCache>
            </c:multiLvlStrRef>
          </c:cat>
          <c:val>
            <c:numRef>
              <c:f>Comercio!$D$57:$D$70</c:f>
              <c:numCache>
                <c:formatCode>_-* #,##0_-;\-* #,##0_-;_-* "-"??_-;_-@_-</c:formatCode>
                <c:ptCount val="13"/>
                <c:pt idx="0">
                  <c:v>555528595000</c:v>
                </c:pt>
                <c:pt idx="1">
                  <c:v>400108577000</c:v>
                </c:pt>
                <c:pt idx="2">
                  <c:v>143949449606</c:v>
                </c:pt>
                <c:pt idx="3">
                  <c:v>14633540273</c:v>
                </c:pt>
                <c:pt idx="4">
                  <c:v>527492314000</c:v>
                </c:pt>
                <c:pt idx="5">
                  <c:v>68412898000</c:v>
                </c:pt>
                <c:pt idx="6">
                  <c:v>2320775000</c:v>
                </c:pt>
                <c:pt idx="7">
                  <c:v>420763836843</c:v>
                </c:pt>
                <c:pt idx="8">
                  <c:v>246577933000</c:v>
                </c:pt>
                <c:pt idx="9">
                  <c:v>47291929158</c:v>
                </c:pt>
                <c:pt idx="10">
                  <c:v>92254080784</c:v>
                </c:pt>
                <c:pt idx="11">
                  <c:v>33795505972</c:v>
                </c:pt>
                <c:pt idx="12">
                  <c:v>61708971174</c:v>
                </c:pt>
              </c:numCache>
            </c:numRef>
          </c:val>
          <c:extLst>
            <c:ext xmlns:c16="http://schemas.microsoft.com/office/drawing/2014/chart" uri="{C3380CC4-5D6E-409C-BE32-E72D297353CC}">
              <c16:uniqueId val="{00000000-6B9D-410B-95ED-DC7C69E486E6}"/>
            </c:ext>
          </c:extLst>
        </c:ser>
        <c:dLbls>
          <c:showLegendKey val="0"/>
          <c:showVal val="0"/>
          <c:showCatName val="0"/>
          <c:showSerName val="0"/>
          <c:showPercent val="0"/>
          <c:showBubbleSize val="0"/>
        </c:dLbls>
        <c:gapWidth val="219"/>
        <c:axId val="2050698496"/>
        <c:axId val="1024461072"/>
      </c:barChart>
      <c:lineChart>
        <c:grouping val="standard"/>
        <c:varyColors val="0"/>
        <c:ser>
          <c:idx val="2"/>
          <c:order val="2"/>
          <c:tx>
            <c:strRef>
              <c:f>Comercio!$F$56</c:f>
              <c:strCache>
                <c:ptCount val="1"/>
                <c:pt idx="0">
                  <c:v>Suma de balance-rpc</c:v>
                </c:pt>
              </c:strCache>
            </c:strRef>
          </c:tx>
          <c:spPr>
            <a:ln w="28575" cap="rnd">
              <a:noFill/>
              <a:round/>
            </a:ln>
            <a:effectLst/>
          </c:spPr>
          <c:marker>
            <c:symbol val="none"/>
          </c:marker>
          <c:cat>
            <c:multiLvlStrRef>
              <c:f>Comercio!$B$57:$C$70</c:f>
              <c:multiLvlStrCache>
                <c:ptCount val="13"/>
                <c:lvl>
                  <c:pt idx="0">
                    <c:v>East Asia &amp; Pacific</c:v>
                  </c:pt>
                  <c:pt idx="1">
                    <c:v>Europe &amp; Central Asia</c:v>
                  </c:pt>
                  <c:pt idx="2">
                    <c:v>Latin America &amp; Caribbean</c:v>
                  </c:pt>
                  <c:pt idx="3">
                    <c:v>Middle East &amp; North Africa</c:v>
                  </c:pt>
                  <c:pt idx="4">
                    <c:v>North America</c:v>
                  </c:pt>
                  <c:pt idx="5">
                    <c:v>South Asia</c:v>
                  </c:pt>
                  <c:pt idx="6">
                    <c:v>Sub-Saharan Africa</c:v>
                  </c:pt>
                  <c:pt idx="7">
                    <c:v>East Asia &amp; Pacific</c:v>
                  </c:pt>
                  <c:pt idx="8">
                    <c:v>Europe &amp; Central Asia</c:v>
                  </c:pt>
                  <c:pt idx="9">
                    <c:v>Latin America &amp; Caribbean</c:v>
                  </c:pt>
                  <c:pt idx="10">
                    <c:v>Middle East &amp; North Africa</c:v>
                  </c:pt>
                  <c:pt idx="11">
                    <c:v>South Asia</c:v>
                  </c:pt>
                  <c:pt idx="12">
                    <c:v>Sub-Saharan Africa</c:v>
                  </c:pt>
                </c:lvl>
                <c:lvl>
                  <c:pt idx="0">
                    <c:v>0</c:v>
                  </c:pt>
                  <c:pt idx="7">
                    <c:v>1</c:v>
                  </c:pt>
                </c:lvl>
              </c:multiLvlStrCache>
            </c:multiLvlStrRef>
          </c:cat>
          <c:val>
            <c:numRef>
              <c:f>Comercio!$F$57:$F$70</c:f>
              <c:numCache>
                <c:formatCode>_-* #,##0_-;\-* #,##0_-;_-* "-"??_-;_-@_-</c:formatCode>
                <c:ptCount val="13"/>
                <c:pt idx="0">
                  <c:v>60216204000</c:v>
                </c:pt>
                <c:pt idx="1">
                  <c:v>-149917670000</c:v>
                </c:pt>
                <c:pt idx="2">
                  <c:v>-63022772013</c:v>
                </c:pt>
                <c:pt idx="3">
                  <c:v>-9703475076</c:v>
                </c:pt>
                <c:pt idx="4">
                  <c:v>-403522764000</c:v>
                </c:pt>
                <c:pt idx="5">
                  <c:v>-51134019000</c:v>
                </c:pt>
                <c:pt idx="6">
                  <c:v>-2013733000</c:v>
                </c:pt>
                <c:pt idx="7">
                  <c:v>-69353155895</c:v>
                </c:pt>
                <c:pt idx="8">
                  <c:v>-138337075000</c:v>
                </c:pt>
                <c:pt idx="9">
                  <c:v>24432035</c:v>
                </c:pt>
                <c:pt idx="10">
                  <c:v>-8619910015</c:v>
                </c:pt>
                <c:pt idx="11">
                  <c:v>-30459540850</c:v>
                </c:pt>
                <c:pt idx="12">
                  <c:v>-25140657971</c:v>
                </c:pt>
              </c:numCache>
            </c:numRef>
          </c:val>
          <c:smooth val="0"/>
          <c:extLst>
            <c:ext xmlns:c16="http://schemas.microsoft.com/office/drawing/2014/chart" uri="{C3380CC4-5D6E-409C-BE32-E72D297353CC}">
              <c16:uniqueId val="{00000002-6B9D-410B-95ED-DC7C69E486E6}"/>
            </c:ext>
          </c:extLst>
        </c:ser>
        <c:dLbls>
          <c:showLegendKey val="0"/>
          <c:showVal val="0"/>
          <c:showCatName val="0"/>
          <c:showSerName val="0"/>
          <c:showPercent val="0"/>
          <c:showBubbleSize val="0"/>
        </c:dLbls>
        <c:marker val="1"/>
        <c:smooth val="0"/>
        <c:axId val="2048485168"/>
        <c:axId val="1024452336"/>
      </c:lineChart>
      <c:catAx>
        <c:axId val="2048485168"/>
        <c:scaling>
          <c:orientation val="minMax"/>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52336"/>
        <c:crosses val="autoZero"/>
        <c:auto val="1"/>
        <c:lblAlgn val="ctr"/>
        <c:lblOffset val="100"/>
        <c:noMultiLvlLbl val="0"/>
      </c:catAx>
      <c:valAx>
        <c:axId val="1024452336"/>
        <c:scaling>
          <c:orientation val="minMax"/>
          <c:max val="800000000000"/>
          <c:min val="-80000000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48485168"/>
        <c:crosses val="autoZero"/>
        <c:crossBetween val="between"/>
      </c:valAx>
      <c:valAx>
        <c:axId val="1024461072"/>
        <c:scaling>
          <c:orientation val="maxMin"/>
          <c:max val="800000000000"/>
          <c:min val="-800000000000"/>
        </c:scaling>
        <c:delete val="0"/>
        <c:axPos val="r"/>
        <c:numFmt formatCode="_-* #,##0_-;\-* #,##0_-;_-* &quot;-&quot;??_-;_-@_-"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50698496"/>
        <c:crosses val="max"/>
        <c:crossBetween val="between"/>
      </c:valAx>
      <c:catAx>
        <c:axId val="2050698496"/>
        <c:scaling>
          <c:orientation val="minMax"/>
        </c:scaling>
        <c:delete val="1"/>
        <c:axPos val="t"/>
        <c:numFmt formatCode="General" sourceLinked="1"/>
        <c:majorTickMark val="out"/>
        <c:minorTickMark val="none"/>
        <c:tickLblPos val="nextTo"/>
        <c:crossAx val="1024461072"/>
        <c:auto val="1"/>
        <c:lblAlgn val="ctr"/>
        <c:lblOffset val="100"/>
        <c:noMultiLvlLbl val="0"/>
      </c:catAx>
      <c:dTable>
        <c:showHorzBorder val="0"/>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AR"/>
          </a:p>
        </c:txPr>
      </c:dTable>
      <c:spPr>
        <a:noFill/>
        <a:ln>
          <a:solidFill>
            <a:schemeClr val="tx1">
              <a:lumMod val="15000"/>
              <a:lumOff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[BRI.xlsx]Comercio!TablaDinámica64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Comercio!$E$86</c:f>
              <c:strCache>
                <c:ptCount val="1"/>
                <c:pt idx="0">
                  <c:v>Suma de exports-rpc</c:v>
                </c:pt>
              </c:strCache>
            </c:strRef>
          </c:tx>
          <c:spPr>
            <a:solidFill>
              <a:schemeClr val="accent2"/>
            </a:solidFill>
            <a:ln>
              <a:noFill/>
            </a:ln>
            <a:effectLst/>
          </c:spPr>
          <c:invertIfNegative val="0"/>
          <c:cat>
            <c:multiLvlStrRef>
              <c:f>Comercio!$B$87:$C$95</c:f>
              <c:multiLvlStrCache>
                <c:ptCount val="8"/>
                <c:lvl>
                  <c:pt idx="0">
                    <c:v>High income</c:v>
                  </c:pt>
                  <c:pt idx="1">
                    <c:v>Low income</c:v>
                  </c:pt>
                  <c:pt idx="2">
                    <c:v>Lower middle income</c:v>
                  </c:pt>
                  <c:pt idx="3">
                    <c:v>Upper middle income</c:v>
                  </c:pt>
                  <c:pt idx="4">
                    <c:v>High income</c:v>
                  </c:pt>
                  <c:pt idx="5">
                    <c:v>Low income</c:v>
                  </c:pt>
                  <c:pt idx="6">
                    <c:v>Lower middle income</c:v>
                  </c:pt>
                  <c:pt idx="7">
                    <c:v>Upper middle income</c:v>
                  </c:pt>
                </c:lvl>
                <c:lvl>
                  <c:pt idx="0">
                    <c:v>0</c:v>
                  </c:pt>
                  <c:pt idx="4">
                    <c:v>1</c:v>
                  </c:pt>
                </c:lvl>
              </c:multiLvlStrCache>
            </c:multiLvlStrRef>
          </c:cat>
          <c:val>
            <c:numRef>
              <c:f>Comercio!$E$87:$E$95</c:f>
              <c:numCache>
                <c:formatCode>_-* #,##0_-;\-* #,##0_-;_-* "-"??_-;_-@_-</c:formatCode>
                <c:ptCount val="8"/>
                <c:pt idx="0">
                  <c:v>894010781000</c:v>
                </c:pt>
                <c:pt idx="1">
                  <c:v>276185000</c:v>
                </c:pt>
                <c:pt idx="2">
                  <c:v>17312847646</c:v>
                </c:pt>
                <c:pt idx="3">
                  <c:v>89861413144</c:v>
                </c:pt>
                <c:pt idx="4">
                  <c:v>157608655122</c:v>
                </c:pt>
                <c:pt idx="5">
                  <c:v>146842596480</c:v>
                </c:pt>
                <c:pt idx="6">
                  <c:v>123229502436</c:v>
                </c:pt>
                <c:pt idx="7">
                  <c:v>198037230197</c:v>
                </c:pt>
              </c:numCache>
            </c:numRef>
          </c:val>
          <c:extLst>
            <c:ext xmlns:c16="http://schemas.microsoft.com/office/drawing/2014/chart" uri="{C3380CC4-5D6E-409C-BE32-E72D297353CC}">
              <c16:uniqueId val="{00000001-3213-462B-B893-741B0A91F23E}"/>
            </c:ext>
          </c:extLst>
        </c:ser>
        <c:dLbls>
          <c:showLegendKey val="0"/>
          <c:showVal val="0"/>
          <c:showCatName val="0"/>
          <c:showSerName val="0"/>
          <c:showPercent val="0"/>
          <c:showBubbleSize val="0"/>
        </c:dLbls>
        <c:gapWidth val="219"/>
        <c:axId val="1967051104"/>
        <c:axId val="968983952"/>
      </c:barChart>
      <c:barChart>
        <c:barDir val="col"/>
        <c:grouping val="clustered"/>
        <c:varyColors val="0"/>
        <c:ser>
          <c:idx val="0"/>
          <c:order val="0"/>
          <c:tx>
            <c:strRef>
              <c:f>Comercio!$D$86</c:f>
              <c:strCache>
                <c:ptCount val="1"/>
                <c:pt idx="0">
                  <c:v>Suma de imports-rpc</c:v>
                </c:pt>
              </c:strCache>
            </c:strRef>
          </c:tx>
          <c:spPr>
            <a:solidFill>
              <a:schemeClr val="accent1"/>
            </a:solidFill>
            <a:ln>
              <a:noFill/>
            </a:ln>
            <a:effectLst/>
          </c:spPr>
          <c:invertIfNegative val="0"/>
          <c:cat>
            <c:multiLvlStrRef>
              <c:f>Comercio!$B$87:$C$95</c:f>
              <c:multiLvlStrCache>
                <c:ptCount val="8"/>
                <c:lvl>
                  <c:pt idx="0">
                    <c:v>High income</c:v>
                  </c:pt>
                  <c:pt idx="1">
                    <c:v>Low income</c:v>
                  </c:pt>
                  <c:pt idx="2">
                    <c:v>Lower middle income</c:v>
                  </c:pt>
                  <c:pt idx="3">
                    <c:v>Upper middle income</c:v>
                  </c:pt>
                  <c:pt idx="4">
                    <c:v>High income</c:v>
                  </c:pt>
                  <c:pt idx="5">
                    <c:v>Low income</c:v>
                  </c:pt>
                  <c:pt idx="6">
                    <c:v>Lower middle income</c:v>
                  </c:pt>
                  <c:pt idx="7">
                    <c:v>Upper middle income</c:v>
                  </c:pt>
                </c:lvl>
                <c:lvl>
                  <c:pt idx="0">
                    <c:v>0</c:v>
                  </c:pt>
                  <c:pt idx="4">
                    <c:v>1</c:v>
                  </c:pt>
                </c:lvl>
              </c:multiLvlStrCache>
            </c:multiLvlStrRef>
          </c:cat>
          <c:val>
            <c:numRef>
              <c:f>Comercio!$D$87:$D$95</c:f>
              <c:numCache>
                <c:formatCode>_-* #,##0_-;\-* #,##0_-;_-* "-"??_-;_-@_-</c:formatCode>
                <c:ptCount val="8"/>
                <c:pt idx="0">
                  <c:v>1433227637000</c:v>
                </c:pt>
                <c:pt idx="1">
                  <c:v>2561477000</c:v>
                </c:pt>
                <c:pt idx="2">
                  <c:v>70126721084</c:v>
                </c:pt>
                <c:pt idx="3">
                  <c:v>149097707795</c:v>
                </c:pt>
                <c:pt idx="4">
                  <c:v>248114634122</c:v>
                </c:pt>
                <c:pt idx="5">
                  <c:v>129899481970</c:v>
                </c:pt>
                <c:pt idx="6">
                  <c:v>275543538284</c:v>
                </c:pt>
                <c:pt idx="7">
                  <c:v>247294736555</c:v>
                </c:pt>
              </c:numCache>
            </c:numRef>
          </c:val>
          <c:extLst>
            <c:ext xmlns:c16="http://schemas.microsoft.com/office/drawing/2014/chart" uri="{C3380CC4-5D6E-409C-BE32-E72D297353CC}">
              <c16:uniqueId val="{00000000-3213-462B-B893-741B0A91F23E}"/>
            </c:ext>
          </c:extLst>
        </c:ser>
        <c:dLbls>
          <c:showLegendKey val="0"/>
          <c:showVal val="0"/>
          <c:showCatName val="0"/>
          <c:showSerName val="0"/>
          <c:showPercent val="0"/>
          <c:showBubbleSize val="0"/>
        </c:dLbls>
        <c:gapWidth val="219"/>
        <c:axId val="1997053280"/>
        <c:axId val="960417504"/>
      </c:barChart>
      <c:lineChart>
        <c:grouping val="standard"/>
        <c:varyColors val="0"/>
        <c:ser>
          <c:idx val="2"/>
          <c:order val="2"/>
          <c:tx>
            <c:strRef>
              <c:f>Comercio!$F$86</c:f>
              <c:strCache>
                <c:ptCount val="1"/>
                <c:pt idx="0">
                  <c:v>Suma de balance-rpc</c:v>
                </c:pt>
              </c:strCache>
            </c:strRef>
          </c:tx>
          <c:spPr>
            <a:ln w="28575" cap="rnd">
              <a:noFill/>
              <a:round/>
            </a:ln>
            <a:effectLst/>
          </c:spPr>
          <c:marker>
            <c:symbol val="none"/>
          </c:marker>
          <c:cat>
            <c:multiLvlStrRef>
              <c:f>Comercio!$B$87:$C$95</c:f>
              <c:multiLvlStrCache>
                <c:ptCount val="8"/>
                <c:lvl>
                  <c:pt idx="0">
                    <c:v>High income</c:v>
                  </c:pt>
                  <c:pt idx="1">
                    <c:v>Low income</c:v>
                  </c:pt>
                  <c:pt idx="2">
                    <c:v>Lower middle income</c:v>
                  </c:pt>
                  <c:pt idx="3">
                    <c:v>Upper middle income</c:v>
                  </c:pt>
                  <c:pt idx="4">
                    <c:v>High income</c:v>
                  </c:pt>
                  <c:pt idx="5">
                    <c:v>Low income</c:v>
                  </c:pt>
                  <c:pt idx="6">
                    <c:v>Lower middle income</c:v>
                  </c:pt>
                  <c:pt idx="7">
                    <c:v>Upper middle income</c:v>
                  </c:pt>
                </c:lvl>
                <c:lvl>
                  <c:pt idx="0">
                    <c:v>0</c:v>
                  </c:pt>
                  <c:pt idx="4">
                    <c:v>1</c:v>
                  </c:pt>
                </c:lvl>
              </c:multiLvlStrCache>
            </c:multiLvlStrRef>
          </c:cat>
          <c:val>
            <c:numRef>
              <c:f>Comercio!$F$87:$F$95</c:f>
              <c:numCache>
                <c:formatCode>_-* #,##0_-;\-* #,##0_-;_-* "-"??_-;_-@_-</c:formatCode>
                <c:ptCount val="8"/>
                <c:pt idx="0">
                  <c:v>-539216856000</c:v>
                </c:pt>
                <c:pt idx="1">
                  <c:v>-2285292000</c:v>
                </c:pt>
                <c:pt idx="2">
                  <c:v>-52813873438</c:v>
                </c:pt>
                <c:pt idx="3">
                  <c:v>-59236294651</c:v>
                </c:pt>
                <c:pt idx="4">
                  <c:v>-90505979000</c:v>
                </c:pt>
                <c:pt idx="5">
                  <c:v>16943114510</c:v>
                </c:pt>
                <c:pt idx="6">
                  <c:v>-152314035848</c:v>
                </c:pt>
                <c:pt idx="7">
                  <c:v>-49257506358</c:v>
                </c:pt>
              </c:numCache>
            </c:numRef>
          </c:val>
          <c:smooth val="0"/>
          <c:extLst>
            <c:ext xmlns:c16="http://schemas.microsoft.com/office/drawing/2014/chart" uri="{C3380CC4-5D6E-409C-BE32-E72D297353CC}">
              <c16:uniqueId val="{00000002-3213-462B-B893-741B0A91F23E}"/>
            </c:ext>
          </c:extLst>
        </c:ser>
        <c:dLbls>
          <c:showLegendKey val="0"/>
          <c:showVal val="0"/>
          <c:showCatName val="0"/>
          <c:showSerName val="0"/>
          <c:showPercent val="0"/>
          <c:showBubbleSize val="0"/>
        </c:dLbls>
        <c:marker val="1"/>
        <c:smooth val="0"/>
        <c:axId val="1967051104"/>
        <c:axId val="968983952"/>
      </c:lineChart>
      <c:catAx>
        <c:axId val="196705110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8983952"/>
        <c:crossesAt val="0"/>
        <c:auto val="1"/>
        <c:lblAlgn val="ctr"/>
        <c:lblOffset val="100"/>
        <c:noMultiLvlLbl val="0"/>
      </c:catAx>
      <c:valAx>
        <c:axId val="968983952"/>
        <c:scaling>
          <c:orientation val="minMax"/>
          <c:max val="1500000000000"/>
          <c:min val="-150000000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67051104"/>
        <c:crosses val="autoZero"/>
        <c:crossBetween val="between"/>
      </c:valAx>
      <c:valAx>
        <c:axId val="960417504"/>
        <c:scaling>
          <c:orientation val="maxMin"/>
          <c:max val="1500000000000"/>
          <c:min val="-1500000000000"/>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97053280"/>
        <c:crosses val="max"/>
        <c:crossBetween val="between"/>
      </c:valAx>
      <c:catAx>
        <c:axId val="1997053280"/>
        <c:scaling>
          <c:orientation val="minMax"/>
        </c:scaling>
        <c:delete val="1"/>
        <c:axPos val="b"/>
        <c:numFmt formatCode="General" sourceLinked="1"/>
        <c:majorTickMark val="out"/>
        <c:minorTickMark val="none"/>
        <c:tickLblPos val="nextTo"/>
        <c:crossAx val="960417504"/>
        <c:auto val="1"/>
        <c:lblAlgn val="ctr"/>
        <c:lblOffset val="100"/>
        <c:noMultiLvlLbl val="0"/>
      </c:catAx>
      <c:dTable>
        <c:showHorzBorder val="0"/>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AR"/>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[BRI.xlsx]Financiamiento!TablaDinámica93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Financiamiento!$B$3:$B$4</c:f>
              <c:strCache>
                <c:ptCount val="1"/>
                <c:pt idx="0">
                  <c:v>0</c:v>
                </c:pt>
              </c:strCache>
            </c:strRef>
          </c:tx>
          <c:spPr>
            <a:solidFill>
              <a:schemeClr val="accent1"/>
            </a:solidFill>
            <a:ln>
              <a:noFill/>
            </a:ln>
            <a:effectLst/>
          </c:spPr>
          <c:invertIfNegative val="0"/>
          <c:cat>
            <c:strRef>
              <c:f>Financiamiento!$A$5:$A$9</c:f>
              <c:strCache>
                <c:ptCount val="4"/>
                <c:pt idx="0">
                  <c:v>High income</c:v>
                </c:pt>
                <c:pt idx="1">
                  <c:v>Low income</c:v>
                </c:pt>
                <c:pt idx="2">
                  <c:v>Lower middle income</c:v>
                </c:pt>
                <c:pt idx="3">
                  <c:v>Upper middle income</c:v>
                </c:pt>
              </c:strCache>
            </c:strRef>
          </c:cat>
          <c:val>
            <c:numRef>
              <c:f>Financiamiento!$B$5:$B$9</c:f>
              <c:numCache>
                <c:formatCode>_-* #,##0_-;\-* #,##0_-;_-* "-"??_-;_-@_-</c:formatCode>
                <c:ptCount val="4"/>
                <c:pt idx="0">
                  <c:v>18174476836.455311</c:v>
                </c:pt>
                <c:pt idx="1">
                  <c:v>3569861078.5034366</c:v>
                </c:pt>
                <c:pt idx="2">
                  <c:v>41938066894.017319</c:v>
                </c:pt>
                <c:pt idx="3">
                  <c:v>147700351950.56641</c:v>
                </c:pt>
              </c:numCache>
            </c:numRef>
          </c:val>
          <c:extLst>
            <c:ext xmlns:c16="http://schemas.microsoft.com/office/drawing/2014/chart" uri="{C3380CC4-5D6E-409C-BE32-E72D297353CC}">
              <c16:uniqueId val="{00000000-527E-4DA6-B0EB-7D531495BA57}"/>
            </c:ext>
          </c:extLst>
        </c:ser>
        <c:ser>
          <c:idx val="1"/>
          <c:order val="1"/>
          <c:tx>
            <c:strRef>
              <c:f>Financiamiento!$C$3:$C$4</c:f>
              <c:strCache>
                <c:ptCount val="1"/>
                <c:pt idx="0">
                  <c:v>1</c:v>
                </c:pt>
              </c:strCache>
            </c:strRef>
          </c:tx>
          <c:spPr>
            <a:solidFill>
              <a:schemeClr val="accent2"/>
            </a:solidFill>
            <a:ln>
              <a:noFill/>
            </a:ln>
            <a:effectLst/>
          </c:spPr>
          <c:invertIfNegative val="0"/>
          <c:cat>
            <c:strRef>
              <c:f>Financiamiento!$A$5:$A$9</c:f>
              <c:strCache>
                <c:ptCount val="4"/>
                <c:pt idx="0">
                  <c:v>High income</c:v>
                </c:pt>
                <c:pt idx="1">
                  <c:v>Low income</c:v>
                </c:pt>
                <c:pt idx="2">
                  <c:v>Lower middle income</c:v>
                </c:pt>
                <c:pt idx="3">
                  <c:v>Upper middle income</c:v>
                </c:pt>
              </c:strCache>
            </c:strRef>
          </c:cat>
          <c:val>
            <c:numRef>
              <c:f>Financiamiento!$C$5:$C$9</c:f>
              <c:numCache>
                <c:formatCode>_-* #,##0_-;\-* #,##0_-;_-* "-"??_-;_-@_-</c:formatCode>
                <c:ptCount val="4"/>
                <c:pt idx="0">
                  <c:v>11049875213.835831</c:v>
                </c:pt>
                <c:pt idx="1">
                  <c:v>121899743193.88684</c:v>
                </c:pt>
                <c:pt idx="2">
                  <c:v>733014895185.29578</c:v>
                </c:pt>
                <c:pt idx="3">
                  <c:v>477522928635.91602</c:v>
                </c:pt>
              </c:numCache>
            </c:numRef>
          </c:val>
          <c:extLst>
            <c:ext xmlns:c16="http://schemas.microsoft.com/office/drawing/2014/chart" uri="{C3380CC4-5D6E-409C-BE32-E72D297353CC}">
              <c16:uniqueId val="{00000001-527E-4DA6-B0EB-7D531495BA57}"/>
            </c:ext>
          </c:extLst>
        </c:ser>
        <c:dLbls>
          <c:showLegendKey val="0"/>
          <c:showVal val="0"/>
          <c:showCatName val="0"/>
          <c:showSerName val="0"/>
          <c:showPercent val="0"/>
          <c:showBubbleSize val="0"/>
        </c:dLbls>
        <c:gapWidth val="219"/>
        <c:overlap val="-27"/>
        <c:axId val="1846687040"/>
        <c:axId val="888906128"/>
      </c:barChart>
      <c:catAx>
        <c:axId val="184668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88906128"/>
        <c:crosses val="autoZero"/>
        <c:auto val="1"/>
        <c:lblAlgn val="ctr"/>
        <c:lblOffset val="100"/>
        <c:noMultiLvlLbl val="0"/>
      </c:catAx>
      <c:valAx>
        <c:axId val="8889061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46687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[BRI.xlsx]Financiamiento!TablaDinámica94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Financiamiento!$B$19:$B$20</c:f>
              <c:strCache>
                <c:ptCount val="1"/>
                <c:pt idx="0">
                  <c:v>0</c:v>
                </c:pt>
              </c:strCache>
            </c:strRef>
          </c:tx>
          <c:spPr>
            <a:solidFill>
              <a:schemeClr val="accent1"/>
            </a:solidFill>
            <a:ln>
              <a:noFill/>
            </a:ln>
            <a:effectLst/>
          </c:spPr>
          <c:invertIfNegative val="0"/>
          <c:cat>
            <c:strRef>
              <c:f>Financiamiento!$A$21:$A$27</c:f>
              <c:strCache>
                <c:ptCount val="6"/>
                <c:pt idx="0">
                  <c:v>East Asia &amp; Pacific</c:v>
                </c:pt>
                <c:pt idx="1">
                  <c:v>Europe &amp; Central Asia</c:v>
                </c:pt>
                <c:pt idx="2">
                  <c:v>Latin America &amp; Caribbean</c:v>
                </c:pt>
                <c:pt idx="3">
                  <c:v>Middle East &amp; North Africa</c:v>
                </c:pt>
                <c:pt idx="4">
                  <c:v>South Asia</c:v>
                </c:pt>
                <c:pt idx="5">
                  <c:v>Sub-Saharan Africa</c:v>
                </c:pt>
              </c:strCache>
            </c:strRef>
          </c:cat>
          <c:val>
            <c:numRef>
              <c:f>Financiamiento!$B$21:$B$27</c:f>
              <c:numCache>
                <c:formatCode>_-* #,##0_-;\-* #,##0_-;_-* "-"??_-;_-@_-</c:formatCode>
                <c:ptCount val="6"/>
                <c:pt idx="0">
                  <c:v>15813375695.066916</c:v>
                </c:pt>
                <c:pt idx="1">
                  <c:v>9634636425.0091076</c:v>
                </c:pt>
                <c:pt idx="2">
                  <c:v>133214440349.66335</c:v>
                </c:pt>
                <c:pt idx="3">
                  <c:v>7850640369.9818707</c:v>
                </c:pt>
                <c:pt idx="4">
                  <c:v>39265828068.341133</c:v>
                </c:pt>
                <c:pt idx="5">
                  <c:v>5603835851.4801435</c:v>
                </c:pt>
              </c:numCache>
            </c:numRef>
          </c:val>
          <c:extLst>
            <c:ext xmlns:c16="http://schemas.microsoft.com/office/drawing/2014/chart" uri="{C3380CC4-5D6E-409C-BE32-E72D297353CC}">
              <c16:uniqueId val="{00000000-6E10-422D-A81A-3A24FE139384}"/>
            </c:ext>
          </c:extLst>
        </c:ser>
        <c:ser>
          <c:idx val="1"/>
          <c:order val="1"/>
          <c:tx>
            <c:strRef>
              <c:f>Financiamiento!$C$19:$C$20</c:f>
              <c:strCache>
                <c:ptCount val="1"/>
                <c:pt idx="0">
                  <c:v>1</c:v>
                </c:pt>
              </c:strCache>
            </c:strRef>
          </c:tx>
          <c:spPr>
            <a:solidFill>
              <a:schemeClr val="accent2"/>
            </a:solidFill>
            <a:ln>
              <a:noFill/>
            </a:ln>
            <a:effectLst/>
          </c:spPr>
          <c:invertIfNegative val="0"/>
          <c:cat>
            <c:strRef>
              <c:f>Financiamiento!$A$21:$A$27</c:f>
              <c:strCache>
                <c:ptCount val="6"/>
                <c:pt idx="0">
                  <c:v>East Asia &amp; Pacific</c:v>
                </c:pt>
                <c:pt idx="1">
                  <c:v>Europe &amp; Central Asia</c:v>
                </c:pt>
                <c:pt idx="2">
                  <c:v>Latin America &amp; Caribbean</c:v>
                </c:pt>
                <c:pt idx="3">
                  <c:v>Middle East &amp; North Africa</c:v>
                </c:pt>
                <c:pt idx="4">
                  <c:v>South Asia</c:v>
                </c:pt>
                <c:pt idx="5">
                  <c:v>Sub-Saharan Africa</c:v>
                </c:pt>
              </c:strCache>
            </c:strRef>
          </c:cat>
          <c:val>
            <c:numRef>
              <c:f>Financiamiento!$C$21:$C$27</c:f>
              <c:numCache>
                <c:formatCode>_-* #,##0_-;\-* #,##0_-;_-* "-"??_-;_-@_-</c:formatCode>
                <c:ptCount val="6"/>
                <c:pt idx="0">
                  <c:v>249447460996.24606</c:v>
                </c:pt>
                <c:pt idx="1">
                  <c:v>390205066819.98944</c:v>
                </c:pt>
                <c:pt idx="2">
                  <c:v>244598424537.0564</c:v>
                </c:pt>
                <c:pt idx="3">
                  <c:v>119620629000.84271</c:v>
                </c:pt>
                <c:pt idx="4">
                  <c:v>82761281687.172318</c:v>
                </c:pt>
                <c:pt idx="5">
                  <c:v>429866807280.6319</c:v>
                </c:pt>
              </c:numCache>
            </c:numRef>
          </c:val>
          <c:extLst>
            <c:ext xmlns:c16="http://schemas.microsoft.com/office/drawing/2014/chart" uri="{C3380CC4-5D6E-409C-BE32-E72D297353CC}">
              <c16:uniqueId val="{00000001-6E10-422D-A81A-3A24FE139384}"/>
            </c:ext>
          </c:extLst>
        </c:ser>
        <c:dLbls>
          <c:showLegendKey val="0"/>
          <c:showVal val="0"/>
          <c:showCatName val="0"/>
          <c:showSerName val="0"/>
          <c:showPercent val="0"/>
          <c:showBubbleSize val="0"/>
        </c:dLbls>
        <c:gapWidth val="219"/>
        <c:overlap val="-27"/>
        <c:axId val="2050699296"/>
        <c:axId val="888903216"/>
      </c:barChart>
      <c:catAx>
        <c:axId val="205069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88903216"/>
        <c:crosses val="autoZero"/>
        <c:auto val="1"/>
        <c:lblAlgn val="ctr"/>
        <c:lblOffset val="100"/>
        <c:noMultiLvlLbl val="0"/>
      </c:catAx>
      <c:valAx>
        <c:axId val="88890321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5069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[BRI.xlsx]Financiamiento!TablaDinámica100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Financiamiento!$Q$3:$Q$4</c:f>
              <c:strCache>
                <c:ptCount val="1"/>
                <c:pt idx="0">
                  <c:v>0</c:v>
                </c:pt>
              </c:strCache>
            </c:strRef>
          </c:tx>
          <c:spPr>
            <a:solidFill>
              <a:schemeClr val="accent1"/>
            </a:solidFill>
            <a:ln>
              <a:noFill/>
            </a:ln>
            <a:effectLst/>
          </c:spPr>
          <c:invertIfNegative val="0"/>
          <c:cat>
            <c:multiLvlStrRef>
              <c:f>Financiamiento!$O$5:$P$27</c:f>
              <c:multiLvlStrCache>
                <c:ptCount val="22"/>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High income</c:v>
                  </c:pt>
                  <c:pt idx="19">
                    <c:v>Low income</c:v>
                  </c:pt>
                  <c:pt idx="20">
                    <c:v>Lower middle income</c:v>
                  </c:pt>
                  <c:pt idx="21">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Financiamiento!$Q$5:$Q$27</c:f>
              <c:numCache>
                <c:formatCode>_-* #,##0_-;\-* #,##0_-;_-* "-"??_-;_-@_-</c:formatCode>
                <c:ptCount val="22"/>
                <c:pt idx="0">
                  <c:v>12383134154.924677</c:v>
                </c:pt>
                <c:pt idx="3">
                  <c:v>3430241540.1422386</c:v>
                </c:pt>
                <c:pt idx="4">
                  <c:v>0</c:v>
                </c:pt>
                <c:pt idx="6">
                  <c:v>9634636425.0091076</c:v>
                </c:pt>
                <c:pt idx="7">
                  <c:v>3136802804.0512481</c:v>
                </c:pt>
                <c:pt idx="8">
                  <c:v>2338722287.1712155</c:v>
                </c:pt>
                <c:pt idx="9">
                  <c:v>127738915258.44089</c:v>
                </c:pt>
                <c:pt idx="10">
                  <c:v>2654539877.4793816</c:v>
                </c:pt>
                <c:pt idx="11">
                  <c:v>363754853.11969489</c:v>
                </c:pt>
                <c:pt idx="12">
                  <c:v>104933428.34413904</c:v>
                </c:pt>
                <c:pt idx="13">
                  <c:v>4727412211.0386553</c:v>
                </c:pt>
                <c:pt idx="14">
                  <c:v>0</c:v>
                </c:pt>
                <c:pt idx="16">
                  <c:v>39265828068.341133</c:v>
                </c:pt>
                <c:pt idx="19">
                  <c:v>3206106225.3837419</c:v>
                </c:pt>
                <c:pt idx="20">
                  <c:v>228583110.16083306</c:v>
                </c:pt>
                <c:pt idx="21">
                  <c:v>2169146515.9355683</c:v>
                </c:pt>
              </c:numCache>
            </c:numRef>
          </c:val>
          <c:extLst>
            <c:ext xmlns:c16="http://schemas.microsoft.com/office/drawing/2014/chart" uri="{C3380CC4-5D6E-409C-BE32-E72D297353CC}">
              <c16:uniqueId val="{00000000-9B54-48BE-A0C9-5BAAF229A526}"/>
            </c:ext>
          </c:extLst>
        </c:ser>
        <c:ser>
          <c:idx val="1"/>
          <c:order val="1"/>
          <c:tx>
            <c:strRef>
              <c:f>Financiamiento!$R$3:$R$4</c:f>
              <c:strCache>
                <c:ptCount val="1"/>
                <c:pt idx="0">
                  <c:v>1</c:v>
                </c:pt>
              </c:strCache>
            </c:strRef>
          </c:tx>
          <c:spPr>
            <a:solidFill>
              <a:schemeClr val="accent2"/>
            </a:solidFill>
            <a:ln>
              <a:noFill/>
            </a:ln>
            <a:effectLst/>
          </c:spPr>
          <c:invertIfNegative val="0"/>
          <c:cat>
            <c:multiLvlStrRef>
              <c:f>Financiamiento!$O$5:$P$27</c:f>
              <c:multiLvlStrCache>
                <c:ptCount val="22"/>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High income</c:v>
                  </c:pt>
                  <c:pt idx="19">
                    <c:v>Low income</c:v>
                  </c:pt>
                  <c:pt idx="20">
                    <c:v>Lower middle income</c:v>
                  </c:pt>
                  <c:pt idx="21">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Financiamiento!$R$5:$R$27</c:f>
              <c:numCache>
                <c:formatCode>_-* #,##0_-;\-* #,##0_-;_-* "-"??_-;_-@_-</c:formatCode>
                <c:ptCount val="22"/>
                <c:pt idx="0">
                  <c:v>1770880321.4632452</c:v>
                </c:pt>
                <c:pt idx="1">
                  <c:v>0</c:v>
                </c:pt>
                <c:pt idx="2">
                  <c:v>217037941294.72604</c:v>
                </c:pt>
                <c:pt idx="3">
                  <c:v>30638639380.056801</c:v>
                </c:pt>
                <c:pt idx="4">
                  <c:v>0</c:v>
                </c:pt>
                <c:pt idx="5">
                  <c:v>51770939749.90873</c:v>
                </c:pt>
                <c:pt idx="6">
                  <c:v>338434127070.08069</c:v>
                </c:pt>
                <c:pt idx="7">
                  <c:v>3610944594.7069354</c:v>
                </c:pt>
                <c:pt idx="8">
                  <c:v>5795283090.688736</c:v>
                </c:pt>
                <c:pt idx="9">
                  <c:v>62179968758.656456</c:v>
                </c:pt>
                <c:pt idx="10">
                  <c:v>5408010964.3148966</c:v>
                </c:pt>
                <c:pt idx="11">
                  <c:v>1749062255.0303748</c:v>
                </c:pt>
                <c:pt idx="12">
                  <c:v>103684816575.2435</c:v>
                </c:pt>
                <c:pt idx="13">
                  <c:v>8778739206.2539444</c:v>
                </c:pt>
                <c:pt idx="15">
                  <c:v>1522264756.7167196</c:v>
                </c:pt>
                <c:pt idx="16">
                  <c:v>79421936046.553238</c:v>
                </c:pt>
                <c:pt idx="17">
                  <c:v>1817080883.9023614</c:v>
                </c:pt>
                <c:pt idx="18">
                  <c:v>260039333.35075414</c:v>
                </c:pt>
                <c:pt idx="19">
                  <c:v>118628416182.13974</c:v>
                </c:pt>
                <c:pt idx="20">
                  <c:v>275303978428.1756</c:v>
                </c:pt>
                <c:pt idx="21">
                  <c:v>35674373336.965729</c:v>
                </c:pt>
              </c:numCache>
            </c:numRef>
          </c:val>
          <c:extLst>
            <c:ext xmlns:c16="http://schemas.microsoft.com/office/drawing/2014/chart" uri="{C3380CC4-5D6E-409C-BE32-E72D297353CC}">
              <c16:uniqueId val="{00000001-9B54-48BE-A0C9-5BAAF229A526}"/>
            </c:ext>
          </c:extLst>
        </c:ser>
        <c:dLbls>
          <c:showLegendKey val="0"/>
          <c:showVal val="0"/>
          <c:showCatName val="0"/>
          <c:showSerName val="0"/>
          <c:showPercent val="0"/>
          <c:showBubbleSize val="0"/>
        </c:dLbls>
        <c:gapWidth val="219"/>
        <c:overlap val="-27"/>
        <c:axId val="894916624"/>
        <c:axId val="1024488528"/>
      </c:barChart>
      <c:catAx>
        <c:axId val="89491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88528"/>
        <c:crosses val="autoZero"/>
        <c:auto val="1"/>
        <c:lblAlgn val="ctr"/>
        <c:lblOffset val="100"/>
        <c:noMultiLvlLbl val="0"/>
      </c:catAx>
      <c:valAx>
        <c:axId val="10244885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9491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20</xdr:col>
      <xdr:colOff>219363</xdr:colOff>
      <xdr:row>7</xdr:row>
      <xdr:rowOff>83127</xdr:rowOff>
    </xdr:from>
    <xdr:to>
      <xdr:col>25</xdr:col>
      <xdr:colOff>819727</xdr:colOff>
      <xdr:row>25</xdr:row>
      <xdr:rowOff>80818</xdr:rowOff>
    </xdr:to>
    <xdr:graphicFrame macro="">
      <xdr:nvGraphicFramePr>
        <xdr:cNvPr id="3" name="Gráfico 2">
          <a:extLst>
            <a:ext uri="{FF2B5EF4-FFF2-40B4-BE49-F238E27FC236}">
              <a16:creationId xmlns:a16="http://schemas.microsoft.com/office/drawing/2014/main" id="{36C8F48C-45DB-4379-B1C5-FF45AE392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972377</xdr:colOff>
      <xdr:row>0</xdr:row>
      <xdr:rowOff>118167</xdr:rowOff>
    </xdr:from>
    <xdr:to>
      <xdr:col>12</xdr:col>
      <xdr:colOff>112593</xdr:colOff>
      <xdr:row>17</xdr:row>
      <xdr:rowOff>169155</xdr:rowOff>
    </xdr:to>
    <xdr:graphicFrame macro="">
      <xdr:nvGraphicFramePr>
        <xdr:cNvPr id="2" name="Gráfico 1">
          <a:extLst>
            <a:ext uri="{FF2B5EF4-FFF2-40B4-BE49-F238E27FC236}">
              <a16:creationId xmlns:a16="http://schemas.microsoft.com/office/drawing/2014/main" id="{6FA0DBFB-331F-48CA-8618-28142B1DA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117928</xdr:colOff>
      <xdr:row>20</xdr:row>
      <xdr:rowOff>81644</xdr:rowOff>
    </xdr:from>
    <xdr:to>
      <xdr:col>7</xdr:col>
      <xdr:colOff>908050</xdr:colOff>
      <xdr:row>35</xdr:row>
      <xdr:rowOff>23373</xdr:rowOff>
    </xdr:to>
    <xdr:graphicFrame macro="">
      <xdr:nvGraphicFramePr>
        <xdr:cNvPr id="6" name="Gráfico 1">
          <a:extLst>
            <a:ext uri="{FF2B5EF4-FFF2-40B4-BE49-F238E27FC236}">
              <a16:creationId xmlns:a16="http://schemas.microsoft.com/office/drawing/2014/main" id="{4069BD07-437F-4251-A3CD-ED2DE678E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235858</xdr:colOff>
      <xdr:row>37</xdr:row>
      <xdr:rowOff>90714</xdr:rowOff>
    </xdr:from>
    <xdr:to>
      <xdr:col>5</xdr:col>
      <xdr:colOff>1446893</xdr:colOff>
      <xdr:row>50</xdr:row>
      <xdr:rowOff>56242</xdr:rowOff>
    </xdr:to>
    <xdr:graphicFrame macro="">
      <xdr:nvGraphicFramePr>
        <xdr:cNvPr id="7" name="Gráfico 6">
          <a:extLst>
            <a:ext uri="{FF2B5EF4-FFF2-40B4-BE49-F238E27FC236}">
              <a16:creationId xmlns:a16="http://schemas.microsoft.com/office/drawing/2014/main" id="{D46813D6-96B0-47CA-9E6C-12DB32058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852714</xdr:colOff>
      <xdr:row>52</xdr:row>
      <xdr:rowOff>9070</xdr:rowOff>
    </xdr:from>
    <xdr:to>
      <xdr:col>5</xdr:col>
      <xdr:colOff>1283607</xdr:colOff>
      <xdr:row>66</xdr:row>
      <xdr:rowOff>137885</xdr:rowOff>
    </xdr:to>
    <xdr:graphicFrame macro="">
      <xdr:nvGraphicFramePr>
        <xdr:cNvPr id="8" name="Gráfico 7">
          <a:extLst>
            <a:ext uri="{FF2B5EF4-FFF2-40B4-BE49-F238E27FC236}">
              <a16:creationId xmlns:a16="http://schemas.microsoft.com/office/drawing/2014/main" id="{FE29F50D-EECC-4C2F-A0E6-1FCC32DBF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748393</xdr:colOff>
      <xdr:row>69</xdr:row>
      <xdr:rowOff>16329</xdr:rowOff>
    </xdr:from>
    <xdr:to>
      <xdr:col>5</xdr:col>
      <xdr:colOff>1283607</xdr:colOff>
      <xdr:row>84</xdr:row>
      <xdr:rowOff>38100</xdr:rowOff>
    </xdr:to>
    <xdr:graphicFrame macro="">
      <xdr:nvGraphicFramePr>
        <xdr:cNvPr id="9" name="Gráfico 8">
          <a:extLst>
            <a:ext uri="{FF2B5EF4-FFF2-40B4-BE49-F238E27FC236}">
              <a16:creationId xmlns:a16="http://schemas.microsoft.com/office/drawing/2014/main" id="{EA7086AD-11E7-4ECF-B42E-9A050C1AA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222878</xdr:colOff>
      <xdr:row>0</xdr:row>
      <xdr:rowOff>163046</xdr:rowOff>
    </xdr:from>
    <xdr:to>
      <xdr:col>10</xdr:col>
      <xdr:colOff>396059</xdr:colOff>
      <xdr:row>15</xdr:row>
      <xdr:rowOff>143996</xdr:rowOff>
    </xdr:to>
    <xdr:graphicFrame macro="">
      <xdr:nvGraphicFramePr>
        <xdr:cNvPr id="2" name="Gráfico 1">
          <a:extLst>
            <a:ext uri="{FF2B5EF4-FFF2-40B4-BE49-F238E27FC236}">
              <a16:creationId xmlns:a16="http://schemas.microsoft.com/office/drawing/2014/main" id="{CA3ABE04-1BAA-4C18-A21B-5F06ECEA6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230701</xdr:colOff>
      <xdr:row>2</xdr:row>
      <xdr:rowOff>50551</xdr:rowOff>
    </xdr:from>
    <xdr:to>
      <xdr:col>31</xdr:col>
      <xdr:colOff>538306</xdr:colOff>
      <xdr:row>31</xdr:row>
      <xdr:rowOff>8660</xdr:rowOff>
    </xdr:to>
    <xdr:graphicFrame macro="">
      <xdr:nvGraphicFramePr>
        <xdr:cNvPr id="6" name="Gráfico 5">
          <a:extLst>
            <a:ext uri="{FF2B5EF4-FFF2-40B4-BE49-F238E27FC236}">
              <a16:creationId xmlns:a16="http://schemas.microsoft.com/office/drawing/2014/main" id="{4C3C5526-9352-4F86-A065-CEF37E522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219364</xdr:colOff>
      <xdr:row>38</xdr:row>
      <xdr:rowOff>0</xdr:rowOff>
    </xdr:from>
    <xdr:to>
      <xdr:col>12</xdr:col>
      <xdr:colOff>544677</xdr:colOff>
      <xdr:row>53</xdr:row>
      <xdr:rowOff>162316</xdr:rowOff>
    </xdr:to>
    <xdr:graphicFrame macro="">
      <xdr:nvGraphicFramePr>
        <xdr:cNvPr id="8" name="Gráfico 7">
          <a:extLst>
            <a:ext uri="{FF2B5EF4-FFF2-40B4-BE49-F238E27FC236}">
              <a16:creationId xmlns:a16="http://schemas.microsoft.com/office/drawing/2014/main" id="{257BB29A-D253-4150-A64E-EFDD9D063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1476374</xdr:colOff>
      <xdr:row>18</xdr:row>
      <xdr:rowOff>25400</xdr:rowOff>
    </xdr:from>
    <xdr:to>
      <xdr:col>10</xdr:col>
      <xdr:colOff>428625</xdr:colOff>
      <xdr:row>34</xdr:row>
      <xdr:rowOff>158750</xdr:rowOff>
    </xdr:to>
    <xdr:graphicFrame macro="">
      <xdr:nvGraphicFramePr>
        <xdr:cNvPr id="12" name="Gráfico 11">
          <a:extLst>
            <a:ext uri="{FF2B5EF4-FFF2-40B4-BE49-F238E27FC236}">
              <a16:creationId xmlns:a16="http://schemas.microsoft.com/office/drawing/2014/main" id="{0A9AAA61-0683-40F1-BEEE-A9AF72B7C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857250</xdr:colOff>
      <xdr:row>58</xdr:row>
      <xdr:rowOff>73025</xdr:rowOff>
    </xdr:from>
    <xdr:to>
      <xdr:col>12</xdr:col>
      <xdr:colOff>222250</xdr:colOff>
      <xdr:row>77</xdr:row>
      <xdr:rowOff>47625</xdr:rowOff>
    </xdr:to>
    <xdr:graphicFrame macro="">
      <xdr:nvGraphicFramePr>
        <xdr:cNvPr id="14" name="Gráfico 13">
          <a:extLst>
            <a:ext uri="{FF2B5EF4-FFF2-40B4-BE49-F238E27FC236}">
              <a16:creationId xmlns:a16="http://schemas.microsoft.com/office/drawing/2014/main" id="{9B52F728-C71D-4163-B327-3F3915A84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15875</xdr:colOff>
      <xdr:row>2</xdr:row>
      <xdr:rowOff>79375</xdr:rowOff>
    </xdr:from>
    <xdr:to>
      <xdr:col>14</xdr:col>
      <xdr:colOff>315732</xdr:colOff>
      <xdr:row>21</xdr:row>
      <xdr:rowOff>98222</xdr:rowOff>
    </xdr:to>
    <xdr:graphicFrame macro="">
      <xdr:nvGraphicFramePr>
        <xdr:cNvPr id="3" name="Gráfico 8">
          <a:extLst>
            <a:ext uri="{FF2B5EF4-FFF2-40B4-BE49-F238E27FC236}">
              <a16:creationId xmlns:a16="http://schemas.microsoft.com/office/drawing/2014/main" id="{6F8EC1CF-A7D6-40F1-B8C7-6DD1BCD5F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15876</xdr:colOff>
      <xdr:row>27</xdr:row>
      <xdr:rowOff>79375</xdr:rowOff>
    </xdr:from>
    <xdr:to>
      <xdr:col>11</xdr:col>
      <xdr:colOff>1111250</xdr:colOff>
      <xdr:row>45</xdr:row>
      <xdr:rowOff>70468</xdr:rowOff>
    </xdr:to>
    <xdr:graphicFrame macro="">
      <xdr:nvGraphicFramePr>
        <xdr:cNvPr id="5" name="Gráfico 9">
          <a:extLst>
            <a:ext uri="{FF2B5EF4-FFF2-40B4-BE49-F238E27FC236}">
              <a16:creationId xmlns:a16="http://schemas.microsoft.com/office/drawing/2014/main" id="{8E586563-0A92-412D-BD4D-55D59BCA4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619125</xdr:colOff>
      <xdr:row>1</xdr:row>
      <xdr:rowOff>15875</xdr:rowOff>
    </xdr:from>
    <xdr:to>
      <xdr:col>37</xdr:col>
      <xdr:colOff>367289</xdr:colOff>
      <xdr:row>32</xdr:row>
      <xdr:rowOff>117476</xdr:rowOff>
    </xdr:to>
    <xdr:graphicFrame macro="">
      <xdr:nvGraphicFramePr>
        <xdr:cNvPr id="7" name="Gráfico 10">
          <a:extLst>
            <a:ext uri="{FF2B5EF4-FFF2-40B4-BE49-F238E27FC236}">
              <a16:creationId xmlns:a16="http://schemas.microsoft.com/office/drawing/2014/main" id="{D67AE9FF-6652-4E3E-BE34-23DCD112B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658091</xdr:colOff>
      <xdr:row>48</xdr:row>
      <xdr:rowOff>126998</xdr:rowOff>
    </xdr:from>
    <xdr:to>
      <xdr:col>12</xdr:col>
      <xdr:colOff>1373911</xdr:colOff>
      <xdr:row>75</xdr:row>
      <xdr:rowOff>173181</xdr:rowOff>
    </xdr:to>
    <xdr:graphicFrame macro="">
      <xdr:nvGraphicFramePr>
        <xdr:cNvPr id="11" name="Gráfico 10">
          <a:extLst>
            <a:ext uri="{FF2B5EF4-FFF2-40B4-BE49-F238E27FC236}">
              <a16:creationId xmlns:a16="http://schemas.microsoft.com/office/drawing/2014/main" id="{6A63435D-8FD9-4F0C-BDCA-71C7C74D4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896937</xdr:colOff>
      <xdr:row>78</xdr:row>
      <xdr:rowOff>41274</xdr:rowOff>
    </xdr:from>
    <xdr:to>
      <xdr:col>12</xdr:col>
      <xdr:colOff>1190625</xdr:colOff>
      <xdr:row>105</xdr:row>
      <xdr:rowOff>31749</xdr:rowOff>
    </xdr:to>
    <xdr:graphicFrame macro="">
      <xdr:nvGraphicFramePr>
        <xdr:cNvPr id="12" name="Gráfico 11">
          <a:extLst>
            <a:ext uri="{FF2B5EF4-FFF2-40B4-BE49-F238E27FC236}">
              <a16:creationId xmlns:a16="http://schemas.microsoft.com/office/drawing/2014/main" id="{7D8B38F5-5AB6-4933-90A4-4A261295D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99172</xdr:colOff>
      <xdr:row>0</xdr:row>
      <xdr:rowOff>98425</xdr:rowOff>
    </xdr:from>
    <xdr:to>
      <xdr:col>10</xdr:col>
      <xdr:colOff>672353</xdr:colOff>
      <xdr:row>14</xdr:row>
      <xdr:rowOff>152400</xdr:rowOff>
    </xdr:to>
    <xdr:graphicFrame macro="">
      <xdr:nvGraphicFramePr>
        <xdr:cNvPr id="2" name="Gráfico 1">
          <a:extLst>
            <a:ext uri="{FF2B5EF4-FFF2-40B4-BE49-F238E27FC236}">
              <a16:creationId xmlns:a16="http://schemas.microsoft.com/office/drawing/2014/main" id="{01943680-46E9-4695-9B68-DF508A2A0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639535</xdr:colOff>
      <xdr:row>15</xdr:row>
      <xdr:rowOff>170543</xdr:rowOff>
    </xdr:from>
    <xdr:to>
      <xdr:col>12</xdr:col>
      <xdr:colOff>634999</xdr:colOff>
      <xdr:row>31</xdr:row>
      <xdr:rowOff>10886</xdr:rowOff>
    </xdr:to>
    <xdr:graphicFrame macro="">
      <xdr:nvGraphicFramePr>
        <xdr:cNvPr id="3" name="Gráfico 2">
          <a:extLst>
            <a:ext uri="{FF2B5EF4-FFF2-40B4-BE49-F238E27FC236}">
              <a16:creationId xmlns:a16="http://schemas.microsoft.com/office/drawing/2014/main" id="{EBF890B2-FD87-4D0E-90B5-3DAA28964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438727</xdr:colOff>
      <xdr:row>31</xdr:row>
      <xdr:rowOff>68695</xdr:rowOff>
    </xdr:from>
    <xdr:to>
      <xdr:col>24</xdr:col>
      <xdr:colOff>692728</xdr:colOff>
      <xdr:row>55</xdr:row>
      <xdr:rowOff>103909</xdr:rowOff>
    </xdr:to>
    <xdr:graphicFrame macro="">
      <xdr:nvGraphicFramePr>
        <xdr:cNvPr id="4" name="Gráfico 3">
          <a:extLst>
            <a:ext uri="{FF2B5EF4-FFF2-40B4-BE49-F238E27FC236}">
              <a16:creationId xmlns:a16="http://schemas.microsoft.com/office/drawing/2014/main" id="{08D47FDC-26F1-46A8-9E2E-8A039D4A1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o" refreshedDate="44508.449457291666" createdVersion="6" refreshedVersion="6" minRefreshableVersion="3" recordCount="216" xr:uid="{695B7A3E-07A7-4066-8854-8B217F89CBEF}">
  <cacheSource type="worksheet">
    <worksheetSource ref="A1:BM217" sheet="Data2"/>
  </cacheSource>
  <cacheFields count="65">
    <cacheField name="id" numFmtId="0">
      <sharedItems containsSemiMixedTypes="0" containsString="0" containsNumber="1" containsInteger="1" minValue="1" maxValue="216"/>
    </cacheField>
    <cacheField name="abv-country" numFmtId="43">
      <sharedItems/>
    </cacheField>
    <cacheField name="country" numFmtId="43">
      <sharedItems/>
    </cacheField>
    <cacheField name="region" numFmtId="43">
      <sharedItems count="7">
        <s v="Europe &amp; Central Asia"/>
        <s v="Latin America &amp; Caribbean"/>
        <s v="North America"/>
        <s v="Sub-Saharan Africa"/>
        <s v="East Asia &amp; Pacific"/>
        <s v="Middle East &amp; North Africa"/>
        <s v="South Asia"/>
      </sharedItems>
    </cacheField>
    <cacheField name="income" numFmtId="43">
      <sharedItems/>
    </cacheField>
    <cacheField name="partnerships-rpc" numFmtId="0">
      <sharedItems containsSemiMixedTypes="0" containsString="0" containsNumber="1" containsInteger="1" minValue="0" maxValue="4" count="5">
        <n v="1"/>
        <n v="0"/>
        <n v="3"/>
        <n v="2"/>
        <n v="4"/>
      </sharedItems>
    </cacheField>
    <cacheField name="tlc-rpc" numFmtId="0">
      <sharedItems containsMixedTypes="1" containsNumber="1" containsInteger="1" minValue="0" maxValue="1" count="3">
        <n v="0"/>
        <s v="na"/>
        <n v="1"/>
      </sharedItems>
    </cacheField>
    <cacheField name="mou-bri" numFmtId="0">
      <sharedItems containsSemiMixedTypes="0" containsString="0" containsNumber="1" containsInteger="1" minValue="0" maxValue="1" count="2">
        <n v="1"/>
        <n v="0"/>
      </sharedItems>
    </cacheField>
    <cacheField name="mou-year" numFmtId="0">
      <sharedItems containsMixedTypes="1" containsNumber="1" containsInteger="1" minValue="2013" maxValue="2021"/>
    </cacheField>
    <cacheField name="recog-rpc-recent" numFmtId="0">
      <sharedItems containsSemiMixedTypes="0" containsString="0" containsNumber="1" containsInteger="1" minValue="0" maxValue="2"/>
    </cacheField>
    <cacheField name="recog-rpc-year" numFmtId="0">
      <sharedItems containsMixedTypes="1" containsNumber="1" containsInteger="1" minValue="2001" maxValue="2019"/>
    </cacheField>
    <cacheField name="gdp-current" numFmtId="0">
      <sharedItems containsMixedTypes="1" containsNumber="1" minValue="47271463.329857491" maxValue="21433224697000"/>
    </cacheField>
    <cacheField name="invest-bri0" numFmtId="0">
      <sharedItems containsSemiMixedTypes="0" containsString="0" containsNumber="1" containsInteger="1" minValue="0" maxValue="298"/>
    </cacheField>
    <cacheField name="amount-investbri0" numFmtId="0">
      <sharedItems containsSemiMixedTypes="0" containsString="0" containsNumber="1" containsInteger="1" minValue="0" maxValue="191370000000"/>
    </cacheField>
    <cacheField name="invest-bri1" numFmtId="0">
      <sharedItems containsSemiMixedTypes="0" containsString="0" containsNumber="1" containsInteger="1" minValue="0" maxValue="84"/>
    </cacheField>
    <cacheField name="amount-investbri1" numFmtId="0">
      <sharedItems containsSemiMixedTypes="0" containsString="0" containsNumber="1" containsInteger="1" minValue="0" maxValue="51990000000"/>
    </cacheField>
    <cacheField name="invest-total" numFmtId="0">
      <sharedItems containsSemiMixedTypes="0" containsString="0" containsNumber="1" containsInteger="1" minValue="0" maxValue="298"/>
    </cacheField>
    <cacheField name="amount-invest-total" numFmtId="164">
      <sharedItems containsSemiMixedTypes="0" containsString="0" containsNumber="1" containsInteger="1" minValue="0" maxValue="191370000000"/>
    </cacheField>
    <cacheField name="%investbri0/GDP" numFmtId="0">
      <sharedItems containsSemiMixedTypes="0" containsString="0" containsNumber="1" minValue="0" maxValue="2.2226119478203499"/>
    </cacheField>
    <cacheField name="%investbri1/GDP" numFmtId="0">
      <sharedItems containsSemiMixedTypes="0" containsString="0" containsNumber="1" minValue="0" maxValue="1.211777402275374"/>
    </cacheField>
    <cacheField name="%invest/GDP-total" numFmtId="0">
      <sharedItems containsSemiMixedTypes="0" containsString="0" containsNumber="1" minValue="0" maxValue="2.2226119478203499"/>
    </cacheField>
    <cacheField name="%investbri0/all" numFmtId="0">
      <sharedItems containsSemiMixedTypes="0" containsString="0" containsNumber="1" minValue="0" maxValue="0.14253368388908336"/>
    </cacheField>
    <cacheField name="%investbri1/all" numFmtId="0">
      <sharedItems containsSemiMixedTypes="0" containsString="0" containsNumber="1" minValue="0" maxValue="6.5384712126166464E-2"/>
    </cacheField>
    <cacheField name="%invest/all-total" numFmtId="0">
      <sharedItems containsSemiMixedTypes="0" containsString="0" containsNumber="1" minValue="0" maxValue="8.930713122366217E-2"/>
    </cacheField>
    <cacheField name="invest/year" numFmtId="0">
      <sharedItems containsSemiMixedTypes="0" containsString="0" containsNumber="1" minValue="0" maxValue="11257058823.529411"/>
    </cacheField>
    <cacheField name="%invest/year/GDP" numFmtId="0">
      <sharedItems containsSemiMixedTypes="0" containsString="0" containsNumber="1" minValue="0" maxValue="0.13074187928354999"/>
    </cacheField>
    <cacheField name="members-AIIB" numFmtId="0">
      <sharedItems containsSemiMixedTypes="0" containsString="0" containsNumber="1" containsInteger="1" minValue="0" maxValue="3" count="4">
        <n v="0"/>
        <n v="3"/>
        <n v="1"/>
        <n v="2"/>
      </sharedItems>
    </cacheField>
    <cacheField name="projects-approved-AIIB" numFmtId="0">
      <sharedItems containsMixedTypes="1" containsNumber="1" containsInteger="1" minValue="0" maxValue="27"/>
    </cacheField>
    <cacheField name="amount-approved-AIIB" numFmtId="0">
      <sharedItems containsMixedTypes="1" containsNumber="1" containsInteger="1" minValue="0" maxValue="6674670000"/>
    </cacheField>
    <cacheField name="projects-proposed-AIIB" numFmtId="0">
      <sharedItems containsMixedTypes="1" containsNumber="1" containsInteger="1" minValue="0" maxValue="16"/>
    </cacheField>
    <cacheField name="amount-proposed-AIIB" numFmtId="0">
      <sharedItems containsMixedTypes="1" containsNumber="1" containsInteger="1" minValue="0" maxValue="5207850000"/>
    </cacheField>
    <cacheField name="projects-cancelled-AIIB" numFmtId="0">
      <sharedItems containsMixedTypes="1" containsNumber="1" containsInteger="1" minValue="0" maxValue="1"/>
    </cacheField>
    <cacheField name="amount-cancelled-AIIB" numFmtId="0">
      <sharedItems containsMixedTypes="1" containsNumber="1" containsInteger="1" minValue="0" maxValue="35000000"/>
    </cacheField>
    <cacheField name="total-projects-aiib" numFmtId="0">
      <sharedItems containsSemiMixedTypes="0" containsString="0" containsNumber="1" containsInteger="1" minValue="0" maxValue="44"/>
    </cacheField>
    <cacheField name="total-amount-aiib" numFmtId="0">
      <sharedItems containsMixedTypes="1" containsNumber="1" containsInteger="1" minValue="0" maxValue="11882520000"/>
    </cacheField>
    <cacheField name="%total/GDP-aiib" numFmtId="0">
      <sharedItems containsMixedTypes="1" containsNumber="1" minValue="0" maxValue="3.3501053531048833E-2"/>
    </cacheField>
    <cacheField name="%total/all-aiib" numFmtId="0">
      <sharedItems containsMixedTypes="1" containsNumber="1" minValue="0" maxValue="0.29810465218088306"/>
    </cacheField>
    <cacheField name="imports-rpc" numFmtId="0">
      <sharedItems containsMixedTypes="1" containsNumber="1" containsInteger="1" minValue="33795" maxValue="470950852000"/>
    </cacheField>
    <cacheField name="exports-rpc" numFmtId="0">
      <sharedItems containsMixedTypes="1" containsNumber="1" containsInteger="1" minValue="0" maxValue="296069015000"/>
    </cacheField>
    <cacheField name="balance-rpc" numFmtId="0">
      <sharedItems containsMixedTypes="1" containsNumber="1" containsInteger="1" minValue="-364502480000" maxValue="34628782000"/>
    </cacheField>
    <cacheField name="trade-rpc" numFmtId="0">
      <sharedItems containsMixedTypes="1" containsNumber="1" containsInteger="1" minValue="33939" maxValue="577399224000" count="206">
        <n v="600146000"/>
        <n v="2569000"/>
        <n v="941706000"/>
        <n v="7583000"/>
        <n v="117451000"/>
        <n v="25172000"/>
        <n v="10898000"/>
        <n v="534496000"/>
        <n v="141823000"/>
        <n v="38408000"/>
        <n v="110600000"/>
        <s v="na"/>
        <n v="19773000"/>
        <n v="43965000"/>
        <n v="37712000"/>
        <n v="34373000"/>
        <n v="3757175000"/>
        <n v="1013221000"/>
        <n v="1703232000"/>
        <n v="131458000"/>
        <n v="106144000"/>
        <n v="55666000"/>
        <n v="274523000"/>
        <n v="15204000"/>
        <n v="565556000"/>
        <n v="560670855000"/>
        <n v="613179000"/>
        <n v="22127000"/>
        <n v="1640099000"/>
        <n v="1349104000"/>
        <n v="4088909000"/>
        <n v="2429784000"/>
        <n v="31314000"/>
        <n v="1245000"/>
        <n v="1196098000"/>
        <n v="18734000"/>
        <n v="447470"/>
        <n v="1934498000"/>
        <n v="10070000"/>
        <n v="33939"/>
        <n v="21048000"/>
        <n v="71819000"/>
        <n v="6590000"/>
        <n v="7682635000"/>
        <n v="750696000"/>
        <n v="151850000"/>
        <n v="29605000"/>
        <n v="3028000"/>
        <n v="21763000"/>
        <n v="91416000"/>
        <n v="72000"/>
        <n v="102197000"/>
        <n v="750116000"/>
        <n v="48401000"/>
        <n v="2088309"/>
        <n v="40889000"/>
        <n v="3456860000"/>
        <n v="560300000"/>
        <n v="499836000"/>
        <n v="24623000"/>
        <n v="1481260"/>
        <n v="386269000"/>
        <n v="326744000"/>
        <n v="40326000"/>
        <n v="2626900000"/>
        <n v="155729000"/>
        <n v="258500000"/>
        <n v="15979309000"/>
        <n v="922404000"/>
        <n v="619715000"/>
        <n v="711184000"/>
        <n v="924575000"/>
        <n v="4022268000"/>
        <n v="2417914000"/>
        <n v="412400000"/>
        <n v="1282374000"/>
        <n v="168140000"/>
        <n v="2245572000"/>
        <n v="576542000"/>
        <n v="8994000"/>
        <n v="30807284000"/>
        <n v="42019000"/>
        <n v="1253481000"/>
        <n v="641915"/>
        <n v="239367000"/>
        <n v="149319227000"/>
        <n v="469401"/>
        <n v="2382636"/>
        <n v="10867948000"/>
        <n v="966901000"/>
        <n v="125685000"/>
        <n v="3685576000"/>
        <n v="2218536000"/>
        <n v="4989729000"/>
        <n v="5505619000"/>
        <n v="1041806000"/>
        <n v="5944517000"/>
        <n v="2632783000"/>
        <n v="2184314000"/>
        <n v="1045492000"/>
        <n v="5465123000"/>
        <n v="660887000"/>
        <n v="1014954000"/>
        <n v="5168273000"/>
        <n v="15048186000"/>
        <n v="846705000"/>
        <n v="828847"/>
        <n v="2230427000"/>
        <n v="7219552000"/>
        <n v="528351"/>
        <n v="254378000"/>
        <n v="33116140000"/>
        <n v="1958005"/>
        <n v="1955732000"/>
        <n v="1836309000"/>
        <n v="1187688"/>
        <n v="89982760000"/>
        <n v="1317198000"/>
        <n v="19570900000"/>
        <n v="1099333000"/>
        <n v="26163707000"/>
        <n v="1147392000"/>
        <n v="864271000"/>
        <n v="1815401000"/>
        <n v="2173237"/>
        <n v="1633568000"/>
        <n v="10851000"/>
        <n v="2530042000"/>
        <n v="3866858000"/>
        <n v="8824299000"/>
        <n v="511142000"/>
        <n v="2412342000"/>
        <n v="3293628000"/>
        <n v="22480835000"/>
        <n v="9116722000"/>
        <n v="3032543000"/>
        <n v="565618000"/>
        <n v="12997462000"/>
        <n v="6819911000"/>
        <n v="1297195000"/>
        <n v="12504189000"/>
        <n v="8809468"/>
        <n v="14919504000"/>
        <n v="718596000"/>
        <n v="40252615000"/>
        <n v="12793817000"/>
        <n v="3980164000"/>
        <n v="243433161000"/>
        <n v="12200684000"/>
        <n v="2691354000"/>
        <n v="79955378000"/>
        <n v="414840000"/>
        <n v="1185314000"/>
        <n v="5545589000"/>
        <n v="2824403000"/>
        <n v="3589978000"/>
        <n v="6899119000"/>
        <n v="303956352000"/>
        <n v="4704508"/>
        <n v="14952260000"/>
        <n v="4223056000"/>
        <n v="7393351000"/>
        <n v="25949039000"/>
        <n v="4289406000"/>
        <n v="2223259000"/>
        <n v="36319227000"/>
        <n v="17204597000"/>
        <n v="21854543000"/>
        <n v="9337090000"/>
        <n v="5620926000"/>
        <n v="3738971000"/>
        <n v="2525981000"/>
        <n v="35378000000"/>
        <n v="8597896000"/>
        <n v="6328231000"/>
        <n v="62485810000"/>
        <n v="15583830000"/>
        <n v="8087231000"/>
        <n v="12597793000"/>
        <n v="23387870"/>
        <n v="4408066000"/>
        <n v="33280164000"/>
        <n v="23010285000"/>
        <n v="23414391000"/>
        <n v="49968855000"/>
        <n v="18371560000"/>
        <n v="117020376000"/>
        <n v="3353323"/>
        <n v="83051670000"/>
        <n v="85680926000"/>
        <n v="14361212000"/>
        <n v="50145608"/>
        <n v="13729901000"/>
        <n v="36406498000"/>
        <n v="76101919000"/>
        <n v="230616960000"/>
        <n v="100663805000"/>
        <n v="72892508000"/>
        <n v="74037468000"/>
        <n v="110918575000"/>
        <n v="36711339000"/>
        <n v="14466890000"/>
        <n v="98142053000"/>
        <n v="95683789000"/>
        <n v="143958664000"/>
        <n v="577399224000"/>
      </sharedItems>
    </cacheField>
    <cacheField name="imports-total" numFmtId="0">
      <sharedItems containsMixedTypes="1" containsNumber="1" containsInteger="1" minValue="0" maxValue="2563536173000"/>
    </cacheField>
    <cacheField name="exports-total" numFmtId="0">
      <sharedItems containsMixedTypes="1" containsNumber="1" containsInteger="1" minValue="717000" maxValue="2498569866000"/>
    </cacheField>
    <cacheField name="balance-total" numFmtId="0">
      <sharedItems containsMixedTypes="1" containsNumber="1" containsInteger="1" minValue="-920715821000" maxValue="429619611000"/>
    </cacheField>
    <cacheField name="trade-total" numFmtId="0">
      <sharedItems containsMixedTypes="1" containsNumber="1" containsInteger="1" minValue="717000" maxValue="4567520121000"/>
    </cacheField>
    <cacheField name="%imports-rpc" numFmtId="0">
      <sharedItems containsMixedTypes="1" containsNumber="1" minValue="5.4176625899937962E-5" maxValue="0.90417328794439733"/>
    </cacheField>
    <cacheField name="%exports-rpc" numFmtId="0">
      <sharedItems containsMixedTypes="1" containsNumber="1" minValue="0" maxValue="0.92115986772796443"/>
    </cacheField>
    <cacheField name="intensity-imports-rpc" numFmtId="0">
      <sharedItems containsMixedTypes="1" containsNumber="1" minValue="3.6267146751861128E-5" maxValue="1.0260013969927548"/>
    </cacheField>
    <cacheField name="intensity-exports-rpc" numFmtId="0">
      <sharedItems containsMixedTypes="1" containsNumber="1" minValue="4.7657018220575822E-6" maxValue="0.79403569420280717"/>
    </cacheField>
    <cacheField name="%trade-rpc" numFmtId="0">
      <sharedItems containsMixedTypes="1" containsNumber="1" minValue="4.7068923193846745E-5" maxValue="0.88268120866754818"/>
    </cacheField>
    <cacheField name="%trade/GDP-rpc" numFmtId="0">
      <sharedItems containsMixedTypes="1" containsNumber="1" minValue="1.5990477953271593E-5" maxValue="10.146837371409767"/>
    </cacheField>
    <cacheField name="projects-devfinance" numFmtId="0">
      <sharedItems containsMixedTypes="1" containsNumber="1" containsInteger="1" minValue="0" maxValue="350"/>
    </cacheField>
    <cacheField name="amount-devfinance" numFmtId="0">
      <sharedItems containsMixedTypes="1" containsNumber="1" minValue="0" maxValue="182518866954.12195"/>
    </cacheField>
    <cacheField name="projects-oda" numFmtId="0">
      <sharedItems containsMixedTypes="1" containsNumber="1" containsInteger="1" minValue="0" maxValue="210"/>
    </cacheField>
    <cacheField name="amount-oda" numFmtId="0">
      <sharedItems containsMixedTypes="1" containsNumber="1" minValue="0" maxValue="27212651292.361855"/>
    </cacheField>
    <cacheField name="projects-off" numFmtId="0">
      <sharedItems containsMixedTypes="1" containsNumber="1" containsInteger="1" minValue="0" maxValue="199"/>
    </cacheField>
    <cacheField name="amount-off" numFmtId="0">
      <sharedItems containsMixedTypes="1" containsNumber="1" minValue="0" maxValue="182518866954.12195"/>
    </cacheField>
    <cacheField name="projects-vague" numFmtId="0">
      <sharedItems containsMixedTypes="1" containsNumber="1" containsInteger="1" minValue="0" maxValue="73"/>
    </cacheField>
    <cacheField name="amount-vague" numFmtId="0">
      <sharedItems containsMixedTypes="1" containsNumber="1" minValue="0" maxValue="60748932517.738075"/>
    </cacheField>
    <cacheField name="%devfinance/GDP" numFmtId="0">
      <sharedItems containsSemiMixedTypes="0" containsString="0" containsNumber="1" minValue="0" maxValue="14.324772511662545"/>
    </cacheField>
    <cacheField name="%oda/GDP" numFmtId="0">
      <sharedItems containsSemiMixedTypes="0" containsString="0" containsNumber="1" minValue="0" maxValue="1.6376093161379119"/>
    </cacheField>
    <cacheField name="%off/GDP" numFmtId="0">
      <sharedItems containsSemiMixedTypes="0" containsString="0" containsNumber="1" minValue="0" maxValue="14.324772511662545"/>
    </cacheField>
    <cacheField name="%vague/GDP" numFmtId="0">
      <sharedItems containsSemiMixedTypes="0" containsString="0" containsNumber="1" minValue="0" maxValue="0.29613895308817922"/>
    </cacheField>
    <cacheField name="devfinance/year" numFmtId="0">
      <sharedItems containsSemiMixedTypes="0" containsString="0" containsNumber="1" minValue="0" maxValue="10736403938.477762"/>
    </cacheField>
    <cacheField name="%devfinance/year/GDP" numFmtId="0">
      <sharedItems containsSemiMixedTypes="0" containsString="0" containsNumber="1" minValue="0" maxValue="0.8426336771566201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o" refreshedDate="44508.449457407405" createdVersion="6" refreshedVersion="6" minRefreshableVersion="3" recordCount="216" xr:uid="{5B987590-7C67-45C0-A638-C550C3BF3435}">
  <cacheSource type="worksheet">
    <worksheetSource ref="A1:BM217" sheet="Data2"/>
  </cacheSource>
  <cacheFields count="65">
    <cacheField name="id" numFmtId="0">
      <sharedItems containsSemiMixedTypes="0" containsString="0" containsNumber="1" containsInteger="1" minValue="1" maxValue="216"/>
    </cacheField>
    <cacheField name="abv-country" numFmtId="43">
      <sharedItems/>
    </cacheField>
    <cacheField name="country" numFmtId="43">
      <sharedItems/>
    </cacheField>
    <cacheField name="region" numFmtId="43">
      <sharedItems/>
    </cacheField>
    <cacheField name="income" numFmtId="43">
      <sharedItems count="5">
        <s v="Upper middle income"/>
        <s v="High income"/>
        <s v="Lower middle income"/>
        <s v="Low income"/>
        <s v="na"/>
      </sharedItems>
    </cacheField>
    <cacheField name="partnerships-rpc" numFmtId="0">
      <sharedItems containsSemiMixedTypes="0" containsString="0" containsNumber="1" containsInteger="1" minValue="0" maxValue="4"/>
    </cacheField>
    <cacheField name="tlc-rpc" numFmtId="0">
      <sharedItems containsMixedTypes="1" containsNumber="1" containsInteger="1" minValue="0" maxValue="1"/>
    </cacheField>
    <cacheField name="mou-bri" numFmtId="0">
      <sharedItems containsSemiMixedTypes="0" containsString="0" containsNumber="1" containsInteger="1" minValue="0" maxValue="1" count="2">
        <n v="1"/>
        <n v="0"/>
      </sharedItems>
    </cacheField>
    <cacheField name="mou-year" numFmtId="0">
      <sharedItems containsMixedTypes="1" containsNumber="1" containsInteger="1" minValue="2013" maxValue="2021"/>
    </cacheField>
    <cacheField name="recog-rpc-recent" numFmtId="0">
      <sharedItems containsSemiMixedTypes="0" containsString="0" containsNumber="1" containsInteger="1" minValue="0" maxValue="2"/>
    </cacheField>
    <cacheField name="recog-rpc-year" numFmtId="0">
      <sharedItems containsMixedTypes="1" containsNumber="1" containsInteger="1" minValue="2001" maxValue="2019"/>
    </cacheField>
    <cacheField name="gdp-current" numFmtId="0">
      <sharedItems containsMixedTypes="1" containsNumber="1" minValue="47271463.329857491" maxValue="21433224697000"/>
    </cacheField>
    <cacheField name="invest-bri0" numFmtId="0">
      <sharedItems containsSemiMixedTypes="0" containsString="0" containsNumber="1" containsInteger="1" minValue="0" maxValue="298"/>
    </cacheField>
    <cacheField name="amount-investbri0" numFmtId="0">
      <sharedItems containsSemiMixedTypes="0" containsString="0" containsNumber="1" containsInteger="1" minValue="0" maxValue="191370000000"/>
    </cacheField>
    <cacheField name="invest-bri1" numFmtId="0">
      <sharedItems containsSemiMixedTypes="0" containsString="0" containsNumber="1" containsInteger="1" minValue="0" maxValue="84"/>
    </cacheField>
    <cacheField name="amount-investbri1" numFmtId="0">
      <sharedItems containsSemiMixedTypes="0" containsString="0" containsNumber="1" containsInteger="1" minValue="0" maxValue="51990000000"/>
    </cacheField>
    <cacheField name="invest-total" numFmtId="0">
      <sharedItems containsSemiMixedTypes="0" containsString="0" containsNumber="1" containsInteger="1" minValue="0" maxValue="298"/>
    </cacheField>
    <cacheField name="amount-invest-total" numFmtId="164">
      <sharedItems containsSemiMixedTypes="0" containsString="0" containsNumber="1" containsInteger="1" minValue="0" maxValue="191370000000"/>
    </cacheField>
    <cacheField name="%investbri0/GDP" numFmtId="0">
      <sharedItems containsSemiMixedTypes="0" containsString="0" containsNumber="1" minValue="0" maxValue="2.2226119478203499"/>
    </cacheField>
    <cacheField name="%investbri1/GDP" numFmtId="0">
      <sharedItems containsSemiMixedTypes="0" containsString="0" containsNumber="1" minValue="0" maxValue="1.211777402275374"/>
    </cacheField>
    <cacheField name="%invest/GDP-total" numFmtId="0">
      <sharedItems containsSemiMixedTypes="0" containsString="0" containsNumber="1" minValue="0" maxValue="2.2226119478203499"/>
    </cacheField>
    <cacheField name="%investbri0/all" numFmtId="0">
      <sharedItems containsSemiMixedTypes="0" containsString="0" containsNumber="1" minValue="0" maxValue="0.14253368388908336"/>
    </cacheField>
    <cacheField name="%investbri1/all" numFmtId="0">
      <sharedItems containsSemiMixedTypes="0" containsString="0" containsNumber="1" minValue="0" maxValue="6.5384712126166464E-2"/>
    </cacheField>
    <cacheField name="%invest/all-total" numFmtId="0">
      <sharedItems containsSemiMixedTypes="0" containsString="0" containsNumber="1" minValue="0" maxValue="8.930713122366217E-2"/>
    </cacheField>
    <cacheField name="invest/year" numFmtId="0">
      <sharedItems containsSemiMixedTypes="0" containsString="0" containsNumber="1" minValue="0" maxValue="11257058823.529411"/>
    </cacheField>
    <cacheField name="%invest/year/GDP" numFmtId="0">
      <sharedItems containsSemiMixedTypes="0" containsString="0" containsNumber="1" minValue="0" maxValue="0.13074187928354999"/>
    </cacheField>
    <cacheField name="members-AIIB" numFmtId="0">
      <sharedItems containsSemiMixedTypes="0" containsString="0" containsNumber="1" containsInteger="1" minValue="0" maxValue="3"/>
    </cacheField>
    <cacheField name="projects-approved-AIIB" numFmtId="0">
      <sharedItems containsMixedTypes="1" containsNumber="1" containsInteger="1" minValue="0" maxValue="27"/>
    </cacheField>
    <cacheField name="amount-approved-AIIB" numFmtId="0">
      <sharedItems containsMixedTypes="1" containsNumber="1" containsInteger="1" minValue="0" maxValue="6674670000"/>
    </cacheField>
    <cacheField name="projects-proposed-AIIB" numFmtId="0">
      <sharedItems containsMixedTypes="1" containsNumber="1" containsInteger="1" minValue="0" maxValue="16"/>
    </cacheField>
    <cacheField name="amount-proposed-AIIB" numFmtId="0">
      <sharedItems containsMixedTypes="1" containsNumber="1" containsInteger="1" minValue="0" maxValue="5207850000"/>
    </cacheField>
    <cacheField name="projects-cancelled-AIIB" numFmtId="0">
      <sharedItems containsMixedTypes="1" containsNumber="1" containsInteger="1" minValue="0" maxValue="1"/>
    </cacheField>
    <cacheField name="amount-cancelled-AIIB" numFmtId="0">
      <sharedItems containsMixedTypes="1" containsNumber="1" containsInteger="1" minValue="0" maxValue="35000000"/>
    </cacheField>
    <cacheField name="total-projects-aiib" numFmtId="0">
      <sharedItems containsSemiMixedTypes="0" containsString="0" containsNumber="1" containsInteger="1" minValue="0" maxValue="44"/>
    </cacheField>
    <cacheField name="total-amount-aiib" numFmtId="0">
      <sharedItems containsMixedTypes="1" containsNumber="1" containsInteger="1" minValue="0" maxValue="11882520000"/>
    </cacheField>
    <cacheField name="%total/GDP-aiib" numFmtId="0">
      <sharedItems containsMixedTypes="1" containsNumber="1" minValue="0" maxValue="3.3501053531048833E-2"/>
    </cacheField>
    <cacheField name="%total/all-aiib" numFmtId="0">
      <sharedItems containsMixedTypes="1" containsNumber="1" minValue="0" maxValue="0.29810465218088306"/>
    </cacheField>
    <cacheField name="imports-rpc" numFmtId="0">
      <sharedItems containsMixedTypes="1" containsNumber="1" containsInteger="1" minValue="33795" maxValue="470950852000"/>
    </cacheField>
    <cacheField name="exports-rpc" numFmtId="0">
      <sharedItems containsMixedTypes="1" containsNumber="1" containsInteger="1" minValue="0" maxValue="296069015000"/>
    </cacheField>
    <cacheField name="balance-rpc" numFmtId="0">
      <sharedItems containsMixedTypes="1" containsNumber="1" containsInteger="1" minValue="-364502480000" maxValue="34628782000"/>
    </cacheField>
    <cacheField name="trade-rpc" numFmtId="0">
      <sharedItems containsMixedTypes="1" containsNumber="1" containsInteger="1" minValue="33939" maxValue="577399224000"/>
    </cacheField>
    <cacheField name="imports-total" numFmtId="0">
      <sharedItems containsMixedTypes="1" containsNumber="1" containsInteger="1" minValue="0" maxValue="2563536173000"/>
    </cacheField>
    <cacheField name="exports-total" numFmtId="0">
      <sharedItems containsMixedTypes="1" containsNumber="1" containsInteger="1" minValue="717000" maxValue="2498569866000"/>
    </cacheField>
    <cacheField name="balance-total" numFmtId="0">
      <sharedItems containsMixedTypes="1" containsNumber="1" containsInteger="1" minValue="-920715821000" maxValue="429619611000"/>
    </cacheField>
    <cacheField name="trade-total" numFmtId="0">
      <sharedItems containsMixedTypes="1" containsNumber="1" containsInteger="1" minValue="717000" maxValue="4567520121000"/>
    </cacheField>
    <cacheField name="%imports-rpc" numFmtId="0">
      <sharedItems containsMixedTypes="1" containsNumber="1" minValue="5.4176625899937962E-5" maxValue="0.90417328794439733"/>
    </cacheField>
    <cacheField name="%exports-rpc" numFmtId="0">
      <sharedItems containsMixedTypes="1" containsNumber="1" minValue="0" maxValue="0.92115986772796443"/>
    </cacheField>
    <cacheField name="intensity-imports-rpc" numFmtId="0">
      <sharedItems containsMixedTypes="1" containsNumber="1" minValue="3.6267146751861128E-5" maxValue="1.0260013969927548"/>
    </cacheField>
    <cacheField name="intensity-exports-rpc" numFmtId="0">
      <sharedItems containsMixedTypes="1" containsNumber="1" minValue="4.7657018220575822E-6" maxValue="0.79403569420280717"/>
    </cacheField>
    <cacheField name="%trade-rpc" numFmtId="0">
      <sharedItems containsMixedTypes="1" containsNumber="1" minValue="4.7068923193846745E-5" maxValue="0.88268120866754818"/>
    </cacheField>
    <cacheField name="%trade/GDP-rpc" numFmtId="0">
      <sharedItems containsMixedTypes="1" containsNumber="1" minValue="1.5990477953271593E-5" maxValue="10.146837371409767"/>
    </cacheField>
    <cacheField name="projects-devfinance" numFmtId="0">
      <sharedItems containsMixedTypes="1" containsNumber="1" containsInteger="1" minValue="0" maxValue="350"/>
    </cacheField>
    <cacheField name="amount-devfinance" numFmtId="0">
      <sharedItems containsMixedTypes="1" containsNumber="1" minValue="0" maxValue="182518866954.12195"/>
    </cacheField>
    <cacheField name="projects-oda" numFmtId="0">
      <sharedItems containsMixedTypes="1" containsNumber="1" containsInteger="1" minValue="0" maxValue="210"/>
    </cacheField>
    <cacheField name="amount-oda" numFmtId="0">
      <sharedItems containsMixedTypes="1" containsNumber="1" minValue="0" maxValue="27212651292.361855"/>
    </cacheField>
    <cacheField name="projects-off" numFmtId="0">
      <sharedItems containsMixedTypes="1" containsNumber="1" containsInteger="1" minValue="0" maxValue="199"/>
    </cacheField>
    <cacheField name="amount-off" numFmtId="0">
      <sharedItems containsMixedTypes="1" containsNumber="1" minValue="0" maxValue="182518866954.12195"/>
    </cacheField>
    <cacheField name="projects-vague" numFmtId="0">
      <sharedItems containsMixedTypes="1" containsNumber="1" containsInteger="1" minValue="0" maxValue="73"/>
    </cacheField>
    <cacheField name="amount-vague" numFmtId="0">
      <sharedItems containsMixedTypes="1" containsNumber="1" minValue="0" maxValue="60748932517.738075"/>
    </cacheField>
    <cacheField name="%devfinance/GDP" numFmtId="0">
      <sharedItems containsSemiMixedTypes="0" containsString="0" containsNumber="1" minValue="0" maxValue="14.324772511662545"/>
    </cacheField>
    <cacheField name="%oda/GDP" numFmtId="0">
      <sharedItems containsSemiMixedTypes="0" containsString="0" containsNumber="1" minValue="0" maxValue="1.6376093161379119"/>
    </cacheField>
    <cacheField name="%off/GDP" numFmtId="0">
      <sharedItems containsSemiMixedTypes="0" containsString="0" containsNumber="1" minValue="0" maxValue="14.324772511662545"/>
    </cacheField>
    <cacheField name="%vague/GDP" numFmtId="0">
      <sharedItems containsSemiMixedTypes="0" containsString="0" containsNumber="1" minValue="0" maxValue="0.29613895308817922"/>
    </cacheField>
    <cacheField name="devfinance/year" numFmtId="0">
      <sharedItems containsSemiMixedTypes="0" containsString="0" containsNumber="1" minValue="0" maxValue="10736403938.477762"/>
    </cacheField>
    <cacheField name="%devfinance/year/GDP" numFmtId="0">
      <sharedItems containsSemiMixedTypes="0" containsString="0" containsNumber="1" minValue="0" maxValue="0.8426336771566201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o" refreshedDate="44508.44945763889" createdVersion="6" refreshedVersion="6" minRefreshableVersion="3" recordCount="216" xr:uid="{CF551D0C-2F4F-41E3-B94D-04E79E720BC9}">
  <cacheSource type="worksheet">
    <worksheetSource ref="A1:BM217" sheet="Data2"/>
  </cacheSource>
  <cacheFields count="65">
    <cacheField name="id" numFmtId="0">
      <sharedItems containsSemiMixedTypes="0" containsString="0" containsNumber="1" containsInteger="1" minValue="1" maxValue="216"/>
    </cacheField>
    <cacheField name="abv-country" numFmtId="43">
      <sharedItems/>
    </cacheField>
    <cacheField name="country" numFmtId="43">
      <sharedItems count="216">
        <s v="Albania"/>
        <s v="Andorra"/>
        <s v="Armenia"/>
        <s v="Aruba"/>
        <s v="Belize"/>
        <s v="Bermuda"/>
        <s v="British Virgin Islands"/>
        <s v="Burkina Faso"/>
        <s v="Burundi"/>
        <s v="Cayman Islands"/>
        <s v="Central African Republic"/>
        <s v="China"/>
        <s v="Comoros"/>
        <s v="Cook Islands"/>
        <s v="Curaçao"/>
        <s v="Dominica"/>
        <s v="Dominican Republic"/>
        <s v="El Salvador"/>
        <s v="Estonia"/>
        <s v="Eswatini"/>
        <s v="French Polynesia"/>
        <s v="Gambia"/>
        <s v="Greenland"/>
        <s v="Grenada"/>
        <s v="Guam"/>
        <s v="Haiti"/>
        <s v="Hong Kong, China"/>
        <s v="Iceland"/>
        <s v="Kiribati"/>
        <s v="Kosovo"/>
        <s v="Lebanon"/>
        <s v="Liechtenstein"/>
        <s v="Lithuania"/>
        <s v="Macao, China"/>
        <s v="Marshall Islands"/>
        <s v="Micronesia"/>
        <s v="Nauru"/>
        <s v="New Caledonia"/>
        <s v="Niue"/>
        <s v="Northern Mariana Islands"/>
        <s v="Palau"/>
        <s v="Palestine"/>
        <s v="Paraguay"/>
        <s v="Puerto Rico"/>
        <s v="Saint Kitts and Nevis"/>
        <s v="Saint Lucia"/>
        <s v="Saint Vincent and the Grenadines"/>
        <s v="San Marino"/>
        <s v="Seychelles"/>
        <s v="Sint Maarten (Dutch part)"/>
        <s v="Slovakia"/>
        <s v="Somalia"/>
        <s v="St. Martin (French part)"/>
        <s v="Suriname"/>
        <s v="Tonga"/>
        <s v="Turks and Caicos Islands"/>
        <s v="Tuvalu"/>
        <s v="Vanuatu"/>
        <s v="Vaticano"/>
        <s v="Virgin Islands (U.S.)"/>
        <s v="Western Sahara"/>
        <s v="Lesotho"/>
        <s v="Latvia"/>
        <s v="Samoa"/>
        <s v="Tunisia"/>
        <s v="Cabo Verde"/>
        <s v="Uruguay"/>
        <s v="Solomon Islands"/>
        <s v="Cyprus"/>
        <s v="Bahamas"/>
        <s v="Honduras"/>
        <s v="Fiji"/>
        <s v="Malta"/>
        <s v="Guinea-Bissau"/>
        <s v="Bulgaria"/>
        <s v="Barbados"/>
        <s v="Eritrea"/>
        <s v="Austria"/>
        <s v="Nicaragua"/>
        <s v="Moldova"/>
        <s v="North Macedonia"/>
        <s v="Croatia"/>
        <s v="Liberia"/>
        <s v="Guatemala"/>
        <s v="Togo"/>
        <s v="Cuba"/>
        <s v="Timor"/>
        <s v="Costa Rica"/>
        <s v="Malawi"/>
        <s v="Sao Tome and Principe"/>
        <s v="Czech Republic"/>
        <s v="Antigua and Barbuda"/>
        <s v="Mauritania"/>
        <s v="Rwanda"/>
        <s v="Montenegro"/>
        <s v="Taipei, Chinese"/>
        <s v="Maldives"/>
        <s v="Bahrain"/>
        <s v="Denmark"/>
        <s v="Mauritius"/>
        <s v="Botswana"/>
        <s v="Yemen"/>
        <s v="Benin"/>
        <s v="Gabon"/>
        <s v="Korea, Democratic People's Republic of"/>
        <s v="Madagascar"/>
        <s v="Romania"/>
        <s v="Slovenia"/>
        <s v="Azerbaijan"/>
        <s v="Trinidad and Tobago"/>
        <s v="Morocco"/>
        <s v="Tajikistan"/>
        <s v="Georgia"/>
        <s v="Panama"/>
        <s v="Colombia"/>
        <s v="Bosnia and Herzegovina"/>
        <s v="Mali"/>
        <s v="Djibouti"/>
        <s v="Libya"/>
        <s v="Jamaica"/>
        <s v="Guyana"/>
        <s v="Poland"/>
        <s v="Nepal"/>
        <s v="Namibia"/>
        <s v="Equatorial Guinea"/>
        <s v="Afghanistan"/>
        <s v="Mexico"/>
        <s v="Syria"/>
        <s v="New Zealand"/>
        <s v="Brunei"/>
        <s v="Belgium"/>
        <s v="Senegal"/>
        <s v="Luxembourg"/>
        <s v="Kyrgyzstan"/>
        <s v="Côte d'Ivoire"/>
        <s v="South Sudan"/>
        <s v="Bhutan"/>
        <s v="Bolivia"/>
        <s v="Papua New Guinea"/>
        <s v="Hungary"/>
        <s v="Sierra Leone"/>
        <s v="Belarus"/>
        <s v="Jordan"/>
        <s v="Oman"/>
        <s v="Turkmenistan"/>
        <s v="Sudan"/>
        <s v="Niger"/>
        <s v="Norway"/>
        <s v="Uzbekistan"/>
        <s v="Uganda"/>
        <s v="Qatar"/>
        <s v="Mongolia"/>
        <s v="Ireland"/>
        <s v="Chad"/>
        <s v="Spain"/>
        <s v="Ukraine"/>
        <s v="Portugal"/>
        <s v="Korea Republic"/>
        <s v="Myanmar"/>
        <s v="Cameroon"/>
        <s v="Thailand"/>
        <s v="Zimbabwe"/>
        <s v="Mozambique"/>
        <s v="Greece"/>
        <s v="Serbia"/>
        <s v="Congo"/>
        <s v="Kuwait"/>
        <s v="Japan"/>
        <s v="Ghana"/>
        <s v="Israel"/>
        <s v="Guinea"/>
        <s v="Ecuador"/>
        <s v="South Africa"/>
        <s v="Sri Lanka"/>
        <s v="Tanzania"/>
        <s v="Chile"/>
        <s v="Sweden"/>
        <s v="Turkey"/>
        <s v="Finland"/>
        <s v="Congo, Democratic Republic of the"/>
        <s v="Kenya"/>
        <s v="Zambia"/>
        <s v="Philippines"/>
        <s v="Cambodia"/>
        <s v="Venezuela"/>
        <s v="Netherlands"/>
        <s v="Argentina"/>
        <s v="Algeria"/>
        <s v="Egypt"/>
        <s v="Angola"/>
        <s v="Ethiopia"/>
        <s v="Iraq"/>
        <s v="Iran"/>
        <s v="Peru"/>
        <s v="Italy"/>
        <s v="Bangladesh"/>
        <s v="Vietnam"/>
        <s v="Laos"/>
        <s v="France"/>
        <s v="India"/>
        <s v="Kazakhstan"/>
        <s v="United Arab Emirates"/>
        <s v="Nigeria"/>
        <s v="Saudi Arabia"/>
        <s v="Malaysia"/>
        <s v="Germany"/>
        <s v="Singapore"/>
        <s v="Indonesia"/>
        <s v="Canada"/>
        <s v="Russia"/>
        <s v="Switzerland"/>
        <s v="Pakistan"/>
        <s v="Brazil"/>
        <s v="United Kingdom"/>
        <s v="Australia"/>
        <s v="United States"/>
      </sharedItems>
    </cacheField>
    <cacheField name="region" numFmtId="43">
      <sharedItems count="7">
        <s v="Europe &amp; Central Asia"/>
        <s v="Latin America &amp; Caribbean"/>
        <s v="North America"/>
        <s v="Sub-Saharan Africa"/>
        <s v="East Asia &amp; Pacific"/>
        <s v="Middle East &amp; North Africa"/>
        <s v="South Asia"/>
      </sharedItems>
    </cacheField>
    <cacheField name="income" numFmtId="43">
      <sharedItems count="5">
        <s v="Upper middle income"/>
        <s v="High income"/>
        <s v="Lower middle income"/>
        <s v="Low income"/>
        <s v="na"/>
      </sharedItems>
    </cacheField>
    <cacheField name="partnerships-rpc" numFmtId="0">
      <sharedItems containsSemiMixedTypes="0" containsString="0" containsNumber="1" containsInteger="1" minValue="0" maxValue="4"/>
    </cacheField>
    <cacheField name="tlc-rpc" numFmtId="0">
      <sharedItems containsMixedTypes="1" containsNumber="1" containsInteger="1" minValue="0" maxValue="1"/>
    </cacheField>
    <cacheField name="mou-bri" numFmtId="0">
      <sharedItems containsSemiMixedTypes="0" containsString="0" containsNumber="1" containsInteger="1" minValue="0" maxValue="1" count="2">
        <n v="1"/>
        <n v="0"/>
      </sharedItems>
    </cacheField>
    <cacheField name="mou-year" numFmtId="0">
      <sharedItems containsMixedTypes="1" containsNumber="1" containsInteger="1" minValue="2013" maxValue="2021"/>
    </cacheField>
    <cacheField name="recog-rpc-recent" numFmtId="0">
      <sharedItems containsSemiMixedTypes="0" containsString="0" containsNumber="1" containsInteger="1" minValue="0" maxValue="2"/>
    </cacheField>
    <cacheField name="recog-rpc-year" numFmtId="0">
      <sharedItems containsMixedTypes="1" containsNumber="1" containsInteger="1" minValue="2001" maxValue="2019"/>
    </cacheField>
    <cacheField name="gdp-current" numFmtId="0">
      <sharedItems containsMixedTypes="1" containsNumber="1" minValue="47271463.329857491" maxValue="21433224697000"/>
    </cacheField>
    <cacheField name="invest-bri0" numFmtId="0">
      <sharedItems containsSemiMixedTypes="0" containsString="0" containsNumber="1" containsInteger="1" minValue="0" maxValue="298"/>
    </cacheField>
    <cacheField name="amount-investbri0" numFmtId="0">
      <sharedItems containsSemiMixedTypes="0" containsString="0" containsNumber="1" containsInteger="1" minValue="0" maxValue="191370000000" count="129">
        <n v="0"/>
        <n v="110000000"/>
        <n v="130000000"/>
        <n v="350000000"/>
        <n v="150000000"/>
        <n v="450000000"/>
        <n v="330000000"/>
        <n v="500000000"/>
        <n v="280000000"/>
        <n v="530000000"/>
        <n v="700000000"/>
        <n v="730000000"/>
        <n v="340000000"/>
        <n v="810000000"/>
        <n v="950000000"/>
        <n v="100000000"/>
        <n v="1010000000"/>
        <n v="120000000"/>
        <n v="1220000000"/>
        <n v="1430000000"/>
        <n v="1470000000"/>
        <n v="1640000000"/>
        <n v="1200000000"/>
        <n v="240000000"/>
        <n v="1520000000"/>
        <n v="2000000000"/>
        <n v="290000000"/>
        <n v="1300000000"/>
        <n v="750000000"/>
        <n v="1350000000"/>
        <n v="1040000000"/>
        <n v="1610000000"/>
        <n v="2440000000"/>
        <n v="990000000"/>
        <n v="690000000"/>
        <n v="1120000000"/>
        <n v="2600000000"/>
        <n v="540000000"/>
        <n v="920000000"/>
        <n v="660000000"/>
        <n v="2080000000"/>
        <n v="3270000000"/>
        <n v="3600000000"/>
        <n v="4060000000"/>
        <n v="140000000"/>
        <n v="4630000000"/>
        <n v="490000000"/>
        <n v="390000000"/>
        <n v="1620000000"/>
        <n v="2110000000"/>
        <n v="170000000"/>
        <n v="2290000000"/>
        <n v="3480000000"/>
        <n v="4050000000"/>
        <n v="3460000000"/>
        <n v="1940000000"/>
        <n v="1030000000"/>
        <n v="6200000000"/>
        <n v="5390000000"/>
        <n v="5740000000"/>
        <n v="7470000000"/>
        <n v="4010000000"/>
        <n v="5150000000"/>
        <n v="3970000000"/>
        <n v="2230000000"/>
        <n v="7930000000"/>
        <n v="7730000000"/>
        <n v="8510000000"/>
        <n v="6020000000"/>
        <n v="4590000000"/>
        <n v="2120000000"/>
        <n v="4180000000"/>
        <n v="5970000000"/>
        <n v="1780000000"/>
        <n v="1690000000"/>
        <n v="7360000000"/>
        <n v="6040000000"/>
        <n v="930000000"/>
        <n v="4280000000"/>
        <n v="2690000000"/>
        <n v="11800000000"/>
        <n v="4550000000"/>
        <n v="1820000000"/>
        <n v="1800000000"/>
        <n v="8310000000"/>
        <n v="9470000000"/>
        <n v="5960000000"/>
        <n v="1400000000"/>
        <n v="2100000000"/>
        <n v="15340000000"/>
        <n v="10000000000"/>
        <n v="16330000000"/>
        <n v="16340000000"/>
        <n v="7340000000"/>
        <n v="5820000000"/>
        <n v="3820000000"/>
        <n v="5690000000"/>
        <n v="11630000000"/>
        <n v="20330000000"/>
        <n v="22810000000"/>
        <n v="16220000000"/>
        <n v="8700000000"/>
        <n v="15070000000"/>
        <n v="13780000000"/>
        <n v="13760000000"/>
        <n v="14680000000"/>
        <n v="5790000000"/>
        <n v="3550000000"/>
        <n v="3590000000"/>
        <n v="15620000000"/>
        <n v="7700000000"/>
        <n v="33980000000"/>
        <n v="34560000000"/>
        <n v="22190000000"/>
        <n v="7630000000"/>
        <n v="13670000000"/>
        <n v="16650000000"/>
        <n v="13210000000"/>
        <n v="48190000000"/>
        <n v="11970000000"/>
        <n v="15520000000"/>
        <n v="57130000000"/>
        <n v="20910000000"/>
        <n v="61210000000"/>
        <n v="12980000000"/>
        <n v="70650000000"/>
        <n v="99510000000"/>
        <n v="120810000000"/>
        <n v="191370000000"/>
      </sharedItems>
    </cacheField>
    <cacheField name="invest-bri1" numFmtId="0">
      <sharedItems containsSemiMixedTypes="0" containsString="0" containsNumber="1" containsInteger="1" minValue="0" maxValue="84"/>
    </cacheField>
    <cacheField name="amount-investbri1" numFmtId="0">
      <sharedItems containsSemiMixedTypes="0" containsString="0" containsNumber="1" containsInteger="1" minValue="0" maxValue="51990000000" count="112">
        <n v="0"/>
        <n v="100000000"/>
        <n v="110000000"/>
        <n v="130000000"/>
        <n v="180000000"/>
        <n v="200000000"/>
        <n v="170000000"/>
        <n v="250000000"/>
        <n v="440000000"/>
        <n v="490000000"/>
        <n v="230000000"/>
        <n v="560000000"/>
        <n v="650000000"/>
        <n v="690000000"/>
        <n v="410000000"/>
        <n v="240000000"/>
        <n v="780000000"/>
        <n v="470000000"/>
        <n v="860000000"/>
        <n v="1000000000"/>
        <n v="1050000000"/>
        <n v="1220000000"/>
        <n v="1230000000"/>
        <n v="1420000000"/>
        <n v="510000000"/>
        <n v="1490000000"/>
        <n v="1790000000"/>
        <n v="810000000"/>
        <n v="2180000000"/>
        <n v="1440000000"/>
        <n v="930000000"/>
        <n v="1260000000"/>
        <n v="710000000"/>
        <n v="1330000000"/>
        <n v="2390000000"/>
        <n v="1500000000"/>
        <n v="1820000000"/>
        <n v="1480000000"/>
        <n v="2140000000"/>
        <n v="1830000000"/>
        <n v="2150000000"/>
        <n v="2480000000"/>
        <n v="3250000000"/>
        <n v="1280000000"/>
        <n v="210000000"/>
        <n v="2740000000"/>
        <n v="3970000000"/>
        <n v="4180000000"/>
        <n v="4680000000"/>
        <n v="4340000000"/>
        <n v="2790000000"/>
        <n v="4890000000"/>
        <n v="3350000000"/>
        <n v="2400000000"/>
        <n v="1940000000"/>
        <n v="2720000000"/>
        <n v="4400000000"/>
        <n v="5590000000"/>
        <n v="600000000"/>
        <n v="1450000000"/>
        <n v="1730000000"/>
        <n v="3690000000"/>
        <n v="2640000000"/>
        <n v="3830000000"/>
        <n v="5630000000"/>
        <n v="550000000"/>
        <n v="3130000000"/>
        <n v="4630000000"/>
        <n v="7240000000"/>
        <n v="5700000000"/>
        <n v="3990000000"/>
        <n v="8360000000"/>
        <n v="8580000000"/>
        <n v="3050000000"/>
        <n v="4500000000"/>
        <n v="9730000000"/>
        <n v="6710000000"/>
        <n v="8420000000"/>
        <n v="7970000000"/>
        <n v="10960000000"/>
        <n v="11010000000"/>
        <n v="5690000000"/>
        <n v="4910000000"/>
        <n v="8860000000"/>
        <n v="13550000000"/>
        <n v="13110000000"/>
        <n v="6310000000"/>
        <n v="9220000000"/>
        <n v="10800000000"/>
        <n v="13860000000"/>
        <n v="12530000000"/>
        <n v="8140000000"/>
        <n v="8390000000"/>
        <n v="16000000000"/>
        <n v="9780000000"/>
        <n v="11220000000"/>
        <n v="11370000000"/>
        <n v="11880000000"/>
        <n v="21480000000"/>
        <n v="23780000000"/>
        <n v="25260000000"/>
        <n v="13290000000"/>
        <n v="22110000000"/>
        <n v="12490000000"/>
        <n v="28530000000"/>
        <n v="26480000000"/>
        <n v="26150000000"/>
        <n v="30610000000"/>
        <n v="38730000000"/>
        <n v="39550000000"/>
        <n v="37190000000"/>
        <n v="51990000000"/>
      </sharedItems>
    </cacheField>
    <cacheField name="invest-total" numFmtId="0">
      <sharedItems containsSemiMixedTypes="0" containsString="0" containsNumber="1" containsInteger="1" minValue="0" maxValue="298"/>
    </cacheField>
    <cacheField name="amount-invest-total" numFmtId="164">
      <sharedItems containsSemiMixedTypes="0" containsString="0" containsNumber="1" containsInteger="1" minValue="0" maxValue="191370000000"/>
    </cacheField>
    <cacheField name="%investbri0/GDP" numFmtId="0">
      <sharedItems containsSemiMixedTypes="0" containsString="0" containsNumber="1" minValue="0" maxValue="2.2226119478203499"/>
    </cacheField>
    <cacheField name="%investbri1/GDP" numFmtId="0">
      <sharedItems containsSemiMixedTypes="0" containsString="0" containsNumber="1" minValue="0" maxValue="1.211777402275374"/>
    </cacheField>
    <cacheField name="%invest/GDP-total" numFmtId="0">
      <sharedItems containsSemiMixedTypes="0" containsString="0" containsNumber="1" minValue="0" maxValue="2.2226119478203499"/>
    </cacheField>
    <cacheField name="%investbri0/all" numFmtId="0">
      <sharedItems containsSemiMixedTypes="0" containsString="0" containsNumber="1" minValue="0" maxValue="0.14253368388908336"/>
    </cacheField>
    <cacheField name="%investbri1/all" numFmtId="0">
      <sharedItems containsSemiMixedTypes="0" containsString="0" containsNumber="1" minValue="0" maxValue="6.5384712126166464E-2"/>
    </cacheField>
    <cacheField name="%invest/all-total" numFmtId="0">
      <sharedItems containsSemiMixedTypes="0" containsString="0" containsNumber="1" minValue="0" maxValue="8.930713122366217E-2"/>
    </cacheField>
    <cacheField name="invest/year" numFmtId="0">
      <sharedItems containsSemiMixedTypes="0" containsString="0" containsNumber="1" minValue="0" maxValue="11257058823.529411"/>
    </cacheField>
    <cacheField name="%invest/year/GDP" numFmtId="0">
      <sharedItems containsSemiMixedTypes="0" containsString="0" containsNumber="1" minValue="0" maxValue="0.13074187928354999"/>
    </cacheField>
    <cacheField name="members-AIIB" numFmtId="0">
      <sharedItems containsSemiMixedTypes="0" containsString="0" containsNumber="1" containsInteger="1" minValue="0" maxValue="3"/>
    </cacheField>
    <cacheField name="projects-approved-AIIB" numFmtId="0">
      <sharedItems containsMixedTypes="1" containsNumber="1" containsInteger="1" minValue="0" maxValue="27"/>
    </cacheField>
    <cacheField name="amount-approved-AIIB" numFmtId="0">
      <sharedItems containsMixedTypes="1" containsNumber="1" containsInteger="1" minValue="0" maxValue="6674670000"/>
    </cacheField>
    <cacheField name="projects-proposed-AIIB" numFmtId="0">
      <sharedItems containsMixedTypes="1" containsNumber="1" containsInteger="1" minValue="0" maxValue="16"/>
    </cacheField>
    <cacheField name="amount-proposed-AIIB" numFmtId="0">
      <sharedItems containsMixedTypes="1" containsNumber="1" containsInteger="1" minValue="0" maxValue="5207850000"/>
    </cacheField>
    <cacheField name="projects-cancelled-AIIB" numFmtId="0">
      <sharedItems containsMixedTypes="1" containsNumber="1" containsInteger="1" minValue="0" maxValue="1"/>
    </cacheField>
    <cacheField name="amount-cancelled-AIIB" numFmtId="0">
      <sharedItems containsMixedTypes="1" containsNumber="1" containsInteger="1" minValue="0" maxValue="35000000"/>
    </cacheField>
    <cacheField name="total-projects-aiib" numFmtId="0">
      <sharedItems containsSemiMixedTypes="0" containsString="0" containsNumber="1" containsInteger="1" minValue="0" maxValue="44"/>
    </cacheField>
    <cacheField name="total-amount-aiib" numFmtId="0">
      <sharedItems containsMixedTypes="1" containsNumber="1" containsInteger="1" minValue="0" maxValue="11882520000"/>
    </cacheField>
    <cacheField name="%total/GDP-aiib" numFmtId="0">
      <sharedItems containsMixedTypes="1" containsNumber="1" minValue="0" maxValue="3.3501053531048833E-2"/>
    </cacheField>
    <cacheField name="%total/all-aiib" numFmtId="0">
      <sharedItems containsMixedTypes="1" containsNumber="1" minValue="0" maxValue="0.29810465218088306"/>
    </cacheField>
    <cacheField name="imports-rpc" numFmtId="0">
      <sharedItems containsMixedTypes="1" containsNumber="1" containsInteger="1" minValue="33795" maxValue="470950852000" count="206">
        <n v="543620000"/>
        <n v="2369000"/>
        <n v="748024000"/>
        <n v="7527000"/>
        <n v="116803000"/>
        <n v="25093000"/>
        <n v="10403000"/>
        <n v="520739000"/>
        <n v="136273000"/>
        <n v="38326000"/>
        <n v="103158000"/>
        <s v="na"/>
        <n v="19759000"/>
        <n v="42699000"/>
        <n v="37699000"/>
        <n v="33896000"/>
        <n v="3451291000"/>
        <n v="961495000"/>
        <n v="1513684000"/>
        <n v="131198000"/>
        <n v="99339000"/>
        <n v="52339000"/>
        <n v="809000"/>
        <n v="15187000"/>
        <n v="561068000"/>
        <n v="264601840000"/>
        <n v="483334000"/>
        <n v="20208000"/>
        <n v="1626506000"/>
        <n v="1039964000"/>
        <n v="3982601000"/>
        <n v="2384715000"/>
        <n v="18739000"/>
        <n v="1222000"/>
        <n v="155403000"/>
        <n v="18675000"/>
        <n v="447273"/>
        <n v="1923749000"/>
        <n v="9707000"/>
        <n v="33795"/>
        <n v="21046000"/>
        <n v="69050000"/>
        <n v="6583000"/>
        <n v="5784117000"/>
        <n v="732058000"/>
        <n v="127267000"/>
        <n v="29475000"/>
        <n v="3023000"/>
        <n v="21737000"/>
        <n v="76761000"/>
        <n v="72000"/>
        <n v="84452000"/>
        <n v="570676000"/>
        <n v="47731000"/>
        <n v="2041662"/>
        <n v="40821000"/>
        <n v="1309557000"/>
        <n v="98567000"/>
        <n v="461258000"/>
        <n v="24409000"/>
        <n v="1475811"/>
        <n v="348970000"/>
        <n v="286007000"/>
        <n v="31924000"/>
        <n v="1703728000"/>
        <n v="155688000"/>
        <n v="48608000"/>
        <n v="10998301000"/>
        <n v="893851000"/>
        <n v="602293000"/>
        <n v="545143000"/>
        <n v="804121000"/>
        <n v="3909849000"/>
        <n v="2228910000"/>
        <n v="403066000"/>
        <n v="790430000"/>
        <n v="143579000"/>
        <n v="2123512000"/>
        <n v="541249000"/>
        <n v="8980000"/>
        <n v="28337633000"/>
        <n v="42000000"/>
        <n v="377888000"/>
        <n v="635332"/>
        <n v="221954000"/>
        <n v="57432534000"/>
        <n v="469397"/>
        <n v="2065479"/>
        <n v="7064542000"/>
        <n v="934919000"/>
        <n v="125605000"/>
        <n v="2821134000"/>
        <n v="2155750000"/>
        <n v="377221000"/>
        <n v="2929120000"/>
        <n v="874580000"/>
        <n v="5094577000"/>
        <n v="2335422000"/>
        <n v="1432151000"/>
        <n v="363467000"/>
        <n v="5181673000"/>
        <n v="605468000"/>
        <n v="806568000"/>
        <n v="4634116000"/>
        <n v="10483257000"/>
        <n v="829556000"/>
        <n v="795952"/>
        <n v="2210291000"/>
        <n v="2453887000"/>
        <n v="492158"/>
        <n v="223322000"/>
        <n v="30414556000"/>
        <n v="1939889"/>
        <n v="309760000"/>
        <n v="113297000"/>
        <n v="1156686"/>
        <n v="83052434000"/>
        <n v="1315799000"/>
        <n v="8556490000"/>
        <n v="670827000"/>
        <n v="18242346000"/>
        <n v="871078000"/>
        <n v="658564000"/>
        <n v="1733932000"/>
        <n v="1801977"/>
        <n v="122630000"/>
        <n v="10805000"/>
        <n v="2126481000"/>
        <n v="801931000"/>
        <n v="7157898000"/>
        <n v="313687000"/>
        <n v="1777676000"/>
        <n v="3086738000"/>
        <n v="3020370000"/>
        <n v="431024000"/>
        <n v="2292123000"/>
        <n v="565338000"/>
        <n v="8749234000"/>
        <n v="5052269000"/>
        <n v="1256568000"/>
        <n v="3485373000"/>
        <n v="2036805"/>
        <n v="5706890000"/>
        <n v="278769000"/>
        <n v="32639038000"/>
        <n v="9203749000"/>
        <n v="3306270000"/>
        <n v="107219763000"/>
        <n v="6447069000"/>
        <n v="1676311000"/>
        <n v="50953351000"/>
        <n v="411593000"/>
        <n v="861515000"/>
        <n v="4546496000"/>
        <n v="2506052000"/>
        <n v="256304000"/>
        <n v="5988380000"/>
        <n v="169236468000"/>
        <n v="1895911"/>
        <n v="10230484000"/>
        <n v="1718196000"/>
        <n v="4496520000"/>
        <n v="16289345000"/>
        <n v="4032819000"/>
        <n v="1992547000"/>
        <n v="14642138000"/>
        <n v="9665818000"/>
        <n v="19127972000"/>
        <n v="5494261000"/>
        <n v="2055303000"/>
        <n v="3590419000"/>
        <n v="1019957000"/>
        <n v="25749016000"/>
        <n v="7585748000"/>
        <n v="1539866000"/>
        <n v="48168518000"/>
        <n v="9258744000"/>
        <n v="6945571000"/>
        <n v="12040871000"/>
        <n v="2030002"/>
        <n v="4283703000"/>
        <n v="9473787000"/>
        <n v="9608726000"/>
        <n v="10255204000"/>
        <n v="35449437000"/>
        <n v="17335124000"/>
        <n v="75586138000"/>
        <n v="1681038"/>
        <n v="59613001000"/>
        <n v="68402093000"/>
        <n v="6537806000"/>
        <n v="40777643"/>
        <n v="12064658000"/>
        <n v="27066620000"/>
        <n v="42395009000"/>
        <n v="123165529000"/>
        <n v="49037427000"/>
        <n v="44930621000"/>
        <n v="56516369000"/>
        <n v="54126998000"/>
        <n v="15152336000"/>
        <n v="12423997000"/>
        <n v="35270401000"/>
        <n v="65529528000"/>
        <n v="54664941000"/>
        <n v="470950852000"/>
      </sharedItems>
    </cacheField>
    <cacheField name="exports-rpc" numFmtId="0">
      <sharedItems containsMixedTypes="1" containsNumber="1" containsInteger="1" minValue="0" maxValue="296069015000" count="205">
        <n v="56526000"/>
        <n v="200000"/>
        <n v="193682000"/>
        <n v="56000"/>
        <n v="648000"/>
        <n v="79000"/>
        <n v="495000"/>
        <n v="13757000"/>
        <n v="5550000"/>
        <n v="82000"/>
        <n v="7442000"/>
        <s v="na"/>
        <n v="14000"/>
        <n v="1266000"/>
        <n v="13000"/>
        <n v="477000"/>
        <n v="305884000"/>
        <n v="51726000"/>
        <n v="189548000"/>
        <n v="260000"/>
        <n v="6805000"/>
        <n v="3327000"/>
        <n v="273714000"/>
        <n v="17000"/>
        <n v="4488000"/>
        <n v="296069015000"/>
        <n v="129845000"/>
        <n v="1919000"/>
        <n v="13593000"/>
        <n v="309140000"/>
        <n v="106308000"/>
        <n v="45069000"/>
        <n v="12575000"/>
        <n v="23000"/>
        <n v="1040695000"/>
        <n v="59000"/>
        <n v="197"/>
        <n v="10749000"/>
        <n v="363000"/>
        <n v="144"/>
        <n v="2000"/>
        <n v="2769000"/>
        <n v="7000"/>
        <n v="1898518000"/>
        <n v="18638000"/>
        <n v="24583000"/>
        <n v="130000"/>
        <n v="5000"/>
        <n v="26000"/>
        <n v="14655000"/>
        <n v="0"/>
        <n v="17745000"/>
        <n v="179440000"/>
        <n v="670000"/>
        <n v="46647"/>
        <n v="68000"/>
        <n v="2147303000"/>
        <n v="461733000"/>
        <n v="38578000"/>
        <n v="214000"/>
        <n v="5449"/>
        <n v="37299000"/>
        <n v="40737000"/>
        <n v="8402000"/>
        <n v="923172000"/>
        <n v="41000"/>
        <n v="209892000"/>
        <n v="4981008000"/>
        <n v="28553000"/>
        <n v="17422000"/>
        <n v="166041000"/>
        <n v="120454000"/>
        <n v="112419000"/>
        <n v="189004000"/>
        <n v="9334000"/>
        <n v="491944000"/>
        <n v="24561000"/>
        <n v="122060000"/>
        <n v="35293000"/>
        <n v="2469651000"/>
        <n v="19000"/>
        <n v="875593000"/>
        <n v="6583"/>
        <n v="17413000"/>
        <n v="91886693000"/>
        <n v="4"/>
        <n v="317157"/>
        <n v="3803406000"/>
        <n v="31982000"/>
        <n v="80000"/>
        <n v="864442000"/>
        <n v="62786000"/>
        <n v="4612508000"/>
        <n v="2576499000"/>
        <n v="167226000"/>
        <n v="849940000"/>
        <n v="297361000"/>
        <n v="752163000"/>
        <n v="682025000"/>
        <n v="283450000"/>
        <n v="55419000"/>
        <n v="208386000"/>
        <n v="534157000"/>
        <n v="4564929000"/>
        <n v="17149000"/>
        <n v="32895"/>
        <n v="20136000"/>
        <n v="4765665000"/>
        <n v="36193"/>
        <n v="31056000"/>
        <n v="2701584000"/>
        <n v="18116"/>
        <n v="1645972000"/>
        <n v="1723012000"/>
        <n v="31002"/>
        <n v="6930326000"/>
        <n v="1399000"/>
        <n v="11014410000"/>
        <n v="428506000"/>
        <n v="7921361000"/>
        <n v="276314000"/>
        <n v="205707000"/>
        <n v="81469000"/>
        <n v="371260"/>
        <n v="1510938000"/>
        <n v="46000"/>
        <n v="403561000"/>
        <n v="3064927000"/>
        <n v="1666401000"/>
        <n v="197455000"/>
        <n v="634666000"/>
        <n v="206890000"/>
        <n v="19460465000"/>
        <n v="8685698000"/>
        <n v="740420000"/>
        <n v="280000"/>
        <n v="4248228000"/>
        <n v="1767642000"/>
        <n v="40627000"/>
        <n v="9018816000"/>
        <n v="6772663"/>
        <n v="9212614000"/>
        <n v="439827000"/>
        <n v="7613577000"/>
        <n v="3590068000"/>
        <n v="673894000"/>
        <n v="136213398000"/>
        <n v="5753615000"/>
        <n v="1015043000"/>
        <n v="29002027000"/>
        <n v="3247000"/>
        <n v="323799000"/>
        <n v="999093000"/>
        <n v="318351000"/>
        <n v="3333674000"/>
        <n v="910739000"/>
        <n v="134719884000"/>
        <n v="2808597"/>
        <n v="4721776000"/>
        <n v="2504860000"/>
        <n v="2896831000"/>
        <n v="9659694000"/>
        <n v="256587000"/>
        <n v="230712000"/>
        <n v="21677089000"/>
        <n v="7538779000"/>
        <n v="2726571000"/>
        <n v="3842829000"/>
        <n v="3565623000"/>
        <n v="148552000"/>
        <n v="1506024000"/>
        <n v="9628984000"/>
        <n v="1012148000"/>
        <n v="4788365000"/>
        <n v="14317292000"/>
        <n v="6325086000"/>
        <n v="1141660000"/>
        <n v="556922000"/>
        <n v="21357868"/>
        <n v="124363000"/>
        <n v="23806377000"/>
        <n v="13401559000"/>
        <n v="13159187000"/>
        <n v="14519418000"/>
        <n v="1036436000"/>
        <n v="41434238000"/>
        <n v="1672285"/>
        <n v="23438669000"/>
        <n v="17278833000"/>
        <n v="7823406000"/>
        <n v="9367965"/>
        <n v="1665243000"/>
        <n v="9339878000"/>
        <n v="33706910000"/>
        <n v="107451431000"/>
        <n v="51626378000"/>
        <n v="27961887000"/>
        <n v="17521099000"/>
        <n v="56791577000"/>
        <n v="21559003000"/>
        <n v="2042893000"/>
        <n v="62871652000"/>
        <n v="30154261000"/>
        <n v="89293723000"/>
        <n v="106448372000"/>
      </sharedItems>
    </cacheField>
    <cacheField name="balance-rpc" numFmtId="0">
      <sharedItems containsMixedTypes="1" containsNumber="1" containsInteger="1" minValue="-364502480000" maxValue="34628782000" count="206">
        <n v="-487094000"/>
        <n v="-2169000"/>
        <n v="-554342000"/>
        <n v="-7471000"/>
        <n v="-116155000"/>
        <n v="-25014000"/>
        <n v="-9908000"/>
        <n v="-506982000"/>
        <n v="-130723000"/>
        <n v="-38244000"/>
        <n v="-95716000"/>
        <s v="na"/>
        <n v="-19745000"/>
        <n v="-41433000"/>
        <n v="-37686000"/>
        <n v="-33419000"/>
        <n v="-3145407000"/>
        <n v="-909769000"/>
        <n v="-1324136000"/>
        <n v="-130938000"/>
        <n v="-92534000"/>
        <n v="-49012000"/>
        <n v="272905000"/>
        <n v="-15170000"/>
        <n v="-556580000"/>
        <n v="31467175000"/>
        <n v="-353489000"/>
        <n v="-18289000"/>
        <n v="-1612913000"/>
        <n v="-730824000"/>
        <n v="-3876293000"/>
        <n v="-2339646000"/>
        <n v="-6164000"/>
        <n v="-1199000"/>
        <n v="885292000"/>
        <n v="-18616000"/>
        <n v="-447076"/>
        <n v="-1913000000"/>
        <n v="-9344000"/>
        <n v="-33651"/>
        <n v="-21044000"/>
        <n v="-66281000"/>
        <n v="-6576000"/>
        <n v="-3885599000"/>
        <n v="-713420000"/>
        <n v="-102684000"/>
        <n v="-29345000"/>
        <n v="-3018000"/>
        <n v="-21711000"/>
        <n v="-62106000"/>
        <n v="-72000"/>
        <n v="-66707000"/>
        <n v="-391236000"/>
        <n v="-47061000"/>
        <n v="-1995015"/>
        <n v="-40753000"/>
        <n v="837746000"/>
        <n v="363166000"/>
        <n v="-422680000"/>
        <n v="-24195000"/>
        <n v="-1470362"/>
        <n v="-311671000"/>
        <n v="-245270000"/>
        <n v="-23522000"/>
        <n v="-780556000"/>
        <n v="-155647000"/>
        <n v="161284000"/>
        <n v="-6017293000"/>
        <n v="-865298000"/>
        <n v="-584871000"/>
        <n v="-379102000"/>
        <n v="-683667000"/>
        <n v="-3797430000"/>
        <n v="-2039906000"/>
        <n v="-393732000"/>
        <n v="-298486000"/>
        <n v="-119018000"/>
        <n v="-2001452000"/>
        <n v="-505956000"/>
        <n v="-8966000"/>
        <n v="-25867982000"/>
        <n v="-41981000"/>
        <n v="497705000"/>
        <n v="-628749"/>
        <n v="-204541000"/>
        <n v="34454159000"/>
        <n v="-469393"/>
        <n v="-1748322"/>
        <n v="-3261136000"/>
        <n v="-902937000"/>
        <n v="-125525000"/>
        <n v="-1956692000"/>
        <n v="-2092964000"/>
        <n v="4235287000"/>
        <n v="-352621000"/>
        <n v="-707354000"/>
        <n v="-4244637000"/>
        <n v="-2038061000"/>
        <n v="-679988000"/>
        <n v="318558000"/>
        <n v="-4898223000"/>
        <n v="-550049000"/>
        <n v="-598182000"/>
        <n v="-4099959000"/>
        <n v="-5918328000"/>
        <n v="-812407000"/>
        <n v="-763057"/>
        <n v="-2190155000"/>
        <n v="2311778000"/>
        <n v="-455965"/>
        <n v="-192266000"/>
        <n v="-27712972000"/>
        <n v="-1921773"/>
        <n v="1336212000"/>
        <n v="1609715000"/>
        <n v="-1125684"/>
        <n v="-76122108000"/>
        <n v="-1314400000"/>
        <n v="2457920000"/>
        <n v="-242321000"/>
        <n v="-10320985000"/>
        <n v="-594764000"/>
        <n v="-452857000"/>
        <n v="-1652463000"/>
        <n v="-1430717"/>
        <n v="1388308000"/>
        <n v="-10759000"/>
        <n v="-1722920000"/>
        <n v="2262996000"/>
        <n v="-5491497000"/>
        <n v="-116232000"/>
        <n v="-1143010000"/>
        <n v="-2879848000"/>
        <n v="16440095000"/>
        <n v="8254674000"/>
        <n v="-1551703000"/>
        <n v="-565058000"/>
        <n v="-4501006000"/>
        <n v="-3284627000"/>
        <n v="-1215941000"/>
        <n v="5533443000"/>
        <n v="4735858"/>
        <n v="3505724000"/>
        <n v="161058000"/>
        <n v="-25025461000"/>
        <n v="-5613681000"/>
        <n v="-2632376000"/>
        <n v="28993635000"/>
        <n v="-693454000"/>
        <n v="-661268000"/>
        <n v="-21951324000"/>
        <n v="-408346000"/>
        <n v="-537716000"/>
        <n v="-3547403000"/>
        <n v="-2187701000"/>
        <n v="3077370000"/>
        <n v="-5077641000"/>
        <n v="-34516584000"/>
        <n v="912686"/>
        <n v="-5508708000"/>
        <n v="786664000"/>
        <n v="-1599689000"/>
        <n v="-6629651000"/>
        <n v="-3776232000"/>
        <n v="-1761835000"/>
        <n v="7034951000"/>
        <n v="-2127039000"/>
        <n v="-16401401000"/>
        <n v="-1651432000"/>
        <n v="1510320000"/>
        <n v="-3441867000"/>
        <n v="486067000"/>
        <n v="-16120032000"/>
        <n v="-6573600000"/>
        <n v="3248499000"/>
        <n v="-33851226000"/>
        <n v="-2933658000"/>
        <n v="-5803911000"/>
        <n v="-11483949000"/>
        <n v="19327866"/>
        <n v="-4159340000"/>
        <n v="14332590000"/>
        <n v="3792833000"/>
        <n v="2903983000"/>
        <n v="-20930019000"/>
        <n v="-16298688000"/>
        <n v="-34151900000"/>
        <n v="-8753"/>
        <n v="-36174332000"/>
        <n v="-51123260000"/>
        <n v="1285600000"/>
        <n v="-31409678"/>
        <n v="-10399415000"/>
        <n v="-17726742000"/>
        <n v="-8688099000"/>
        <n v="-15714098000"/>
        <n v="2588951000"/>
        <n v="-16968734000"/>
        <n v="-38995270000"/>
        <n v="2664579000"/>
        <n v="6406667000"/>
        <n v="-10381104000"/>
        <n v="27601251000"/>
        <n v="-35375267000"/>
        <n v="34628782000"/>
        <n v="-364502480000"/>
      </sharedItems>
    </cacheField>
    <cacheField name="trade-rpc" numFmtId="0">
      <sharedItems containsMixedTypes="1" containsNumber="1" containsInteger="1" minValue="33939" maxValue="577399224000"/>
    </cacheField>
    <cacheField name="imports-total" numFmtId="0">
      <sharedItems containsMixedTypes="1" containsNumber="1" containsInteger="1" minValue="0" maxValue="2563536173000"/>
    </cacheField>
    <cacheField name="exports-total" numFmtId="0">
      <sharedItems containsMixedTypes="1" containsNumber="1" containsInteger="1" minValue="717000" maxValue="2498569866000"/>
    </cacheField>
    <cacheField name="balance-total" numFmtId="0">
      <sharedItems containsMixedTypes="1" containsNumber="1" containsInteger="1" minValue="-920715821000" maxValue="429619611000"/>
    </cacheField>
    <cacheField name="trade-total" numFmtId="0">
      <sharedItems containsMixedTypes="1" containsNumber="1" containsInteger="1" minValue="717000" maxValue="4567520121000"/>
    </cacheField>
    <cacheField name="%imports-rpc" numFmtId="0">
      <sharedItems containsMixedTypes="1" containsNumber="1" minValue="5.4176625899937962E-5" maxValue="0.90417328794439733"/>
    </cacheField>
    <cacheField name="%exports-rpc" numFmtId="0">
      <sharedItems containsMixedTypes="1" containsNumber="1" minValue="0" maxValue="0.92115986772796443"/>
    </cacheField>
    <cacheField name="intensity-imports-rpc" numFmtId="0">
      <sharedItems containsMixedTypes="1" containsNumber="1" minValue="3.6267146751861128E-5" maxValue="1.0260013969927548"/>
    </cacheField>
    <cacheField name="intensity-exports-rpc" numFmtId="0">
      <sharedItems containsMixedTypes="1" containsNumber="1" minValue="4.7657018220575822E-6" maxValue="0.79403569420280717"/>
    </cacheField>
    <cacheField name="%trade-rpc" numFmtId="0">
      <sharedItems containsMixedTypes="1" containsNumber="1" minValue="4.7068923193846745E-5" maxValue="0.88268120866754818"/>
    </cacheField>
    <cacheField name="%trade/GDP-rpc" numFmtId="0">
      <sharedItems containsMixedTypes="1" containsNumber="1" minValue="1.5990477953271593E-5" maxValue="10.146837371409767"/>
    </cacheField>
    <cacheField name="projects-devfinance" numFmtId="0">
      <sharedItems containsMixedTypes="1" containsNumber="1" containsInteger="1" minValue="0" maxValue="350"/>
    </cacheField>
    <cacheField name="amount-devfinance" numFmtId="0">
      <sharedItems containsMixedTypes="1" containsNumber="1" minValue="0" maxValue="182518866954.12195"/>
    </cacheField>
    <cacheField name="projects-oda" numFmtId="0">
      <sharedItems containsMixedTypes="1" containsNumber="1" containsInteger="1" minValue="0" maxValue="210"/>
    </cacheField>
    <cacheField name="amount-oda" numFmtId="0">
      <sharedItems containsMixedTypes="1" containsNumber="1" minValue="0" maxValue="27212651292.361855"/>
    </cacheField>
    <cacheField name="projects-off" numFmtId="0">
      <sharedItems containsMixedTypes="1" containsNumber="1" containsInteger="1" minValue="0" maxValue="199"/>
    </cacheField>
    <cacheField name="amount-off" numFmtId="0">
      <sharedItems containsMixedTypes="1" containsNumber="1" minValue="0" maxValue="182518866954.12195"/>
    </cacheField>
    <cacheField name="projects-vague" numFmtId="0">
      <sharedItems containsMixedTypes="1" containsNumber="1" containsInteger="1" minValue="0" maxValue="73"/>
    </cacheField>
    <cacheField name="amount-vague" numFmtId="0">
      <sharedItems containsMixedTypes="1" containsNumber="1" minValue="0" maxValue="60748932517.738075"/>
    </cacheField>
    <cacheField name="%devfinance/GDP" numFmtId="0">
      <sharedItems containsSemiMixedTypes="0" containsString="0" containsNumber="1" minValue="0" maxValue="14.324772511662545"/>
    </cacheField>
    <cacheField name="%oda/GDP" numFmtId="0">
      <sharedItems containsSemiMixedTypes="0" containsString="0" containsNumber="1" minValue="0" maxValue="1.6376093161379119"/>
    </cacheField>
    <cacheField name="%off/GDP" numFmtId="0">
      <sharedItems containsSemiMixedTypes="0" containsString="0" containsNumber="1" minValue="0" maxValue="14.324772511662545"/>
    </cacheField>
    <cacheField name="%vague/GDP" numFmtId="0">
      <sharedItems containsSemiMixedTypes="0" containsString="0" containsNumber="1" minValue="0" maxValue="0.29613895308817922"/>
    </cacheField>
    <cacheField name="devfinance/year" numFmtId="0">
      <sharedItems containsSemiMixedTypes="0" containsString="0" containsNumber="1" minValue="0" maxValue="10736403938.477762"/>
    </cacheField>
    <cacheField name="%devfinance/year/GDP" numFmtId="0">
      <sharedItems containsSemiMixedTypes="0" containsString="0" containsNumber="1" minValue="0" maxValue="0.8426336771566201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o" refreshedDate="44508.547078935182" createdVersion="6" refreshedVersion="6" minRefreshableVersion="3" recordCount="216" xr:uid="{3F0F5DAC-E6F7-4C4B-8453-753D80D337AF}">
  <cacheSource type="worksheet">
    <worksheetSource ref="A1:BM217" sheet="Data2"/>
  </cacheSource>
  <cacheFields count="65">
    <cacheField name="id" numFmtId="0">
      <sharedItems containsSemiMixedTypes="0" containsString="0" containsNumber="1" containsInteger="1" minValue="1" maxValue="216"/>
    </cacheField>
    <cacheField name="abv-country" numFmtId="43">
      <sharedItems/>
    </cacheField>
    <cacheField name="country" numFmtId="43">
      <sharedItems/>
    </cacheField>
    <cacheField name="region" numFmtId="43">
      <sharedItems count="7">
        <s v="South Asia"/>
        <s v="Europe &amp; Central Asia"/>
        <s v="Middle East &amp; North Africa"/>
        <s v="Sub-Saharan Africa"/>
        <s v="Latin America &amp; Caribbean"/>
        <s v="East Asia &amp; Pacific"/>
        <s v="North America"/>
      </sharedItems>
    </cacheField>
    <cacheField name="income" numFmtId="43">
      <sharedItems count="5">
        <s v="Low income"/>
        <s v="Upper middle income"/>
        <s v="Lower middle income"/>
        <s v="High income"/>
        <s v="na"/>
      </sharedItems>
    </cacheField>
    <cacheField name="partnerships-rpc" numFmtId="0">
      <sharedItems containsSemiMixedTypes="0" containsString="0" containsNumber="1" containsInteger="1" minValue="0" maxValue="4"/>
    </cacheField>
    <cacheField name="tlc-rpc" numFmtId="0">
      <sharedItems containsMixedTypes="1" containsNumber="1" containsInteger="1" minValue="0" maxValue="1"/>
    </cacheField>
    <cacheField name="mou-bri" numFmtId="0">
      <sharedItems containsSemiMixedTypes="0" containsString="0" containsNumber="1" containsInteger="1" minValue="0" maxValue="1" count="2">
        <n v="1"/>
        <n v="0"/>
      </sharedItems>
    </cacheField>
    <cacheField name="mou-year" numFmtId="0">
      <sharedItems containsMixedTypes="1" containsNumber="1" containsInteger="1" minValue="2013" maxValue="2021"/>
    </cacheField>
    <cacheField name="recog-rpc-recent" numFmtId="0">
      <sharedItems containsSemiMixedTypes="0" containsString="0" containsNumber="1" containsInteger="1" minValue="0" maxValue="2"/>
    </cacheField>
    <cacheField name="recog-rpc-year" numFmtId="0">
      <sharedItems containsMixedTypes="1" containsNumber="1" containsInteger="1" minValue="2001" maxValue="2019"/>
    </cacheField>
    <cacheField name="gdp-current" numFmtId="0">
      <sharedItems containsMixedTypes="1" containsNumber="1" minValue="47271463.329857491" maxValue="21433224697000"/>
    </cacheField>
    <cacheField name="invest-bri0" numFmtId="0">
      <sharedItems containsSemiMixedTypes="0" containsString="0" containsNumber="1" containsInteger="1" minValue="0" maxValue="298"/>
    </cacheField>
    <cacheField name="amount-investbri0" numFmtId="0">
      <sharedItems containsSemiMixedTypes="0" containsString="0" containsNumber="1" containsInteger="1" minValue="0" maxValue="191370000000"/>
    </cacheField>
    <cacheField name="invest-bri1" numFmtId="0">
      <sharedItems containsSemiMixedTypes="0" containsString="0" containsNumber="1" containsInteger="1" minValue="0" maxValue="84"/>
    </cacheField>
    <cacheField name="amount-investbri1" numFmtId="0">
      <sharedItems containsSemiMixedTypes="0" containsString="0" containsNumber="1" containsInteger="1" minValue="0" maxValue="51990000000"/>
    </cacheField>
    <cacheField name="invest-total" numFmtId="0">
      <sharedItems containsSemiMixedTypes="0" containsString="0" containsNumber="1" containsInteger="1" minValue="0" maxValue="298"/>
    </cacheField>
    <cacheField name="amount-invest-total" numFmtId="164">
      <sharedItems containsSemiMixedTypes="0" containsString="0" containsNumber="1" containsInteger="1" minValue="0" maxValue="191370000000"/>
    </cacheField>
    <cacheField name="%investbri0/GDP" numFmtId="0">
      <sharedItems containsSemiMixedTypes="0" containsString="0" containsNumber="1" minValue="0" maxValue="2.2226119478203499"/>
    </cacheField>
    <cacheField name="%investbri1/GDP" numFmtId="0">
      <sharedItems containsSemiMixedTypes="0" containsString="0" containsNumber="1" minValue="0" maxValue="1.211777402275374"/>
    </cacheField>
    <cacheField name="%invest/GDP-total" numFmtId="0">
      <sharedItems containsSemiMixedTypes="0" containsString="0" containsNumber="1" minValue="0" maxValue="2.2226119478203499"/>
    </cacheField>
    <cacheField name="%investbri0/all" numFmtId="0">
      <sharedItems containsSemiMixedTypes="0" containsString="0" containsNumber="1" minValue="0" maxValue="0.14253368388908336"/>
    </cacheField>
    <cacheField name="%investbri1/all" numFmtId="0">
      <sharedItems containsSemiMixedTypes="0" containsString="0" containsNumber="1" minValue="0" maxValue="6.5384712126166464E-2"/>
    </cacheField>
    <cacheField name="%invest/all-total" numFmtId="0">
      <sharedItems containsSemiMixedTypes="0" containsString="0" containsNumber="1" minValue="0" maxValue="8.930713122366217E-2"/>
    </cacheField>
    <cacheField name="invest/year" numFmtId="0">
      <sharedItems containsSemiMixedTypes="0" containsString="0" containsNumber="1" minValue="0" maxValue="11257058823.529411"/>
    </cacheField>
    <cacheField name="%invest/year/GDP" numFmtId="0">
      <sharedItems containsSemiMixedTypes="0" containsString="0" containsNumber="1" minValue="0" maxValue="0.13074187928354999"/>
    </cacheField>
    <cacheField name="members-AIIB" numFmtId="0">
      <sharedItems containsSemiMixedTypes="0" containsString="0" containsNumber="1" containsInteger="1" minValue="0" maxValue="3"/>
    </cacheField>
    <cacheField name="projects-approved-AIIB" numFmtId="0">
      <sharedItems containsMixedTypes="1" containsNumber="1" containsInteger="1" minValue="0" maxValue="27"/>
    </cacheField>
    <cacheField name="amount-approved-AIIB" numFmtId="0">
      <sharedItems containsMixedTypes="1" containsNumber="1" containsInteger="1" minValue="0" maxValue="6674670000"/>
    </cacheField>
    <cacheField name="projects-proposed-AIIB" numFmtId="0">
      <sharedItems containsMixedTypes="1" containsNumber="1" containsInteger="1" minValue="0" maxValue="16"/>
    </cacheField>
    <cacheField name="amount-proposed-AIIB" numFmtId="0">
      <sharedItems containsMixedTypes="1" containsNumber="1" containsInteger="1" minValue="0" maxValue="5207850000"/>
    </cacheField>
    <cacheField name="projects-cancelled-AIIB" numFmtId="0">
      <sharedItems containsMixedTypes="1" containsNumber="1" containsInteger="1" minValue="0" maxValue="1"/>
    </cacheField>
    <cacheField name="amount-cancelled-AIIB" numFmtId="0">
      <sharedItems containsMixedTypes="1" containsNumber="1" containsInteger="1" minValue="0" maxValue="35000000" count="3">
        <n v="0"/>
        <s v="na"/>
        <n v="35000000"/>
      </sharedItems>
    </cacheField>
    <cacheField name="total-projects-aiib" numFmtId="0">
      <sharedItems containsSemiMixedTypes="0" containsString="0" containsNumber="1" containsInteger="1" minValue="0" maxValue="44"/>
    </cacheField>
    <cacheField name="total-amount-aiib" numFmtId="0">
      <sharedItems containsMixedTypes="1" containsNumber="1" containsInteger="1" minValue="0" maxValue="11882520000"/>
    </cacheField>
    <cacheField name="%total/GDP-aiib" numFmtId="0">
      <sharedItems containsMixedTypes="1" containsNumber="1" minValue="0" maxValue="3.3501053531048833E-2"/>
    </cacheField>
    <cacheField name="%total/all-aiib" numFmtId="0">
      <sharedItems containsMixedTypes="1" containsNumber="1" minValue="0" maxValue="0.29810465218088306"/>
    </cacheField>
    <cacheField name="imports-rpc" numFmtId="164">
      <sharedItems containsMixedTypes="1" containsNumber="1" containsInteger="1" minValue="33795" maxValue="470950852000"/>
    </cacheField>
    <cacheField name="exports-rpc" numFmtId="164">
      <sharedItems containsMixedTypes="1" containsNumber="1" containsInteger="1" minValue="0" maxValue="296069015000"/>
    </cacheField>
    <cacheField name="balance-rpc" numFmtId="0">
      <sharedItems containsMixedTypes="1" containsNumber="1" containsInteger="1" minValue="-364502480000" maxValue="34628782000"/>
    </cacheField>
    <cacheField name="trade-rpc" numFmtId="0">
      <sharedItems containsMixedTypes="1" containsNumber="1" containsInteger="1" minValue="33939" maxValue="577399224000"/>
    </cacheField>
    <cacheField name="imports-total" numFmtId="0">
      <sharedItems containsMixedTypes="1" containsNumber="1" containsInteger="1" minValue="0" maxValue="2563536173000"/>
    </cacheField>
    <cacheField name="exports-total" numFmtId="0">
      <sharedItems containsMixedTypes="1" containsNumber="1" containsInteger="1" minValue="717000" maxValue="2498569866000"/>
    </cacheField>
    <cacheField name="balance-total" numFmtId="0">
      <sharedItems containsMixedTypes="1" containsNumber="1" containsInteger="1" minValue="-920715821000" maxValue="429619611000"/>
    </cacheField>
    <cacheField name="trade-total" numFmtId="0">
      <sharedItems containsMixedTypes="1" containsNumber="1" containsInteger="1" minValue="717000" maxValue="4567520121000"/>
    </cacheField>
    <cacheField name="%imports-rpc" numFmtId="0">
      <sharedItems containsMixedTypes="1" containsNumber="1" minValue="5.4176625899937962E-5" maxValue="0.90417328794439733"/>
    </cacheField>
    <cacheField name="%exports-rpc" numFmtId="0">
      <sharedItems containsMixedTypes="1" containsNumber="1" minValue="0" maxValue="0.92115986772796443"/>
    </cacheField>
    <cacheField name="intensity-imports-rpc" numFmtId="0">
      <sharedItems containsMixedTypes="1" containsNumber="1" minValue="3.6267146751861128E-5" maxValue="1.0260013969927548"/>
    </cacheField>
    <cacheField name="intensity-exports-rpc" numFmtId="0">
      <sharedItems containsMixedTypes="1" containsNumber="1" minValue="4.7657018220575822E-6" maxValue="0.79403569420280717"/>
    </cacheField>
    <cacheField name="%trade-rpc" numFmtId="0">
      <sharedItems containsMixedTypes="1" containsNumber="1" minValue="4.7068923193846745E-5" maxValue="0.88268120866754818"/>
    </cacheField>
    <cacheField name="%trade/GDP-rpc" numFmtId="0">
      <sharedItems containsMixedTypes="1" containsNumber="1" minValue="1.5990477953271593E-5" maxValue="10.146837371409767"/>
    </cacheField>
    <cacheField name="projects-devfinance" numFmtId="0">
      <sharedItems containsMixedTypes="1" containsNumber="1" containsInteger="1" minValue="0" maxValue="350"/>
    </cacheField>
    <cacheField name="amount-devfinance" numFmtId="0">
      <sharedItems containsMixedTypes="1" containsNumber="1" minValue="0" maxValue="182518866954.12195"/>
    </cacheField>
    <cacheField name="projects-oda" numFmtId="0">
      <sharedItems containsMixedTypes="1" containsNumber="1" containsInteger="1" minValue="0" maxValue="210"/>
    </cacheField>
    <cacheField name="amount-oda" numFmtId="0">
      <sharedItems containsMixedTypes="1" containsNumber="1" minValue="0" maxValue="27212651292.361855"/>
    </cacheField>
    <cacheField name="projects-off" numFmtId="0">
      <sharedItems containsMixedTypes="1" containsNumber="1" containsInteger="1" minValue="0" maxValue="199"/>
    </cacheField>
    <cacheField name="amount-off" numFmtId="0">
      <sharedItems containsMixedTypes="1" containsNumber="1" minValue="0" maxValue="182518866954.12195"/>
    </cacheField>
    <cacheField name="projects-vague" numFmtId="0">
      <sharedItems containsMixedTypes="1" containsNumber="1" containsInteger="1" minValue="0" maxValue="73"/>
    </cacheField>
    <cacheField name="amount-vague" numFmtId="0">
      <sharedItems containsMixedTypes="1" containsNumber="1" minValue="0" maxValue="60748932517.738075"/>
    </cacheField>
    <cacheField name="%devfinance/GDP" numFmtId="0">
      <sharedItems containsSemiMixedTypes="0" containsString="0" containsNumber="1" minValue="0" maxValue="14.324772511662545"/>
    </cacheField>
    <cacheField name="%oda/GDP" numFmtId="0">
      <sharedItems containsSemiMixedTypes="0" containsString="0" containsNumber="1" minValue="0" maxValue="1.6376093161379119"/>
    </cacheField>
    <cacheField name="%off/GDP" numFmtId="0">
      <sharedItems containsSemiMixedTypes="0" containsString="0" containsNumber="1" minValue="0" maxValue="14.324772511662545"/>
    </cacheField>
    <cacheField name="%vague/GDP" numFmtId="0">
      <sharedItems containsSemiMixedTypes="0" containsString="0" containsNumber="1" minValue="0" maxValue="0.29613895308817922"/>
    </cacheField>
    <cacheField name="devfinance/year" numFmtId="0">
      <sharedItems containsSemiMixedTypes="0" containsString="0" containsNumber="1" minValue="0" maxValue="10736403938.477762"/>
    </cacheField>
    <cacheField name="%devfinance/year/GDP" numFmtId="0">
      <sharedItems containsSemiMixedTypes="0" containsString="0" containsNumber="1" minValue="0" maxValue="0.8426336771566201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n v="2"/>
    <s v="ALB"/>
    <s v="Albania"/>
    <x v="0"/>
    <s v="Upper middle income"/>
    <x v="0"/>
    <x v="0"/>
    <x v="0"/>
    <n v="2017"/>
    <n v="0"/>
    <s v="na"/>
    <n v="15286612572.689501"/>
    <n v="0"/>
    <n v="0"/>
    <n v="0"/>
    <n v="0"/>
    <n v="0"/>
    <n v="0"/>
    <n v="0"/>
    <n v="0"/>
    <n v="0"/>
    <n v="0"/>
    <n v="0"/>
    <n v="0"/>
    <n v="0"/>
    <n v="0"/>
    <x v="0"/>
    <s v="na"/>
    <s v="na"/>
    <s v="na"/>
    <s v="na"/>
    <s v="na"/>
    <s v="na"/>
    <n v="0"/>
    <s v="na"/>
    <s v="na"/>
    <s v="na"/>
    <n v="543620000"/>
    <n v="56526000"/>
    <n v="-487094000"/>
    <x v="0"/>
    <n v="5908003000"/>
    <n v="2719429000"/>
    <n v="-3188574000"/>
    <n v="8627432000"/>
    <n v="9.201417128596584E-2"/>
    <n v="2.0785981174724546E-2"/>
    <n v="2.364553851543169E-3"/>
    <n v="1.3144003793363317E-3"/>
    <n v="6.9562530310293955E-2"/>
    <n v="3.9259580704766386E-2"/>
    <n v="47"/>
    <n v="665510361.43426514"/>
    <n v="30"/>
    <n v="27696475.729804792"/>
    <n v="15"/>
    <n v="551351018.66711462"/>
    <n v="2"/>
    <n v="86462867.037345707"/>
    <n v="4.3535502602011479E-2"/>
    <n v="1.8118124992116498E-3"/>
    <n v="3.6067573247204422E-2"/>
    <n v="5.6561168555954036E-3"/>
    <n v="39147668.319662653"/>
    <n v="2.560911917765381E-3"/>
  </r>
  <r>
    <n v="4"/>
    <s v="AND"/>
    <s v="Andorra"/>
    <x v="0"/>
    <s v="High income"/>
    <x v="1"/>
    <x v="0"/>
    <x v="1"/>
    <s v="na"/>
    <n v="0"/>
    <s v="na"/>
    <n v="3155065487.5181909"/>
    <n v="0"/>
    <n v="0"/>
    <n v="0"/>
    <n v="0"/>
    <n v="0"/>
    <n v="0"/>
    <n v="0"/>
    <n v="0"/>
    <n v="0"/>
    <n v="0"/>
    <n v="0"/>
    <n v="0"/>
    <n v="0"/>
    <n v="0"/>
    <x v="0"/>
    <s v="na"/>
    <s v="na"/>
    <s v="na"/>
    <s v="na"/>
    <s v="na"/>
    <s v="na"/>
    <n v="0"/>
    <s v="na"/>
    <s v="na"/>
    <s v="na"/>
    <n v="2369000"/>
    <n v="200000"/>
    <n v="-2169000"/>
    <x v="1"/>
    <n v="1478950000"/>
    <n v="118238000"/>
    <n v="-1360712000"/>
    <n v="1597188000"/>
    <n v="1.6018120964197574E-3"/>
    <n v="1.6915035775300665E-3"/>
    <n v="5.9191860917128338E-4"/>
    <n v="5.7148788238990303E-5"/>
    <n v="1.6084518541336398E-3"/>
    <n v="8.1424617338792665E-4"/>
    <s v="na"/>
    <s v="na"/>
    <s v="na"/>
    <s v="na"/>
    <s v="na"/>
    <s v="na"/>
    <s v="na"/>
    <s v="na"/>
    <n v="0"/>
    <n v="0"/>
    <n v="0"/>
    <n v="0"/>
    <n v="0"/>
    <n v="0"/>
  </r>
  <r>
    <n v="8"/>
    <s v="ARM"/>
    <s v="Armenia"/>
    <x v="0"/>
    <s v="Upper middle income"/>
    <x v="1"/>
    <x v="0"/>
    <x v="0"/>
    <n v="2015"/>
    <n v="0"/>
    <s v="na"/>
    <n v="13672802157.832392"/>
    <n v="0"/>
    <n v="0"/>
    <n v="0"/>
    <n v="0"/>
    <n v="0"/>
    <n v="0"/>
    <n v="0"/>
    <n v="0"/>
    <n v="0"/>
    <n v="0"/>
    <n v="0"/>
    <n v="0"/>
    <n v="0"/>
    <n v="0"/>
    <x v="1"/>
    <n v="0"/>
    <n v="0"/>
    <n v="0"/>
    <n v="0"/>
    <n v="0"/>
    <n v="0"/>
    <n v="0"/>
    <n v="0"/>
    <n v="0"/>
    <n v="0"/>
    <n v="748024000"/>
    <n v="193682000"/>
    <n v="-554342000"/>
    <x v="2"/>
    <n v="5071644000"/>
    <n v="2620069000"/>
    <n v="-2451575000"/>
    <n v="7691713000"/>
    <n v="0.14749142487130407"/>
    <n v="7.3922480667493864E-2"/>
    <n v="2.0298187651319414E-3"/>
    <n v="1.2663760250726764E-3"/>
    <n v="0.12243124515956329"/>
    <n v="6.8874396713225955E-2"/>
    <n v="40"/>
    <n v="155275327.59466651"/>
    <n v="31"/>
    <n v="155275327.59466651"/>
    <n v="8"/>
    <n v="0"/>
    <n v="1"/>
    <n v="0"/>
    <n v="1.1356510962584058E-2"/>
    <n v="1.1356510962584058E-2"/>
    <n v="0"/>
    <n v="0"/>
    <n v="9133842.7996862661"/>
    <n v="6.6803005662259161E-4"/>
  </r>
  <r>
    <n v="9"/>
    <s v="ABW"/>
    <s v="Aruba"/>
    <x v="1"/>
    <s v="High income"/>
    <x v="1"/>
    <x v="0"/>
    <x v="1"/>
    <s v="na"/>
    <n v="0"/>
    <s v="na"/>
    <s v="na"/>
    <n v="0"/>
    <n v="0"/>
    <n v="0"/>
    <n v="0"/>
    <n v="0"/>
    <n v="0"/>
    <n v="0"/>
    <n v="0"/>
    <n v="0"/>
    <n v="0"/>
    <n v="0"/>
    <n v="0"/>
    <n v="0"/>
    <n v="0"/>
    <x v="0"/>
    <s v="na"/>
    <s v="na"/>
    <s v="na"/>
    <s v="na"/>
    <s v="na"/>
    <s v="na"/>
    <n v="0"/>
    <s v="na"/>
    <s v="na"/>
    <s v="na"/>
    <n v="7527000"/>
    <n v="56000"/>
    <n v="-7471000"/>
    <x v="3"/>
    <n v="1320446000"/>
    <n v="83627000"/>
    <n v="-1236819000"/>
    <n v="1404073000"/>
    <n v="5.7003467010388912E-3"/>
    <n v="6.696401879775671E-4"/>
    <n v="5.2848071929800496E-4"/>
    <n v="4.0420014835011098E-5"/>
    <n v="5.4007163445205482E-3"/>
    <s v="na"/>
    <n v="0"/>
    <s v="na"/>
    <s v="na"/>
    <s v="na"/>
    <s v="na"/>
    <s v="na"/>
    <s v="na"/>
    <s v="na"/>
    <n v="0"/>
    <n v="0"/>
    <n v="0"/>
    <n v="0"/>
    <n v="0"/>
    <n v="0"/>
  </r>
  <r>
    <n v="19"/>
    <s v="BLZ"/>
    <s v="Belize"/>
    <x v="1"/>
    <s v="Lower middle income"/>
    <x v="1"/>
    <x v="0"/>
    <x v="1"/>
    <s v="na"/>
    <n v="2"/>
    <s v="na"/>
    <n v="1982518540.6134"/>
    <n v="0"/>
    <n v="0"/>
    <n v="0"/>
    <n v="0"/>
    <n v="0"/>
    <n v="0"/>
    <n v="0"/>
    <n v="0"/>
    <n v="0"/>
    <n v="0"/>
    <n v="0"/>
    <n v="0"/>
    <n v="0"/>
    <n v="0"/>
    <x v="0"/>
    <s v="na"/>
    <s v="na"/>
    <s v="na"/>
    <s v="na"/>
    <s v="na"/>
    <s v="na"/>
    <n v="0"/>
    <s v="na"/>
    <s v="na"/>
    <s v="na"/>
    <n v="116803000"/>
    <n v="648000"/>
    <n v="-116155000"/>
    <x v="4"/>
    <n v="985894000"/>
    <n v="244906000"/>
    <n v="-740988000"/>
    <n v="1230800000"/>
    <n v="0.1184741970232094"/>
    <n v="2.6459131258523678E-3"/>
    <n v="3.9458332281031358E-4"/>
    <n v="1.1837210653477021E-4"/>
    <n v="9.542655183620409E-2"/>
    <n v="5.924332993307601E-2"/>
    <n v="0"/>
    <s v="na"/>
    <s v="na"/>
    <s v="na"/>
    <s v="na"/>
    <s v="na"/>
    <s v="na"/>
    <s v="na"/>
    <n v="0"/>
    <n v="0"/>
    <n v="0"/>
    <n v="0"/>
    <n v="0"/>
    <n v="0"/>
  </r>
  <r>
    <n v="21"/>
    <s v="BMU"/>
    <s v="Bermuda"/>
    <x v="2"/>
    <s v="High income"/>
    <x v="1"/>
    <x v="0"/>
    <x v="1"/>
    <s v="na"/>
    <n v="0"/>
    <s v="na"/>
    <n v="7484113000"/>
    <n v="0"/>
    <n v="0"/>
    <n v="0"/>
    <n v="0"/>
    <n v="0"/>
    <n v="0"/>
    <n v="0"/>
    <n v="0"/>
    <n v="0"/>
    <n v="0"/>
    <n v="0"/>
    <n v="0"/>
    <n v="0"/>
    <n v="0"/>
    <x v="0"/>
    <s v="na"/>
    <s v="na"/>
    <s v="na"/>
    <s v="na"/>
    <s v="na"/>
    <s v="na"/>
    <n v="0"/>
    <s v="na"/>
    <s v="na"/>
    <s v="na"/>
    <n v="25093000"/>
    <n v="79000"/>
    <n v="-25014000"/>
    <x v="5"/>
    <n v="1119092000"/>
    <n v="26833000"/>
    <n v="-1092259000"/>
    <n v="1145925000"/>
    <n v="2.2422642642427968E-2"/>
    <n v="2.9441359519994039E-3"/>
    <n v="4.4789301881382733E-4"/>
    <n v="1.2969379005199909E-5"/>
    <n v="2.1966533586403998E-2"/>
    <n v="3.3633912261880599E-3"/>
    <s v="na"/>
    <s v="na"/>
    <s v="na"/>
    <s v="na"/>
    <s v="na"/>
    <s v="na"/>
    <s v="na"/>
    <s v="na"/>
    <n v="0"/>
    <n v="0"/>
    <n v="0"/>
    <n v="0"/>
    <n v="0"/>
    <n v="0"/>
  </r>
  <r>
    <n v="27"/>
    <s v="VGB"/>
    <s v="British Virgin Islands"/>
    <x v="1"/>
    <s v="High income"/>
    <x v="1"/>
    <x v="0"/>
    <x v="1"/>
    <s v="na"/>
    <n v="0"/>
    <s v="na"/>
    <s v="na"/>
    <n v="0"/>
    <n v="0"/>
    <n v="0"/>
    <n v="0"/>
    <n v="0"/>
    <n v="0"/>
    <n v="0"/>
    <n v="0"/>
    <n v="0"/>
    <n v="0"/>
    <n v="0"/>
    <n v="0"/>
    <n v="0"/>
    <n v="0"/>
    <x v="0"/>
    <s v="na"/>
    <s v="na"/>
    <s v="na"/>
    <s v="na"/>
    <s v="na"/>
    <s v="na"/>
    <n v="0"/>
    <s v="na"/>
    <s v="na"/>
    <s v="na"/>
    <n v="10403000"/>
    <n v="495000"/>
    <n v="-9908000"/>
    <x v="6"/>
    <n v="1822591000"/>
    <n v="411592000"/>
    <n v="-1410999000"/>
    <n v="2234183000"/>
    <n v="5.7078082795317215E-3"/>
    <n v="1.2026472817741841E-3"/>
    <n v="7.2945368660745711E-4"/>
    <n v="1.9893760084628036E-4"/>
    <n v="4.8778457270510066E-3"/>
    <s v="na"/>
    <n v="0"/>
    <s v="na"/>
    <s v="na"/>
    <s v="na"/>
    <s v="na"/>
    <s v="na"/>
    <s v="na"/>
    <s v="na"/>
    <n v="0"/>
    <n v="0"/>
    <n v="0"/>
    <n v="0"/>
    <n v="0"/>
    <n v="0"/>
  </r>
  <r>
    <n v="30"/>
    <s v="BFA"/>
    <s v="Burkina Faso"/>
    <x v="3"/>
    <s v="Low income"/>
    <x v="1"/>
    <x v="0"/>
    <x v="1"/>
    <s v="na"/>
    <n v="1"/>
    <n v="2018"/>
    <n v="15990803569.996128"/>
    <n v="0"/>
    <n v="0"/>
    <n v="0"/>
    <n v="0"/>
    <n v="0"/>
    <n v="0"/>
    <n v="0"/>
    <n v="0"/>
    <n v="0"/>
    <n v="0"/>
    <n v="0"/>
    <n v="0"/>
    <n v="0"/>
    <n v="0"/>
    <x v="0"/>
    <s v="na"/>
    <s v="na"/>
    <s v="na"/>
    <s v="na"/>
    <s v="na"/>
    <s v="na"/>
    <n v="0"/>
    <s v="na"/>
    <s v="na"/>
    <s v="na"/>
    <n v="520739000"/>
    <n v="13757000"/>
    <n v="-506982000"/>
    <x v="7"/>
    <n v="4259342000"/>
    <n v="3261124000"/>
    <n v="-998218000"/>
    <n v="7520466000"/>
    <n v="0.1222580858733579"/>
    <n v="4.2184841790744538E-3"/>
    <n v="1.7047119866289142E-3"/>
    <n v="1.5762215607257315E-3"/>
    <n v="7.1072191537066981E-2"/>
    <n v="3.3425212038930036E-2"/>
    <n v="0"/>
    <s v="na"/>
    <s v="na"/>
    <s v="na"/>
    <s v="na"/>
    <s v="na"/>
    <s v="na"/>
    <s v="na"/>
    <n v="0"/>
    <n v="0"/>
    <n v="0"/>
    <n v="0"/>
    <n v="0"/>
    <n v="0"/>
  </r>
  <r>
    <n v="31"/>
    <s v="BDI"/>
    <s v="Burundi"/>
    <x v="3"/>
    <s v="Low income"/>
    <x v="1"/>
    <x v="0"/>
    <x v="0"/>
    <n v="2018"/>
    <n v="0"/>
    <s v="na"/>
    <n v="3012308945.6267095"/>
    <n v="0"/>
    <n v="0"/>
    <n v="0"/>
    <n v="0"/>
    <n v="0"/>
    <n v="0"/>
    <n v="0"/>
    <n v="0"/>
    <n v="0"/>
    <n v="0"/>
    <n v="0"/>
    <n v="0"/>
    <n v="0"/>
    <n v="0"/>
    <x v="0"/>
    <s v="na"/>
    <s v="na"/>
    <s v="na"/>
    <s v="na"/>
    <s v="na"/>
    <s v="na"/>
    <n v="0"/>
    <s v="na"/>
    <s v="na"/>
    <s v="na"/>
    <n v="136273000"/>
    <n v="5550000"/>
    <n v="-130723000"/>
    <x v="8"/>
    <n v="887345000"/>
    <n v="180772000"/>
    <n v="-706573000"/>
    <n v="1068117000"/>
    <n v="0.1535738636043478"/>
    <n v="3.0701657336313144E-2"/>
    <n v="3.5514115977895976E-4"/>
    <n v="8.7373777867849226E-5"/>
    <n v="0.13277852519901845"/>
    <n v="4.7081160186407706E-2"/>
    <n v="113"/>
    <n v="585558908.34845948"/>
    <n v="110"/>
    <n v="568921147.99284697"/>
    <n v="3"/>
    <n v="16637760.3556125"/>
    <n v="0"/>
    <n v="0"/>
    <n v="0.19438872934948384"/>
    <n v="0.1888654710596038"/>
    <n v="5.5232582898800311E-3"/>
    <n v="0"/>
    <n v="34444641.667556442"/>
    <n v="1.1434631138204933E-2"/>
  </r>
  <r>
    <n v="36"/>
    <s v="CYM"/>
    <s v="Cayman Islands"/>
    <x v="1"/>
    <s v="High income"/>
    <x v="1"/>
    <x v="0"/>
    <x v="1"/>
    <s v="na"/>
    <n v="0"/>
    <s v="na"/>
    <n v="5935769350.7740307"/>
    <n v="0"/>
    <n v="0"/>
    <n v="0"/>
    <n v="0"/>
    <n v="0"/>
    <n v="0"/>
    <n v="0"/>
    <n v="0"/>
    <n v="0"/>
    <n v="0"/>
    <n v="0"/>
    <n v="0"/>
    <n v="0"/>
    <n v="0"/>
    <x v="0"/>
    <s v="na"/>
    <s v="na"/>
    <s v="na"/>
    <s v="na"/>
    <s v="na"/>
    <s v="na"/>
    <n v="0"/>
    <s v="na"/>
    <s v="na"/>
    <s v="na"/>
    <n v="38326000"/>
    <n v="82000"/>
    <n v="-38244000"/>
    <x v="9"/>
    <n v="4477846000"/>
    <n v="1535610000"/>
    <n v="-2942236000"/>
    <n v="6013456000"/>
    <n v="8.5590259245181717E-3"/>
    <n v="5.33989750001628E-5"/>
    <n v="1.7921636136469759E-3"/>
    <n v="7.4221697514907149E-4"/>
    <n v="6.3870094002517024E-3"/>
    <n v="6.4706018260280874E-3"/>
    <n v="0"/>
    <s v="na"/>
    <s v="na"/>
    <s v="na"/>
    <s v="na"/>
    <s v="na"/>
    <s v="na"/>
    <s v="na"/>
    <n v="0"/>
    <n v="0"/>
    <n v="0"/>
    <n v="0"/>
    <n v="0"/>
    <n v="0"/>
  </r>
  <r>
    <n v="37"/>
    <s v="CAF"/>
    <s v="Central African Republic"/>
    <x v="3"/>
    <s v="Low income"/>
    <x v="1"/>
    <x v="0"/>
    <x v="1"/>
    <s v="na"/>
    <n v="0"/>
    <s v="na"/>
    <n v="2220307318.7488565"/>
    <n v="0"/>
    <n v="0"/>
    <n v="0"/>
    <n v="0"/>
    <n v="0"/>
    <n v="0"/>
    <n v="0"/>
    <n v="0"/>
    <n v="0"/>
    <n v="0"/>
    <n v="0"/>
    <n v="0"/>
    <n v="0"/>
    <n v="0"/>
    <x v="0"/>
    <s v="na"/>
    <s v="na"/>
    <s v="na"/>
    <s v="na"/>
    <s v="na"/>
    <s v="na"/>
    <n v="0"/>
    <s v="na"/>
    <s v="na"/>
    <s v="na"/>
    <n v="103158000"/>
    <n v="7442000"/>
    <n v="-95716000"/>
    <x v="10"/>
    <n v="567832000"/>
    <n v="125191000"/>
    <n v="-442641000"/>
    <n v="693023000"/>
    <n v="0.18166993054283662"/>
    <n v="5.9445167783626615E-2"/>
    <n v="2.2726280650660821E-4"/>
    <n v="6.0509429696268848E-5"/>
    <n v="0.15959066293615073"/>
    <n v="4.9812924123640287E-2"/>
    <n v="107"/>
    <n v="474603128.61500078"/>
    <n v="101"/>
    <n v="287310403.61804402"/>
    <n v="1"/>
    <n v="119460798.289351"/>
    <n v="5"/>
    <n v="67831926.707605794"/>
    <n v="0.21375560248229047"/>
    <n v="0.12940118748063376"/>
    <n v="5.3803722250786064E-2"/>
    <n v="3.0550692750870675E-2"/>
    <n v="27917831.095000047"/>
    <n v="1.2573858969546499E-2"/>
  </r>
  <r>
    <n v="40"/>
    <s v="CHN"/>
    <s v="China"/>
    <x v="4"/>
    <s v="Upper middle income"/>
    <x v="1"/>
    <x v="1"/>
    <x v="0"/>
    <n v="2013"/>
    <n v="0"/>
    <s v="na"/>
    <s v="na"/>
    <n v="0"/>
    <n v="0"/>
    <n v="0"/>
    <n v="0"/>
    <n v="0"/>
    <n v="0"/>
    <n v="0"/>
    <n v="0"/>
    <n v="0"/>
    <n v="0"/>
    <n v="0"/>
    <n v="0"/>
    <n v="0"/>
    <n v="0"/>
    <x v="2"/>
    <n v="7"/>
    <n v="1610000000"/>
    <n v="4"/>
    <n v="1500000000"/>
    <n v="0"/>
    <n v="0"/>
    <n v="11"/>
    <n v="3110000000"/>
    <s v="na"/>
    <n v="7.8022630576893306E-2"/>
    <s v="na"/>
    <s v="na"/>
    <s v="na"/>
    <x v="11"/>
    <n v="2068950255000"/>
    <n v="2498569866000"/>
    <n v="429619611000"/>
    <n v="4567520121000"/>
    <s v="na"/>
    <s v="na"/>
    <s v="na"/>
    <s v="na"/>
    <s v="na"/>
    <s v="na"/>
    <s v="na"/>
    <s v="na"/>
    <s v="na"/>
    <s v="na"/>
    <s v="na"/>
    <s v="na"/>
    <s v="na"/>
    <s v="na"/>
    <n v="0"/>
    <n v="0"/>
    <n v="0"/>
    <n v="0"/>
    <n v="0"/>
    <n v="0"/>
  </r>
  <r>
    <n v="42"/>
    <s v="COM"/>
    <s v="Comoros"/>
    <x v="3"/>
    <s v="Lower middle income"/>
    <x v="1"/>
    <x v="0"/>
    <x v="0"/>
    <s v="na"/>
    <n v="0"/>
    <s v="na"/>
    <n v="1165839899.8026922"/>
    <n v="0"/>
    <n v="0"/>
    <n v="0"/>
    <n v="0"/>
    <n v="0"/>
    <n v="0"/>
    <n v="0"/>
    <n v="0"/>
    <n v="0"/>
    <n v="0"/>
    <n v="0"/>
    <n v="0"/>
    <n v="0"/>
    <n v="0"/>
    <x v="0"/>
    <s v="na"/>
    <s v="na"/>
    <s v="na"/>
    <s v="na"/>
    <s v="na"/>
    <s v="na"/>
    <n v="0"/>
    <s v="na"/>
    <s v="na"/>
    <s v="na"/>
    <n v="19759000"/>
    <n v="14000"/>
    <n v="-19745000"/>
    <x v="12"/>
    <n v="203688000"/>
    <n v="49638000"/>
    <n v="-154050000"/>
    <n v="253326000"/>
    <n v="9.7006205569302076E-2"/>
    <n v="2.8204198396389861E-4"/>
    <n v="8.1521834859109749E-5"/>
    <n v="2.3991876982078528E-5"/>
    <n v="7.80535752350726E-2"/>
    <n v="1.6960304758266036E-2"/>
    <n v="68"/>
    <n v="348572569.68054128"/>
    <n v="64"/>
    <n v="201306498.51118547"/>
    <n v="2"/>
    <n v="77587.527207982697"/>
    <n v="2"/>
    <n v="147188483.64214787"/>
    <n v="0.29898836859120537"/>
    <n v="0.17267079171441529"/>
    <n v="6.655075642986115E-5"/>
    <n v="0.12625102612036027"/>
    <n v="20504268.804737721"/>
    <n v="1.7587551093600315E-2"/>
  </r>
  <r>
    <n v="45"/>
    <s v="COK"/>
    <s v="Cook Islands"/>
    <x v="4"/>
    <s v="Upper middle income"/>
    <x v="1"/>
    <x v="0"/>
    <x v="0"/>
    <n v="2018"/>
    <n v="0"/>
    <s v="na"/>
    <s v="na"/>
    <n v="0"/>
    <n v="0"/>
    <n v="0"/>
    <n v="0"/>
    <n v="0"/>
    <n v="0"/>
    <n v="0"/>
    <n v="0"/>
    <n v="0"/>
    <n v="0"/>
    <n v="0"/>
    <n v="0"/>
    <n v="0"/>
    <n v="0"/>
    <x v="2"/>
    <n v="1"/>
    <n v="20000000"/>
    <n v="0"/>
    <n v="0"/>
    <n v="0"/>
    <n v="0"/>
    <n v="1"/>
    <n v="20000000"/>
    <s v="na"/>
    <n v="5.0175325129834928E-4"/>
    <n v="42699000"/>
    <n v="1266000"/>
    <n v="-41433000"/>
    <x v="13"/>
    <n v="198303000"/>
    <n v="32222000"/>
    <n v="-166081000"/>
    <n v="230525000"/>
    <n v="0.21532200723135808"/>
    <n v="3.9289926137421639E-2"/>
    <n v="7.9366601950365474E-5"/>
    <n v="1.5574081552772761E-5"/>
    <n v="0.19071684199110725"/>
    <s v="na"/>
    <n v="34"/>
    <n v="131478490.98164041"/>
    <n v="31"/>
    <n v="129493135.9661479"/>
    <n v="2"/>
    <n v="0"/>
    <n v="1"/>
    <n v="1985355.0154925101"/>
    <n v="0"/>
    <n v="0"/>
    <n v="0"/>
    <n v="0"/>
    <n v="7734028.8812729651"/>
    <n v="0"/>
  </r>
  <r>
    <n v="50"/>
    <s v="CUW"/>
    <s v="Curaçao"/>
    <x v="1"/>
    <s v="High income"/>
    <x v="1"/>
    <x v="0"/>
    <x v="1"/>
    <s v="na"/>
    <n v="0"/>
    <s v="na"/>
    <n v="3101787709.4972067"/>
    <n v="0"/>
    <n v="0"/>
    <n v="0"/>
    <n v="0"/>
    <n v="0"/>
    <n v="0"/>
    <n v="0"/>
    <n v="0"/>
    <n v="0"/>
    <n v="0"/>
    <n v="0"/>
    <n v="0"/>
    <n v="0"/>
    <n v="0"/>
    <x v="0"/>
    <s v="na"/>
    <s v="na"/>
    <s v="na"/>
    <s v="na"/>
    <s v="na"/>
    <s v="na"/>
    <n v="0"/>
    <s v="na"/>
    <s v="na"/>
    <s v="na"/>
    <n v="37699000"/>
    <n v="13000"/>
    <n v="-37686000"/>
    <x v="14"/>
    <n v="1201848000"/>
    <n v="96336000"/>
    <n v="-1105512000"/>
    <n v="1298184000"/>
    <n v="3.1367527341227844E-2"/>
    <n v="1.349443614017605E-4"/>
    <n v="4.8101436599972189E-4"/>
    <n v="4.6562743481717983E-5"/>
    <n v="2.9049811120765625E-2"/>
    <n v="1.2158149922553221E-2"/>
    <n v="2"/>
    <n v="0"/>
    <n v="0"/>
    <n v="0"/>
    <n v="2"/>
    <n v="0"/>
    <n v="0"/>
    <n v="0"/>
    <n v="0"/>
    <n v="0"/>
    <n v="0"/>
    <n v="0"/>
    <n v="0"/>
    <n v="0"/>
  </r>
  <r>
    <n v="55"/>
    <s v="DMA"/>
    <s v="Dominica"/>
    <x v="1"/>
    <s v="Upper middle income"/>
    <x v="1"/>
    <x v="0"/>
    <x v="0"/>
    <s v="na"/>
    <n v="1"/>
    <n v="2004"/>
    <n v="574607407.4074074"/>
    <n v="0"/>
    <n v="0"/>
    <n v="0"/>
    <n v="0"/>
    <n v="0"/>
    <n v="0"/>
    <n v="0"/>
    <n v="0"/>
    <n v="0"/>
    <n v="0"/>
    <n v="0"/>
    <n v="0"/>
    <n v="0"/>
    <n v="0"/>
    <x v="0"/>
    <s v="na"/>
    <s v="na"/>
    <s v="na"/>
    <s v="na"/>
    <s v="na"/>
    <s v="na"/>
    <n v="0"/>
    <s v="na"/>
    <s v="na"/>
    <s v="na"/>
    <n v="33896000"/>
    <n v="477000"/>
    <n v="-33419000"/>
    <x v="15"/>
    <n v="503996000"/>
    <n v="59490000"/>
    <n v="-444506000"/>
    <n v="563486000"/>
    <n v="6.7254502019857304E-2"/>
    <n v="8.0181543116490169E-3"/>
    <n v="2.017137911003686E-4"/>
    <n v="2.8753712108945799E-5"/>
    <n v="6.1000628232112247E-2"/>
    <n v="5.9819973701851187E-2"/>
    <n v="83"/>
    <n v="573892308.24714231"/>
    <n v="64"/>
    <n v="559674140.21692443"/>
    <n v="5"/>
    <n v="0"/>
    <n v="14"/>
    <n v="14218168.030217908"/>
    <n v="0.99875549957928389"/>
    <n v="0.9740113562791316"/>
    <n v="0"/>
    <n v="2.4744143300152344E-2"/>
    <n v="33758371.073361315"/>
    <n v="5.8750323504663762E-2"/>
  </r>
  <r>
    <n v="56"/>
    <s v="DOM"/>
    <s v="Dominican Republic"/>
    <x v="1"/>
    <s v="Upper middle income"/>
    <x v="1"/>
    <x v="0"/>
    <x v="0"/>
    <n v="2018"/>
    <n v="1"/>
    <n v="2018"/>
    <n v="88941299733.50177"/>
    <n v="0"/>
    <n v="0"/>
    <n v="0"/>
    <n v="0"/>
    <n v="0"/>
    <n v="0"/>
    <n v="0"/>
    <n v="0"/>
    <n v="0"/>
    <n v="0"/>
    <n v="0"/>
    <n v="0"/>
    <n v="0"/>
    <n v="0"/>
    <x v="0"/>
    <s v="na"/>
    <s v="na"/>
    <s v="na"/>
    <s v="na"/>
    <s v="na"/>
    <s v="na"/>
    <n v="0"/>
    <s v="na"/>
    <s v="na"/>
    <s v="na"/>
    <n v="3451291000"/>
    <n v="305884000"/>
    <n v="-3145407000"/>
    <x v="16"/>
    <n v="22202313000"/>
    <n v="10078188000"/>
    <n v="-12124125000"/>
    <n v="32280501000"/>
    <n v="0.15544736262388517"/>
    <n v="3.0351090890545007E-2"/>
    <n v="8.8860084731366886E-3"/>
    <n v="4.8711601333305135E-3"/>
    <n v="0.11639147112369787"/>
    <n v="4.2243311164304631E-2"/>
    <n v="5"/>
    <n v="353953921.70811945"/>
    <n v="3"/>
    <n v="3953921.7081194799"/>
    <n v="1"/>
    <n v="0"/>
    <n v="1"/>
    <n v="350000000"/>
    <n v="3.9796351387790052E-3"/>
    <n v="4.4455407330079131E-5"/>
    <n v="0"/>
    <n v="3.9351797314489271E-3"/>
    <n v="20820818.924007028"/>
    <n v="2.3409618463405917E-4"/>
  </r>
  <r>
    <n v="59"/>
    <s v="SLV"/>
    <s v="El Salvador"/>
    <x v="1"/>
    <s v="Lower middle income"/>
    <x v="1"/>
    <x v="0"/>
    <x v="0"/>
    <n v="2018"/>
    <n v="1"/>
    <n v="2018"/>
    <n v="26896660000"/>
    <n v="0"/>
    <n v="0"/>
    <n v="0"/>
    <n v="0"/>
    <n v="0"/>
    <n v="0"/>
    <n v="0"/>
    <n v="0"/>
    <n v="0"/>
    <n v="0"/>
    <n v="0"/>
    <n v="0"/>
    <n v="0"/>
    <n v="0"/>
    <x v="0"/>
    <s v="na"/>
    <s v="na"/>
    <s v="na"/>
    <s v="na"/>
    <s v="na"/>
    <s v="na"/>
    <n v="0"/>
    <s v="na"/>
    <s v="na"/>
    <s v="na"/>
    <n v="961495000"/>
    <n v="51726000"/>
    <n v="-909769000"/>
    <x v="17"/>
    <n v="11337642000"/>
    <n v="4777618000"/>
    <n v="-6560024000"/>
    <n v="16115260000"/>
    <n v="8.4805553041805343E-2"/>
    <n v="1.0826734159156299E-2"/>
    <n v="4.5376525804942209E-3"/>
    <n v="2.309199067717556E-3"/>
    <n v="6.2873388328826219E-2"/>
    <n v="3.7670885530024921E-2"/>
    <n v="1"/>
    <n v="19663044.242341101"/>
    <n v="0"/>
    <n v="0"/>
    <n v="0"/>
    <n v="0"/>
    <n v="1"/>
    <n v="19663044.242341101"/>
    <n v="7.3105895833687528E-4"/>
    <n v="0"/>
    <n v="0"/>
    <n v="7.3105895833687528E-4"/>
    <n v="1156649.6613141824"/>
    <n v="4.3003468137463258E-5"/>
  </r>
  <r>
    <n v="62"/>
    <s v="EST"/>
    <s v="Estonia"/>
    <x v="0"/>
    <s v="High income"/>
    <x v="1"/>
    <x v="0"/>
    <x v="0"/>
    <n v="2017"/>
    <n v="0"/>
    <s v="na"/>
    <n v="31045591753.490147"/>
    <n v="0"/>
    <n v="0"/>
    <n v="0"/>
    <n v="0"/>
    <n v="0"/>
    <n v="0"/>
    <n v="0"/>
    <n v="0"/>
    <n v="0"/>
    <n v="0"/>
    <n v="0"/>
    <n v="0"/>
    <n v="0"/>
    <n v="0"/>
    <x v="0"/>
    <s v="na"/>
    <s v="na"/>
    <s v="na"/>
    <s v="na"/>
    <s v="na"/>
    <s v="na"/>
    <n v="0"/>
    <s v="na"/>
    <s v="na"/>
    <s v="na"/>
    <n v="1513684000"/>
    <n v="189548000"/>
    <n v="-1324136000"/>
    <x v="18"/>
    <n v="18677042000"/>
    <n v="16817428000"/>
    <n v="-1859614000"/>
    <n v="35494470000"/>
    <n v="8.1045167644855115E-2"/>
    <n v="1.1270926802838104E-2"/>
    <n v="7.4750929538345747E-3"/>
    <n v="8.1284834951239546E-3"/>
    <n v="4.7985841174695662E-2"/>
    <n v="5.4862281689590363E-2"/>
    <s v="na"/>
    <s v="na"/>
    <s v="na"/>
    <s v="na"/>
    <s v="na"/>
    <s v="na"/>
    <s v="na"/>
    <s v="na"/>
    <n v="0"/>
    <n v="0"/>
    <n v="0"/>
    <n v="0"/>
    <n v="0"/>
    <n v="0"/>
  </r>
  <r>
    <n v="63"/>
    <s v="SWZ"/>
    <s v="Eswatini"/>
    <x v="3"/>
    <s v="Lower middle income"/>
    <x v="1"/>
    <x v="0"/>
    <x v="1"/>
    <s v="na"/>
    <n v="2"/>
    <s v="na"/>
    <n v="4471598726.6435986"/>
    <n v="0"/>
    <n v="0"/>
    <n v="0"/>
    <n v="0"/>
    <n v="0"/>
    <n v="0"/>
    <n v="0"/>
    <n v="0"/>
    <n v="0"/>
    <n v="0"/>
    <n v="0"/>
    <n v="0"/>
    <n v="0"/>
    <n v="0"/>
    <x v="0"/>
    <s v="na"/>
    <s v="na"/>
    <s v="na"/>
    <s v="na"/>
    <s v="na"/>
    <s v="na"/>
    <n v="0"/>
    <s v="na"/>
    <s v="na"/>
    <s v="na"/>
    <n v="131198000"/>
    <n v="260000"/>
    <n v="-130938000"/>
    <x v="19"/>
    <n v="1841927000"/>
    <n v="2001762000"/>
    <n v="159835000"/>
    <n v="3843689000"/>
    <n v="7.1228664328173708E-2"/>
    <n v="1.2988557081211453E-4"/>
    <n v="7.3719251363131577E-4"/>
    <n v="9.675254371932689E-4"/>
    <n v="3.4200998051611357E-2"/>
    <n v="2.9398433991118193E-2"/>
    <n v="0"/>
    <s v="na"/>
    <s v="na"/>
    <s v="na"/>
    <s v="na"/>
    <s v="na"/>
    <s v="na"/>
    <s v="na"/>
    <n v="0"/>
    <n v="0"/>
    <n v="0"/>
    <n v="0"/>
    <n v="0"/>
    <n v="0"/>
  </r>
  <r>
    <n v="68"/>
    <s v="PYF"/>
    <s v="French Polynesia"/>
    <x v="4"/>
    <s v="High income"/>
    <x v="1"/>
    <x v="0"/>
    <x v="1"/>
    <s v="na"/>
    <n v="0"/>
    <s v="na"/>
    <n v="3447543137.9414983"/>
    <n v="0"/>
    <n v="0"/>
    <n v="0"/>
    <n v="0"/>
    <n v="0"/>
    <n v="0"/>
    <n v="0"/>
    <n v="0"/>
    <n v="0"/>
    <n v="0"/>
    <n v="0"/>
    <n v="0"/>
    <n v="0"/>
    <n v="0"/>
    <x v="0"/>
    <s v="na"/>
    <s v="na"/>
    <s v="na"/>
    <s v="na"/>
    <s v="na"/>
    <s v="na"/>
    <n v="0"/>
    <s v="na"/>
    <s v="na"/>
    <s v="na"/>
    <n v="99339000"/>
    <n v="6805000"/>
    <n v="-92534000"/>
    <x v="20"/>
    <n v="1959833000"/>
    <n v="183564000"/>
    <n v="-1776269000"/>
    <n v="2143397000"/>
    <n v="5.0687482045664096E-2"/>
    <n v="3.7071539081737159E-2"/>
    <n v="7.8438190849452918E-4"/>
    <n v="8.8723254489267561E-5"/>
    <n v="4.9521390577667135E-2"/>
    <n v="3.0788302206242377E-2"/>
    <n v="2"/>
    <n v="4858309351.0989399"/>
    <n v="0"/>
    <n v="0"/>
    <n v="2"/>
    <n v="4858309351.0989399"/>
    <n v="0"/>
    <n v="0"/>
    <n v="1.4092091546676917"/>
    <n v="0"/>
    <n v="1.4092091546676917"/>
    <n v="0"/>
    <n v="285782903.00581998"/>
    <n v="8.2894656156923027E-2"/>
  </r>
  <r>
    <n v="70"/>
    <s v="GMB"/>
    <s v="Gambia"/>
    <x v="3"/>
    <s v="Low income"/>
    <x v="1"/>
    <x v="0"/>
    <x v="0"/>
    <n v="2018"/>
    <n v="1"/>
    <n v="2013"/>
    <n v="1826073739.8252184"/>
    <n v="0"/>
    <n v="0"/>
    <n v="0"/>
    <n v="0"/>
    <n v="0"/>
    <n v="0"/>
    <n v="0"/>
    <n v="0"/>
    <n v="0"/>
    <n v="0"/>
    <n v="0"/>
    <n v="0"/>
    <n v="0"/>
    <n v="0"/>
    <x v="0"/>
    <s v="na"/>
    <s v="na"/>
    <s v="na"/>
    <s v="na"/>
    <s v="na"/>
    <s v="na"/>
    <n v="0"/>
    <s v="na"/>
    <s v="na"/>
    <s v="na"/>
    <n v="52339000"/>
    <n v="3327000"/>
    <n v="-49012000"/>
    <x v="21"/>
    <n v="494032000"/>
    <n v="24602000"/>
    <n v="-469430000"/>
    <n v="518634000"/>
    <n v="0.10594253003854001"/>
    <n v="0.13523290789366718"/>
    <n v="1.9772590981852496E-4"/>
    <n v="1.1891054384002093E-5"/>
    <n v="0.1073319527836586"/>
    <n v="3.0483982539132311E-2"/>
    <n v="16"/>
    <n v="511411700.70763052"/>
    <n v="12"/>
    <n v="169333815.70763054"/>
    <n v="3"/>
    <n v="177077885"/>
    <n v="1"/>
    <n v="165000000"/>
    <n v="0.28006081548304834"/>
    <n v="9.2731094048720195E-2"/>
    <n v="9.6971924593225303E-2"/>
    <n v="9.0357796841102858E-2"/>
    <n v="30083041.218095914"/>
    <n v="1.6474165616649904E-2"/>
  </r>
  <r>
    <n v="75"/>
    <s v="GRL"/>
    <s v="Greenland"/>
    <x v="0"/>
    <s v="High income"/>
    <x v="1"/>
    <x v="0"/>
    <x v="1"/>
    <s v="na"/>
    <n v="0"/>
    <s v="na"/>
    <s v="na"/>
    <n v="0"/>
    <n v="0"/>
    <n v="0"/>
    <n v="0"/>
    <n v="0"/>
    <n v="0"/>
    <n v="0"/>
    <n v="0"/>
    <n v="0"/>
    <n v="0"/>
    <n v="0"/>
    <n v="0"/>
    <n v="0"/>
    <n v="0"/>
    <x v="0"/>
    <s v="na"/>
    <s v="na"/>
    <s v="na"/>
    <s v="na"/>
    <s v="na"/>
    <s v="na"/>
    <n v="0"/>
    <s v="na"/>
    <s v="na"/>
    <s v="na"/>
    <n v="809000"/>
    <n v="273714000"/>
    <n v="272905000"/>
    <x v="22"/>
    <n v="1015021000"/>
    <n v="1294505000"/>
    <n v="279484000"/>
    <n v="2309526000"/>
    <n v="7.9702784474409885E-4"/>
    <n v="0.2114429839977443"/>
    <n v="4.0624079150724856E-4"/>
    <n v="6.2568203216659742E-4"/>
    <n v="0.11886551612755171"/>
    <s v="na"/>
    <s v="na"/>
    <s v="na"/>
    <s v="na"/>
    <s v="na"/>
    <s v="na"/>
    <s v="na"/>
    <s v="na"/>
    <s v="na"/>
    <n v="0"/>
    <n v="0"/>
    <n v="0"/>
    <n v="0"/>
    <n v="0"/>
    <n v="0"/>
  </r>
  <r>
    <n v="76"/>
    <s v="GRD"/>
    <s v="Grenada"/>
    <x v="1"/>
    <s v="Upper middle income"/>
    <x v="1"/>
    <x v="0"/>
    <x v="0"/>
    <n v="2018"/>
    <n v="1"/>
    <n v="2005"/>
    <n v="1211403703.7037036"/>
    <n v="0"/>
    <n v="0"/>
    <n v="0"/>
    <n v="0"/>
    <n v="0"/>
    <n v="0"/>
    <n v="0"/>
    <n v="0"/>
    <n v="0"/>
    <n v="0"/>
    <n v="0"/>
    <n v="0"/>
    <n v="0"/>
    <n v="0"/>
    <x v="0"/>
    <s v="na"/>
    <s v="na"/>
    <s v="na"/>
    <s v="na"/>
    <s v="na"/>
    <s v="na"/>
    <n v="0"/>
    <s v="na"/>
    <s v="na"/>
    <s v="na"/>
    <n v="15187000"/>
    <n v="17000"/>
    <n v="-15170000"/>
    <x v="23"/>
    <n v="479835000"/>
    <n v="34481000"/>
    <n v="-445354000"/>
    <n v="514316000"/>
    <n v="3.1650463180051477E-2"/>
    <n v="4.9302514428235843E-4"/>
    <n v="1.9204385938111686E-4"/>
    <n v="1.6665939607136665E-5"/>
    <n v="2.9561592483998166E-2"/>
    <n v="1.2550729334503286E-2"/>
    <n v="93"/>
    <n v="534861952.30882555"/>
    <n v="86"/>
    <n v="521107985.90035743"/>
    <n v="6"/>
    <n v="5096676.5237709163"/>
    <n v="1"/>
    <n v="8657289.8846972194"/>
    <n v="0.44152246742647161"/>
    <n v="0.43016872435435022"/>
    <n v="4.2072485895399813E-3"/>
    <n v="7.1464944825814234E-3"/>
    <n v="31462467.782872092"/>
    <n v="2.5971909848615977E-2"/>
  </r>
  <r>
    <n v="77"/>
    <s v="GUM"/>
    <s v="Guam"/>
    <x v="4"/>
    <s v="High income"/>
    <x v="1"/>
    <x v="0"/>
    <x v="1"/>
    <s v="na"/>
    <n v="0"/>
    <s v="na"/>
    <n v="6311000000"/>
    <n v="0"/>
    <n v="0"/>
    <n v="0"/>
    <n v="0"/>
    <n v="0"/>
    <n v="0"/>
    <n v="0"/>
    <n v="0"/>
    <n v="0"/>
    <n v="0"/>
    <n v="0"/>
    <n v="0"/>
    <n v="0"/>
    <n v="0"/>
    <x v="0"/>
    <s v="na"/>
    <s v="na"/>
    <s v="na"/>
    <s v="na"/>
    <s v="na"/>
    <s v="na"/>
    <n v="0"/>
    <s v="na"/>
    <s v="na"/>
    <s v="na"/>
    <s v="na"/>
    <s v="na"/>
    <s v="na"/>
    <x v="11"/>
    <n v="0"/>
    <n v="717000"/>
    <n v="717000"/>
    <n v="717000"/>
    <s v="na"/>
    <s v="na"/>
    <s v="na"/>
    <s v="na"/>
    <s v="na"/>
    <s v="na"/>
    <n v="1"/>
    <n v="0"/>
    <n v="0"/>
    <n v="0"/>
    <n v="1"/>
    <n v="0"/>
    <n v="0"/>
    <n v="0"/>
    <n v="0"/>
    <n v="0"/>
    <n v="0"/>
    <n v="0"/>
    <n v="0"/>
    <n v="0"/>
  </r>
  <r>
    <n v="82"/>
    <s v="HTI"/>
    <s v="Haiti"/>
    <x v="1"/>
    <s v="Lower middle income"/>
    <x v="1"/>
    <x v="0"/>
    <x v="1"/>
    <s v="na"/>
    <n v="2"/>
    <s v="na"/>
    <n v="14332163266.397657"/>
    <n v="0"/>
    <n v="0"/>
    <n v="0"/>
    <n v="0"/>
    <n v="0"/>
    <n v="0"/>
    <n v="0"/>
    <n v="0"/>
    <n v="0"/>
    <n v="0"/>
    <n v="0"/>
    <n v="0"/>
    <n v="0"/>
    <n v="0"/>
    <x v="0"/>
    <s v="na"/>
    <s v="na"/>
    <s v="na"/>
    <s v="na"/>
    <s v="na"/>
    <s v="na"/>
    <n v="0"/>
    <s v="na"/>
    <s v="na"/>
    <s v="na"/>
    <n v="561068000"/>
    <n v="4488000"/>
    <n v="-556580000"/>
    <x v="24"/>
    <n v="3831949000"/>
    <n v="1342010000"/>
    <n v="-2489939000"/>
    <n v="5173959000"/>
    <n v="0.14641844137278445"/>
    <n v="3.3442373752803631E-3"/>
    <n v="1.5336569339702425E-3"/>
    <n v="6.4864295154355939E-4"/>
    <n v="0.1093081719433803"/>
    <n v="3.946061662065832E-2"/>
    <n v="33"/>
    <n v="2036786080.495379"/>
    <n v="30"/>
    <n v="20273430.876614835"/>
    <n v="1"/>
    <n v="0"/>
    <n v="2"/>
    <n v="2016512649.6187642"/>
    <n v="0.14211295549993538"/>
    <n v="1.4145408826137728E-3"/>
    <n v="0"/>
    <n v="0.14069841461732163"/>
    <n v="119810945.91149288"/>
    <n v="8.3595856176432587E-3"/>
  </r>
  <r>
    <n v="84"/>
    <s v="HKG"/>
    <s v="Hong Kong, China"/>
    <x v="4"/>
    <s v="High income"/>
    <x v="1"/>
    <x v="2"/>
    <x v="1"/>
    <s v="na"/>
    <n v="0"/>
    <s v="na"/>
    <n v="363016373358.5166"/>
    <n v="0"/>
    <n v="0"/>
    <n v="0"/>
    <n v="0"/>
    <n v="0"/>
    <n v="0"/>
    <n v="0"/>
    <n v="0"/>
    <n v="0"/>
    <n v="0"/>
    <n v="0"/>
    <n v="0"/>
    <n v="0"/>
    <n v="0"/>
    <x v="2"/>
    <n v="0"/>
    <n v="0"/>
    <n v="0"/>
    <n v="0"/>
    <n v="0"/>
    <n v="0"/>
    <n v="0"/>
    <n v="0"/>
    <n v="0"/>
    <n v="0"/>
    <n v="264601840000"/>
    <n v="296069015000"/>
    <n v="31467175000"/>
    <x v="25"/>
    <n v="578590151000"/>
    <n v="535711019000"/>
    <n v="-42879132000"/>
    <n v="1114301170000"/>
    <n v="0.45732171476247613"/>
    <n v="0.55266553141405517"/>
    <n v="0.23156853001123964"/>
    <n v="0.2589289025704487"/>
    <n v="0.50315917284731915"/>
    <n v="1.5444781451945115"/>
    <s v="na"/>
    <s v="na"/>
    <s v="na"/>
    <s v="na"/>
    <s v="na"/>
    <s v="na"/>
    <s v="na"/>
    <s v="na"/>
    <n v="0"/>
    <n v="0"/>
    <n v="0"/>
    <n v="0"/>
    <n v="0"/>
    <n v="0"/>
  </r>
  <r>
    <n v="86"/>
    <s v="ISL"/>
    <s v="Iceland"/>
    <x v="0"/>
    <s v="High income"/>
    <x v="2"/>
    <x v="2"/>
    <x v="1"/>
    <s v="na"/>
    <n v="0"/>
    <s v="na"/>
    <n v="24857740445.040115"/>
    <n v="0"/>
    <n v="0"/>
    <n v="0"/>
    <n v="0"/>
    <n v="0"/>
    <n v="0"/>
    <n v="0"/>
    <n v="0"/>
    <n v="0"/>
    <n v="0"/>
    <n v="0"/>
    <n v="0"/>
    <n v="0"/>
    <n v="0"/>
    <x v="3"/>
    <n v="0"/>
    <n v="0"/>
    <n v="0"/>
    <n v="0"/>
    <n v="0"/>
    <n v="0"/>
    <n v="0"/>
    <n v="0"/>
    <n v="0"/>
    <n v="0"/>
    <n v="483334000"/>
    <n v="129845000"/>
    <n v="-353489000"/>
    <x v="26"/>
    <n v="6560654000"/>
    <n v="5231459000"/>
    <n v="-1329195000"/>
    <n v="11792113000"/>
    <n v="7.3671618713622142E-2"/>
    <n v="2.4820035863800136E-2"/>
    <n v="2.6257636775645003E-3"/>
    <n v="2.5285571692007648E-3"/>
    <n v="5.1999077688621199E-2"/>
    <n v="2.4667527660276464E-2"/>
    <s v="na"/>
    <s v="na"/>
    <s v="na"/>
    <s v="na"/>
    <s v="na"/>
    <s v="na"/>
    <s v="na"/>
    <s v="na"/>
    <n v="0"/>
    <n v="0"/>
    <n v="0"/>
    <n v="0"/>
    <n v="0"/>
    <n v="0"/>
  </r>
  <r>
    <n v="99"/>
    <s v="KIR"/>
    <s v="Kiribati"/>
    <x v="4"/>
    <s v="Lower middle income"/>
    <x v="1"/>
    <x v="0"/>
    <x v="0"/>
    <n v="2020"/>
    <n v="1"/>
    <n v="2019"/>
    <n v="194647201.94647205"/>
    <n v="0"/>
    <n v="0"/>
    <n v="0"/>
    <n v="0"/>
    <n v="0"/>
    <n v="0"/>
    <n v="0"/>
    <n v="0"/>
    <n v="0"/>
    <n v="0"/>
    <n v="0"/>
    <n v="0"/>
    <n v="0"/>
    <n v="0"/>
    <x v="0"/>
    <s v="na"/>
    <s v="na"/>
    <s v="na"/>
    <s v="na"/>
    <s v="na"/>
    <s v="na"/>
    <n v="0"/>
    <s v="na"/>
    <s v="na"/>
    <s v="na"/>
    <n v="20208000"/>
    <n v="1919000"/>
    <n v="-18289000"/>
    <x v="27"/>
    <n v="104950000"/>
    <n v="98354000"/>
    <n v="-6596000"/>
    <n v="203304000"/>
    <n v="0.19254883277751311"/>
    <n v="1.9511153588059459E-2"/>
    <n v="4.2004028555749819E-5"/>
    <n v="4.7538117343473782E-5"/>
    <n v="0.10883701255263055"/>
    <n v="0.11367746249999998"/>
    <n v="1"/>
    <n v="11932058.166570701"/>
    <n v="1"/>
    <n v="11932058.166570701"/>
    <n v="0"/>
    <n v="0"/>
    <n v="0"/>
    <n v="0"/>
    <n v="6.1300948830756964E-2"/>
    <n v="6.1300948830756964E-2"/>
    <n v="0"/>
    <n v="0"/>
    <n v="701885.77450415888"/>
    <n v="3.6059381665151159E-3"/>
  </r>
  <r>
    <n v="102"/>
    <s v="XXK"/>
    <s v="Kosovo"/>
    <x v="0"/>
    <s v="Upper middle income"/>
    <x v="1"/>
    <x v="0"/>
    <x v="1"/>
    <s v="na"/>
    <n v="0"/>
    <s v="na"/>
    <n v="7953156068.0698614"/>
    <n v="0"/>
    <n v="0"/>
    <n v="0"/>
    <n v="0"/>
    <n v="0"/>
    <n v="0"/>
    <n v="0"/>
    <n v="0"/>
    <n v="0"/>
    <n v="0"/>
    <n v="0"/>
    <n v="0"/>
    <n v="0"/>
    <n v="0"/>
    <x v="0"/>
    <s v="na"/>
    <s v="na"/>
    <s v="na"/>
    <s v="na"/>
    <s v="na"/>
    <s v="na"/>
    <n v="0"/>
    <s v="na"/>
    <s v="na"/>
    <s v="na"/>
    <s v="na"/>
    <s v="na"/>
    <s v="na"/>
    <x v="11"/>
    <s v="na"/>
    <s v="na"/>
    <s v="na"/>
    <s v="na"/>
    <s v="na"/>
    <s v="na"/>
    <s v="na"/>
    <s v="na"/>
    <s v="na"/>
    <s v="na"/>
    <n v="0"/>
    <s v="na"/>
    <s v="na"/>
    <s v="na"/>
    <s v="na"/>
    <s v="na"/>
    <s v="na"/>
    <s v="na"/>
    <n v="0"/>
    <n v="0"/>
    <n v="0"/>
    <n v="0"/>
    <n v="0"/>
    <n v="0"/>
  </r>
  <r>
    <n v="107"/>
    <s v="LBN"/>
    <s v="Lebanon"/>
    <x v="5"/>
    <s v="Upper middle income"/>
    <x v="1"/>
    <x v="0"/>
    <x v="0"/>
    <n v="2017"/>
    <n v="0"/>
    <s v="na"/>
    <n v="51991634491.634491"/>
    <n v="0"/>
    <n v="0"/>
    <n v="0"/>
    <n v="0"/>
    <n v="0"/>
    <n v="0"/>
    <n v="0"/>
    <n v="0"/>
    <n v="0"/>
    <n v="0"/>
    <n v="0"/>
    <n v="0"/>
    <n v="0"/>
    <n v="0"/>
    <x v="1"/>
    <n v="0"/>
    <n v="0"/>
    <n v="0"/>
    <n v="0"/>
    <n v="0"/>
    <n v="0"/>
    <n v="0"/>
    <n v="0"/>
    <n v="0"/>
    <n v="0"/>
    <n v="1626506000"/>
    <n v="13593000"/>
    <n v="-1612913000"/>
    <x v="28"/>
    <n v="19239394000"/>
    <n v="3731350000"/>
    <n v="-15508044000"/>
    <n v="22970744000"/>
    <n v="8.4540396646588759E-2"/>
    <n v="3.6429174427486033E-3"/>
    <n v="7.7001625056819607E-3"/>
    <n v="1.8034991372955942E-3"/>
    <n v="7.1399472302682052E-2"/>
    <n v="3.1545440262392477E-2"/>
    <n v="71"/>
    <n v="171154932.98376152"/>
    <n v="68"/>
    <n v="170202739.3696748"/>
    <n v="3"/>
    <n v="952193.61408672202"/>
    <n v="0"/>
    <n v="0"/>
    <n v="3.2919706152208109E-3"/>
    <n v="3.2736562532393668E-3"/>
    <n v="1.8314361981443976E-5"/>
    <n v="0"/>
    <n v="10067937.234338913"/>
    <n v="1.9364533030710653E-4"/>
  </r>
  <r>
    <n v="111"/>
    <s v="LIE"/>
    <s v="Liechtenstein"/>
    <x v="0"/>
    <s v="High income"/>
    <x v="1"/>
    <x v="0"/>
    <x v="1"/>
    <s v="na"/>
    <n v="0"/>
    <s v="na"/>
    <n v="6839145106.8616419"/>
    <n v="0"/>
    <n v="0"/>
    <n v="0"/>
    <n v="0"/>
    <n v="0"/>
    <n v="0"/>
    <n v="0"/>
    <n v="0"/>
    <n v="0"/>
    <n v="0"/>
    <n v="0"/>
    <n v="0"/>
    <n v="0"/>
    <n v="0"/>
    <x v="0"/>
    <s v="na"/>
    <s v="na"/>
    <s v="na"/>
    <s v="na"/>
    <s v="na"/>
    <s v="na"/>
    <n v="0"/>
    <s v="na"/>
    <s v="na"/>
    <s v="na"/>
    <s v="na"/>
    <s v="na"/>
    <s v="na"/>
    <x v="11"/>
    <s v="na"/>
    <s v="na"/>
    <s v="na"/>
    <s v="na"/>
    <s v="na"/>
    <s v="na"/>
    <s v="na"/>
    <s v="na"/>
    <s v="na"/>
    <s v="na"/>
    <s v="na"/>
    <s v="na"/>
    <s v="na"/>
    <s v="na"/>
    <s v="na"/>
    <s v="na"/>
    <s v="na"/>
    <s v="na"/>
    <n v="0"/>
    <n v="0"/>
    <n v="0"/>
    <n v="0"/>
    <n v="0"/>
    <n v="0"/>
  </r>
  <r>
    <n v="112"/>
    <s v="LTU"/>
    <s v="Lithuania"/>
    <x v="0"/>
    <s v="High income"/>
    <x v="1"/>
    <x v="0"/>
    <x v="0"/>
    <n v="2017"/>
    <n v="0"/>
    <s v="na"/>
    <n v="54639938780.235207"/>
    <n v="0"/>
    <n v="0"/>
    <n v="0"/>
    <n v="0"/>
    <n v="0"/>
    <n v="0"/>
    <n v="0"/>
    <n v="0"/>
    <n v="0"/>
    <n v="0"/>
    <n v="0"/>
    <n v="0"/>
    <n v="0"/>
    <n v="0"/>
    <x v="0"/>
    <s v="na"/>
    <s v="na"/>
    <s v="na"/>
    <s v="na"/>
    <s v="na"/>
    <s v="na"/>
    <n v="0"/>
    <s v="na"/>
    <s v="na"/>
    <s v="na"/>
    <n v="1039964000"/>
    <n v="309140000"/>
    <n v="-730824000"/>
    <x v="29"/>
    <n v="35759416000"/>
    <n v="33150772000"/>
    <n v="-2608644000"/>
    <n v="68910188000"/>
    <n v="2.9082242282703945E-2"/>
    <n v="9.3252730283324928E-3"/>
    <n v="1.4311953604582534E-2"/>
    <n v="1.6022991330934634E-2"/>
    <n v="1.957771469147639E-2"/>
    <n v="2.4690803652364424E-2"/>
    <s v="na"/>
    <s v="na"/>
    <s v="na"/>
    <s v="na"/>
    <s v="na"/>
    <s v="na"/>
    <s v="na"/>
    <s v="na"/>
    <n v="0"/>
    <n v="0"/>
    <n v="0"/>
    <n v="0"/>
    <n v="0"/>
    <n v="0"/>
  </r>
  <r>
    <n v="114"/>
    <s v="MAC"/>
    <s v="Macao, China"/>
    <x v="4"/>
    <s v="High income"/>
    <x v="1"/>
    <x v="2"/>
    <x v="1"/>
    <s v="na"/>
    <n v="0"/>
    <s v="na"/>
    <n v="55153707948.702072"/>
    <n v="0"/>
    <n v="0"/>
    <n v="0"/>
    <n v="0"/>
    <n v="0"/>
    <n v="0"/>
    <n v="0"/>
    <n v="0"/>
    <n v="0"/>
    <n v="0"/>
    <n v="0"/>
    <n v="0"/>
    <n v="0"/>
    <n v="0"/>
    <x v="0"/>
    <s v="na"/>
    <s v="na"/>
    <s v="na"/>
    <s v="na"/>
    <s v="na"/>
    <s v="na"/>
    <n v="0"/>
    <s v="na"/>
    <s v="na"/>
    <s v="na"/>
    <n v="3982601000"/>
    <n v="106308000"/>
    <n v="-3876293000"/>
    <x v="30"/>
    <n v="12024019000"/>
    <n v="1023983000"/>
    <n v="-11000036000"/>
    <n v="13048002000"/>
    <n v="0.33122045133162215"/>
    <n v="0.1038181297931704"/>
    <n v="4.8123605281646343E-3"/>
    <n v="4.9492876763245332E-4"/>
    <n v="0.31337433884513505"/>
    <n v="7.41366111559182E-2"/>
    <s v="na"/>
    <s v="na"/>
    <s v="na"/>
    <s v="na"/>
    <s v="na"/>
    <s v="na"/>
    <s v="na"/>
    <s v="na"/>
    <n v="0"/>
    <n v="0"/>
    <n v="0"/>
    <n v="0"/>
    <n v="0"/>
    <n v="0"/>
  </r>
  <r>
    <n v="121"/>
    <s v="MHL"/>
    <s v="Marshall Islands"/>
    <x v="4"/>
    <s v="Upper middle income"/>
    <x v="1"/>
    <x v="0"/>
    <x v="1"/>
    <s v="na"/>
    <n v="2"/>
    <s v="na"/>
    <n v="239462200"/>
    <n v="0"/>
    <n v="0"/>
    <n v="0"/>
    <n v="0"/>
    <n v="0"/>
    <n v="0"/>
    <n v="0"/>
    <n v="0"/>
    <n v="0"/>
    <n v="0"/>
    <n v="0"/>
    <n v="0"/>
    <n v="0"/>
    <n v="0"/>
    <x v="0"/>
    <s v="na"/>
    <s v="na"/>
    <s v="na"/>
    <s v="na"/>
    <s v="na"/>
    <s v="na"/>
    <n v="0"/>
    <s v="na"/>
    <s v="na"/>
    <s v="na"/>
    <n v="2384715000"/>
    <n v="45069000"/>
    <n v="-2339646000"/>
    <x v="31"/>
    <n v="11958628000"/>
    <n v="1255808000"/>
    <n v="-10702820000"/>
    <n v="13214436000"/>
    <n v="0.19941376218074514"/>
    <n v="3.5888447915604936E-2"/>
    <n v="4.7861891567373928E-3"/>
    <n v="6.0697834419416719E-4"/>
    <n v="0.18387345475811454"/>
    <n v="10.146837371409767"/>
    <n v="41"/>
    <n v="3430241540.1422386"/>
    <n v="0"/>
    <n v="0"/>
    <n v="41"/>
    <n v="3430241540.1422386"/>
    <n v="0"/>
    <n v="0"/>
    <n v="14.324772511662545"/>
    <n v="0"/>
    <n v="14.324772511662545"/>
    <n v="0"/>
    <n v="201778914.12601402"/>
    <n v="0.84263367715662019"/>
  </r>
  <r>
    <n v="125"/>
    <s v="FSM"/>
    <s v="Micronesia"/>
    <x v="4"/>
    <s v="Lower middle income"/>
    <x v="1"/>
    <x v="0"/>
    <x v="0"/>
    <n v="2018"/>
    <n v="0"/>
    <s v="na"/>
    <n v="408060600"/>
    <n v="0"/>
    <n v="0"/>
    <n v="0"/>
    <n v="0"/>
    <n v="0"/>
    <n v="0"/>
    <n v="0"/>
    <n v="0"/>
    <n v="0"/>
    <n v="0"/>
    <n v="0"/>
    <n v="0"/>
    <n v="0"/>
    <n v="0"/>
    <x v="0"/>
    <s v="na"/>
    <s v="na"/>
    <s v="na"/>
    <s v="na"/>
    <s v="na"/>
    <s v="na"/>
    <n v="0"/>
    <s v="na"/>
    <s v="na"/>
    <s v="na"/>
    <n v="18739000"/>
    <n v="12575000"/>
    <n v="-6164000"/>
    <x v="32"/>
    <n v="129962000"/>
    <n v="143091000"/>
    <n v="13129000"/>
    <n v="273053000"/>
    <n v="0.14418830119573414"/>
    <n v="8.7881138576150847E-2"/>
    <n v="5.2014555113505077E-5"/>
    <n v="6.9161160184588383E-5"/>
    <n v="0.1146810326200408"/>
    <n v="7.6738602060576297E-2"/>
    <n v="142"/>
    <n v="221465776.44672751"/>
    <n v="129"/>
    <n v="191438044.71543893"/>
    <n v="12"/>
    <n v="3437802.311718151"/>
    <n v="1"/>
    <n v="26589929.419570401"/>
    <n v="0.54272766458395516"/>
    <n v="0.46914121264204123"/>
    <n v="8.4247347372379267E-3"/>
    <n v="6.5161717204675978E-2"/>
    <n v="13027398.614513382"/>
    <n v="3.1925156740232656E-2"/>
  </r>
  <r>
    <n v="133"/>
    <s v="NRU"/>
    <s v="Nauru"/>
    <x v="4"/>
    <s v="High income"/>
    <x v="1"/>
    <x v="0"/>
    <x v="1"/>
    <s v="na"/>
    <n v="2"/>
    <s v="na"/>
    <n v="118223430.12444571"/>
    <n v="0"/>
    <n v="0"/>
    <n v="0"/>
    <n v="0"/>
    <n v="0"/>
    <n v="0"/>
    <n v="0"/>
    <n v="0"/>
    <n v="0"/>
    <n v="0"/>
    <n v="0"/>
    <n v="0"/>
    <n v="0"/>
    <n v="0"/>
    <x v="0"/>
    <s v="na"/>
    <s v="na"/>
    <s v="na"/>
    <s v="na"/>
    <s v="na"/>
    <s v="na"/>
    <n v="0"/>
    <s v="na"/>
    <s v="na"/>
    <s v="na"/>
    <n v="1222000"/>
    <n v="23000"/>
    <n v="-1199000"/>
    <x v="33"/>
    <n v="96779000"/>
    <n v="34450000"/>
    <n v="-62329000"/>
    <n v="131229000"/>
    <n v="1.2626706206925057E-2"/>
    <n v="6.6763425253991288E-4"/>
    <n v="3.8733757785582768E-5"/>
    <n v="1.665095616327421E-5"/>
    <n v="9.4872322428731452E-3"/>
    <n v="1.0530907441016335E-2"/>
    <n v="13"/>
    <n v="142252708.66030189"/>
    <n v="12"/>
    <n v="142252708.66030189"/>
    <n v="0"/>
    <n v="0"/>
    <n v="1"/>
    <n v="0"/>
    <n v="1.2032530989040178"/>
    <n v="1.2032530989040178"/>
    <n v="0"/>
    <n v="0"/>
    <n v="8367806.3917824645"/>
    <n v="7.0779594053177505E-2"/>
  </r>
  <r>
    <n v="136"/>
    <s v="NCL"/>
    <s v="New Caledonia"/>
    <x v="4"/>
    <s v="High income"/>
    <x v="1"/>
    <x v="0"/>
    <x v="1"/>
    <s v="na"/>
    <n v="0"/>
    <s v="na"/>
    <n v="2682347064.3641982"/>
    <n v="0"/>
    <n v="0"/>
    <n v="0"/>
    <n v="0"/>
    <n v="0"/>
    <n v="0"/>
    <n v="0"/>
    <n v="0"/>
    <n v="0"/>
    <n v="0"/>
    <n v="0"/>
    <n v="0"/>
    <n v="0"/>
    <n v="0"/>
    <x v="0"/>
    <s v="na"/>
    <s v="na"/>
    <s v="na"/>
    <s v="na"/>
    <s v="na"/>
    <s v="na"/>
    <n v="0"/>
    <s v="na"/>
    <s v="na"/>
    <s v="na"/>
    <n v="155403000"/>
    <n v="1040695000"/>
    <n v="885292000"/>
    <x v="34"/>
    <n v="2551690000"/>
    <n v="1811254000"/>
    <n v="-740436000"/>
    <n v="4362944000"/>
    <n v="6.0901990445547852E-2"/>
    <n v="0.5745715399386282"/>
    <n v="1.021260215582861E-3"/>
    <n v="8.754458912788118E-4"/>
    <n v="0.27414929002068328"/>
    <n v="0.44591470503221903"/>
    <n v="0"/>
    <s v="na"/>
    <s v="na"/>
    <s v="na"/>
    <s v="na"/>
    <s v="na"/>
    <s v="na"/>
    <s v="na"/>
    <n v="0"/>
    <n v="0"/>
    <n v="0"/>
    <n v="0"/>
    <n v="0"/>
    <n v="0"/>
  </r>
  <r>
    <n v="141"/>
    <s v="NIU"/>
    <s v="Niue"/>
    <x v="4"/>
    <s v="Upper middle income"/>
    <x v="1"/>
    <x v="0"/>
    <x v="0"/>
    <n v="2018"/>
    <n v="0"/>
    <s v="na"/>
    <s v="na"/>
    <n v="0"/>
    <n v="0"/>
    <n v="0"/>
    <n v="0"/>
    <n v="0"/>
    <n v="0"/>
    <n v="0"/>
    <n v="0"/>
    <n v="0"/>
    <n v="0"/>
    <n v="0"/>
    <n v="0"/>
    <n v="0"/>
    <n v="0"/>
    <x v="0"/>
    <s v="na"/>
    <s v="na"/>
    <s v="na"/>
    <s v="na"/>
    <s v="na"/>
    <s v="na"/>
    <n v="0"/>
    <s v="na"/>
    <s v="na"/>
    <s v="na"/>
    <s v="na"/>
    <s v="na"/>
    <s v="na"/>
    <x v="11"/>
    <n v="0"/>
    <n v="64147000"/>
    <n v="64147000"/>
    <n v="64147000"/>
    <s v="na"/>
    <s v="na"/>
    <s v="na"/>
    <s v="na"/>
    <s v="na"/>
    <s v="na"/>
    <n v="23"/>
    <n v="23290162.04071331"/>
    <n v="22"/>
    <n v="23290162.04071331"/>
    <n v="0"/>
    <n v="0"/>
    <n v="1"/>
    <n v="0"/>
    <n v="0"/>
    <n v="0"/>
    <n v="0"/>
    <n v="0"/>
    <n v="1370009.5318066652"/>
    <n v="0"/>
  </r>
  <r>
    <n v="143"/>
    <s v="MNP"/>
    <s v="Northern Mariana Islands"/>
    <x v="4"/>
    <s v="High income"/>
    <x v="1"/>
    <x v="0"/>
    <x v="1"/>
    <s v="na"/>
    <n v="0"/>
    <s v="na"/>
    <n v="1182000000"/>
    <n v="0"/>
    <n v="0"/>
    <n v="0"/>
    <n v="0"/>
    <n v="0"/>
    <n v="0"/>
    <n v="0"/>
    <n v="0"/>
    <n v="0"/>
    <n v="0"/>
    <n v="0"/>
    <n v="0"/>
    <n v="0"/>
    <n v="0"/>
    <x v="0"/>
    <s v="na"/>
    <s v="na"/>
    <s v="na"/>
    <s v="na"/>
    <s v="na"/>
    <s v="na"/>
    <n v="0"/>
    <s v="na"/>
    <s v="na"/>
    <s v="na"/>
    <s v="na"/>
    <s v="na"/>
    <s v="na"/>
    <x v="11"/>
    <n v="170556000"/>
    <n v="4890000"/>
    <n v="-165666000"/>
    <n v="175446000"/>
    <s v="na"/>
    <s v="na"/>
    <s v="na"/>
    <s v="na"/>
    <s v="na"/>
    <s v="na"/>
    <n v="0"/>
    <s v="na"/>
    <s v="na"/>
    <s v="na"/>
    <s v="na"/>
    <s v="na"/>
    <s v="na"/>
    <s v="na"/>
    <n v="0"/>
    <n v="0"/>
    <n v="0"/>
    <n v="0"/>
    <n v="0"/>
    <n v="0"/>
  </r>
  <r>
    <n v="147"/>
    <s v="PLW"/>
    <s v="Palau"/>
    <x v="4"/>
    <s v="High income"/>
    <x v="1"/>
    <x v="0"/>
    <x v="1"/>
    <s v="na"/>
    <n v="2"/>
    <s v="na"/>
    <n v="268354900"/>
    <n v="0"/>
    <n v="0"/>
    <n v="0"/>
    <n v="0"/>
    <n v="0"/>
    <n v="0"/>
    <n v="0"/>
    <n v="0"/>
    <n v="0"/>
    <n v="0"/>
    <n v="0"/>
    <n v="0"/>
    <n v="0"/>
    <n v="0"/>
    <x v="0"/>
    <s v="na"/>
    <s v="na"/>
    <s v="na"/>
    <s v="na"/>
    <s v="na"/>
    <s v="na"/>
    <n v="0"/>
    <s v="na"/>
    <s v="na"/>
    <s v="na"/>
    <n v="18675000"/>
    <n v="59000"/>
    <n v="-18616000"/>
    <x v="35"/>
    <n v="110948000"/>
    <n v="22999000"/>
    <n v="-87949000"/>
    <n v="133947000"/>
    <n v="0.16832209683815841"/>
    <n v="2.5653289273446672E-3"/>
    <n v="4.4404601812323307E-5"/>
    <n v="1.1116265335243645E-5"/>
    <n v="0.13986128842004675"/>
    <n v="6.9810538208916625E-2"/>
    <n v="1"/>
    <n v="52148600.5662295"/>
    <n v="0"/>
    <n v="0"/>
    <n v="1"/>
    <n v="52148600.5662295"/>
    <n v="0"/>
    <n v="0"/>
    <n v="0.194326992226449"/>
    <n v="0"/>
    <n v="0.194326992226449"/>
    <n v="0"/>
    <n v="3067564.7391899708"/>
    <n v="1.1430999542732296E-2"/>
  </r>
  <r>
    <n v="148"/>
    <s v="PSE"/>
    <s v="Palestine"/>
    <x v="5"/>
    <s v="Lower middle income"/>
    <x v="1"/>
    <x v="0"/>
    <x v="1"/>
    <s v="na"/>
    <n v="0"/>
    <s v="na"/>
    <s v="na"/>
    <n v="0"/>
    <n v="0"/>
    <n v="0"/>
    <n v="0"/>
    <n v="0"/>
    <n v="0"/>
    <n v="0"/>
    <n v="0"/>
    <n v="0"/>
    <n v="0"/>
    <n v="0"/>
    <n v="0"/>
    <n v="0"/>
    <n v="0"/>
    <x v="0"/>
    <s v="na"/>
    <s v="na"/>
    <s v="na"/>
    <s v="na"/>
    <s v="na"/>
    <s v="na"/>
    <n v="0"/>
    <s v="na"/>
    <s v="na"/>
    <s v="na"/>
    <n v="447273"/>
    <n v="197"/>
    <n v="-447076"/>
    <x v="36"/>
    <n v="6613454000"/>
    <n v="1103808000"/>
    <n v="-5509646000"/>
    <n v="7717262000"/>
    <n v="6.763077205950174E-5"/>
    <n v="1.7847306777990375E-7"/>
    <n v="2.6468957662519089E-3"/>
    <n v="5.3351113557826939E-4"/>
    <n v="5.7982999670090246E-5"/>
    <s v="na"/>
    <n v="30"/>
    <n v="104933428.34413904"/>
    <n v="28"/>
    <n v="97805103.913600281"/>
    <n v="1"/>
    <n v="0"/>
    <n v="1"/>
    <n v="7128324.4305387596"/>
    <n v="0"/>
    <n v="0"/>
    <n v="0"/>
    <n v="0"/>
    <n v="6172554.6084787669"/>
    <n v="0"/>
  </r>
  <r>
    <n v="151"/>
    <s v="PRY"/>
    <s v="Paraguay"/>
    <x v="1"/>
    <s v="Upper middle income"/>
    <x v="1"/>
    <x v="0"/>
    <x v="1"/>
    <s v="na"/>
    <n v="2"/>
    <s v="na"/>
    <n v="37906944074.612778"/>
    <n v="0"/>
    <n v="0"/>
    <n v="0"/>
    <n v="0"/>
    <n v="0"/>
    <n v="0"/>
    <n v="0"/>
    <n v="0"/>
    <n v="0"/>
    <n v="0"/>
    <n v="0"/>
    <n v="0"/>
    <n v="0"/>
    <n v="0"/>
    <x v="0"/>
    <s v="na"/>
    <s v="na"/>
    <s v="na"/>
    <s v="na"/>
    <s v="na"/>
    <s v="na"/>
    <n v="0"/>
    <s v="na"/>
    <s v="na"/>
    <s v="na"/>
    <n v="1923749000"/>
    <n v="10749000"/>
    <n v="-1913000000"/>
    <x v="37"/>
    <n v="12187407000"/>
    <n v="7652036000"/>
    <n v="-4535371000"/>
    <n v="19839443000"/>
    <n v="0.15784727629101089"/>
    <n v="1.4047241805971639E-3"/>
    <n v="4.8777531362414984E-3"/>
    <n v="3.6985113496602654E-3"/>
    <n v="9.7507677004843335E-2"/>
    <n v="5.1032813307036837E-2"/>
    <n v="3"/>
    <n v="63904893.787608638"/>
    <n v="0"/>
    <n v="0"/>
    <n v="0"/>
    <n v="0"/>
    <n v="3"/>
    <n v="63904893.787608638"/>
    <n v="1.6858360743040571E-3"/>
    <n v="0"/>
    <n v="0"/>
    <n v="1.6858360743040571E-3"/>
    <n v="3759111.3992710966"/>
    <n v="9.9166827900238645E-5"/>
  </r>
  <r>
    <n v="156"/>
    <s v="PRI"/>
    <s v="Puerto Rico"/>
    <x v="1"/>
    <s v="High income"/>
    <x v="1"/>
    <x v="0"/>
    <x v="1"/>
    <s v="na"/>
    <n v="0"/>
    <s v="na"/>
    <n v="104914600000"/>
    <n v="0"/>
    <n v="0"/>
    <n v="0"/>
    <n v="0"/>
    <n v="0"/>
    <n v="0"/>
    <n v="0"/>
    <n v="0"/>
    <n v="0"/>
    <n v="0"/>
    <n v="0"/>
    <n v="0"/>
    <n v="0"/>
    <n v="0"/>
    <x v="0"/>
    <s v="na"/>
    <s v="na"/>
    <s v="na"/>
    <s v="na"/>
    <s v="na"/>
    <s v="na"/>
    <n v="0"/>
    <s v="na"/>
    <s v="na"/>
    <s v="na"/>
    <s v="na"/>
    <s v="na"/>
    <s v="na"/>
    <x v="11"/>
    <s v="na"/>
    <s v="na"/>
    <s v="na"/>
    <s v="na"/>
    <s v="na"/>
    <s v="na"/>
    <s v="na"/>
    <s v="na"/>
    <s v="na"/>
    <s v="na"/>
    <n v="0"/>
    <s v="na"/>
    <s v="na"/>
    <s v="na"/>
    <s v="na"/>
    <s v="na"/>
    <s v="na"/>
    <s v="na"/>
    <n v="0"/>
    <n v="0"/>
    <n v="0"/>
    <n v="0"/>
    <n v="0"/>
    <n v="0"/>
  </r>
  <r>
    <n v="161"/>
    <s v="KNA"/>
    <s v="Saint Kitts and Nevis"/>
    <x v="1"/>
    <s v="High income"/>
    <x v="1"/>
    <x v="0"/>
    <x v="1"/>
    <s v="na"/>
    <n v="2"/>
    <s v="na"/>
    <n v="1044711111.111111"/>
    <n v="0"/>
    <n v="0"/>
    <n v="0"/>
    <n v="0"/>
    <n v="0"/>
    <n v="0"/>
    <n v="0"/>
    <n v="0"/>
    <n v="0"/>
    <n v="0"/>
    <n v="0"/>
    <n v="0"/>
    <n v="0"/>
    <n v="0"/>
    <x v="0"/>
    <s v="na"/>
    <s v="na"/>
    <s v="na"/>
    <s v="na"/>
    <s v="na"/>
    <s v="na"/>
    <n v="0"/>
    <s v="na"/>
    <s v="na"/>
    <s v="na"/>
    <n v="9707000"/>
    <n v="363000"/>
    <n v="-9344000"/>
    <x v="38"/>
    <n v="335410000"/>
    <n v="78935000"/>
    <n v="-256475000"/>
    <n v="414345000"/>
    <n v="2.8940699442473392E-2"/>
    <n v="4.5987204662063727E-3"/>
    <n v="1.342407929288618E-4"/>
    <n v="3.8152198105894038E-5"/>
    <n v="2.4303418648710617E-2"/>
    <n v="9.6390283331915256E-3"/>
    <n v="0"/>
    <s v="na"/>
    <s v="na"/>
    <s v="na"/>
    <s v="na"/>
    <s v="na"/>
    <s v="na"/>
    <s v="na"/>
    <n v="0"/>
    <n v="0"/>
    <n v="0"/>
    <n v="0"/>
    <n v="0"/>
    <n v="0"/>
  </r>
  <r>
    <n v="162"/>
    <s v="LCA"/>
    <s v="Saint Lucia"/>
    <x v="1"/>
    <s v="Upper middle income"/>
    <x v="1"/>
    <x v="0"/>
    <x v="1"/>
    <s v="na"/>
    <n v="2"/>
    <s v="na"/>
    <n v="2122450629.6296294"/>
    <n v="0"/>
    <n v="0"/>
    <n v="0"/>
    <n v="0"/>
    <n v="0"/>
    <n v="0"/>
    <n v="0"/>
    <n v="0"/>
    <n v="0"/>
    <n v="0"/>
    <n v="0"/>
    <n v="0"/>
    <n v="0"/>
    <n v="0"/>
    <x v="0"/>
    <s v="na"/>
    <s v="na"/>
    <s v="na"/>
    <s v="na"/>
    <s v="na"/>
    <s v="na"/>
    <n v="0"/>
    <s v="na"/>
    <s v="na"/>
    <s v="na"/>
    <n v="33795"/>
    <n v="144"/>
    <n v="-33651"/>
    <x v="39"/>
    <n v="623793000"/>
    <n v="97256000"/>
    <n v="-526537000"/>
    <n v="721049000"/>
    <n v="5.4176625899937962E-5"/>
    <n v="1.4806284445175618E-6"/>
    <n v="2.4966001891259503E-4"/>
    <n v="4.7007413428603681E-5"/>
    <n v="4.7068923193846745E-5"/>
    <n v="1.5990477953271593E-5"/>
    <n v="15"/>
    <n v="71734350.612044483"/>
    <n v="13"/>
    <n v="71732153.988873303"/>
    <n v="2"/>
    <n v="2196.6231711774899"/>
    <n v="0"/>
    <n v="0"/>
    <n v="3.3797888917002618E-2"/>
    <n v="3.3796853970351558E-2"/>
    <n v="1.0349466510609971E-6"/>
    <n v="0"/>
    <n v="4219667.6830614405"/>
    <n v="1.9881111127648603E-3"/>
  </r>
  <r>
    <n v="163"/>
    <s v="VCT"/>
    <s v="Saint Vincent and the Grenadines"/>
    <x v="1"/>
    <s v="Upper middle income"/>
    <x v="1"/>
    <x v="0"/>
    <x v="1"/>
    <s v="na"/>
    <n v="2"/>
    <s v="na"/>
    <n v="824718518.51851845"/>
    <n v="0"/>
    <n v="0"/>
    <n v="0"/>
    <n v="0"/>
    <n v="0"/>
    <n v="0"/>
    <n v="0"/>
    <n v="0"/>
    <n v="0"/>
    <n v="0"/>
    <n v="0"/>
    <n v="0"/>
    <n v="0"/>
    <n v="0"/>
    <x v="0"/>
    <s v="na"/>
    <s v="na"/>
    <s v="na"/>
    <s v="na"/>
    <s v="na"/>
    <s v="na"/>
    <n v="0"/>
    <s v="na"/>
    <s v="na"/>
    <s v="na"/>
    <n v="21046000"/>
    <n v="2000"/>
    <n v="-21044000"/>
    <x v="40"/>
    <n v="335082000"/>
    <n v="40335000"/>
    <n v="-294747000"/>
    <n v="375417000"/>
    <n v="6.280850657451012E-2"/>
    <n v="4.9584727903805629E-5"/>
    <n v="1.341095178324703E-4"/>
    <n v="1.9495393812646307E-5"/>
    <n v="5.6065654991649283E-2"/>
    <n v="2.5521434922801945E-2"/>
    <n v="0"/>
    <s v="na"/>
    <s v="na"/>
    <s v="na"/>
    <s v="na"/>
    <s v="na"/>
    <s v="na"/>
    <s v="na"/>
    <n v="0"/>
    <n v="0"/>
    <n v="0"/>
    <n v="0"/>
    <n v="0"/>
    <n v="0"/>
  </r>
  <r>
    <n v="165"/>
    <s v="SMR"/>
    <s v="San Marino"/>
    <x v="0"/>
    <s v="High income"/>
    <x v="1"/>
    <x v="0"/>
    <x v="1"/>
    <s v="na"/>
    <n v="0"/>
    <s v="na"/>
    <n v="1616369645.9963503"/>
    <n v="0"/>
    <n v="0"/>
    <n v="0"/>
    <n v="0"/>
    <n v="0"/>
    <n v="0"/>
    <n v="0"/>
    <n v="0"/>
    <n v="0"/>
    <n v="0"/>
    <n v="0"/>
    <n v="0"/>
    <n v="0"/>
    <n v="0"/>
    <x v="0"/>
    <s v="na"/>
    <s v="na"/>
    <s v="na"/>
    <s v="na"/>
    <s v="na"/>
    <s v="na"/>
    <n v="0"/>
    <s v="na"/>
    <s v="na"/>
    <s v="na"/>
    <s v="na"/>
    <s v="na"/>
    <s v="na"/>
    <x v="11"/>
    <s v="na"/>
    <s v="na"/>
    <s v="na"/>
    <s v="na"/>
    <s v="na"/>
    <s v="na"/>
    <s v="na"/>
    <s v="na"/>
    <s v="na"/>
    <s v="na"/>
    <s v="na"/>
    <s v="na"/>
    <s v="na"/>
    <s v="na"/>
    <s v="na"/>
    <s v="na"/>
    <s v="na"/>
    <s v="na"/>
    <n v="0"/>
    <n v="0"/>
    <n v="0"/>
    <n v="0"/>
    <n v="0"/>
    <n v="0"/>
  </r>
  <r>
    <n v="170"/>
    <s v="SYC"/>
    <s v="Seychelles"/>
    <x v="3"/>
    <s v="High income"/>
    <x v="1"/>
    <x v="0"/>
    <x v="0"/>
    <n v="2018"/>
    <n v="0"/>
    <s v="na"/>
    <n v="1581380268.6428902"/>
    <n v="0"/>
    <n v="0"/>
    <n v="0"/>
    <n v="0"/>
    <n v="0"/>
    <n v="0"/>
    <n v="0"/>
    <n v="0"/>
    <n v="0"/>
    <n v="0"/>
    <n v="0"/>
    <n v="0"/>
    <n v="0"/>
    <n v="0"/>
    <x v="0"/>
    <s v="na"/>
    <s v="na"/>
    <s v="na"/>
    <s v="na"/>
    <s v="na"/>
    <s v="na"/>
    <n v="0"/>
    <s v="na"/>
    <s v="na"/>
    <s v="na"/>
    <n v="69050000"/>
    <n v="2769000"/>
    <n v="-66281000"/>
    <x v="41"/>
    <n v="1474528000"/>
    <n v="844891000"/>
    <n v="-629637000"/>
    <n v="2319419000"/>
    <n v="4.6828544456259905E-2"/>
    <n v="3.2773458351432316E-3"/>
    <n v="5.9014879674371286E-4"/>
    <n v="4.0836699575456925E-4"/>
    <n v="3.0964219918867612E-2"/>
    <n v="4.5415388963739672E-2"/>
    <n v="101"/>
    <n v="260039333.35075414"/>
    <n v="97"/>
    <n v="219442020.71796975"/>
    <n v="3"/>
    <n v="0"/>
    <n v="1"/>
    <n v="40597312.632784396"/>
    <n v="0.16443820534950448"/>
    <n v="0.13876613049326245"/>
    <n v="0"/>
    <n v="2.5672074856242021E-2"/>
    <n v="15296431.373573773"/>
    <n v="9.6728356087943806E-3"/>
  </r>
  <r>
    <n v="173"/>
    <s v="SXM"/>
    <s v="Sint Maarten (Dutch part)"/>
    <x v="1"/>
    <s v="High income"/>
    <x v="1"/>
    <x v="0"/>
    <x v="1"/>
    <s v="na"/>
    <n v="0"/>
    <s v="na"/>
    <n v="1185474860.3351955"/>
    <n v="0"/>
    <n v="0"/>
    <n v="0"/>
    <n v="0"/>
    <n v="0"/>
    <n v="0"/>
    <n v="0"/>
    <n v="0"/>
    <n v="0"/>
    <n v="0"/>
    <n v="0"/>
    <n v="0"/>
    <n v="0"/>
    <n v="0"/>
    <x v="0"/>
    <s v="na"/>
    <s v="na"/>
    <s v="na"/>
    <s v="na"/>
    <s v="na"/>
    <s v="na"/>
    <n v="0"/>
    <s v="na"/>
    <s v="na"/>
    <s v="na"/>
    <n v="6583000"/>
    <n v="7000"/>
    <n v="-6576000"/>
    <x v="42"/>
    <n v="138306000"/>
    <n v="18520000"/>
    <n v="-119786000"/>
    <n v="156826000"/>
    <n v="4.7597356586120632E-2"/>
    <n v="3.7796976241900648E-4"/>
    <n v="5.5354065492439589E-5"/>
    <n v="8.9513993655686027E-6"/>
    <n v="4.2021093441138586E-2"/>
    <n v="5.5589538171536288E-3"/>
    <n v="1"/>
    <n v="105275"/>
    <n v="0"/>
    <n v="0"/>
    <n v="1"/>
    <n v="105275"/>
    <n v="0"/>
    <n v="0"/>
    <n v="8.8804076343072569E-5"/>
    <n v="0"/>
    <n v="8.8804076343072569E-5"/>
    <n v="0"/>
    <n v="6192.6470588235297"/>
    <n v="5.223769196651328E-6"/>
  </r>
  <r>
    <n v="174"/>
    <s v="SVK"/>
    <s v="Slovakia"/>
    <x v="0"/>
    <s v="High income"/>
    <x v="1"/>
    <x v="0"/>
    <x v="0"/>
    <n v="2015"/>
    <n v="0"/>
    <s v="na"/>
    <n v="105119160234.11748"/>
    <n v="0"/>
    <n v="0"/>
    <n v="0"/>
    <n v="0"/>
    <n v="0"/>
    <n v="0"/>
    <n v="0"/>
    <n v="0"/>
    <n v="0"/>
    <n v="0"/>
    <n v="0"/>
    <n v="0"/>
    <n v="0"/>
    <n v="0"/>
    <x v="0"/>
    <s v="na"/>
    <s v="na"/>
    <s v="na"/>
    <s v="na"/>
    <s v="na"/>
    <s v="na"/>
    <n v="0"/>
    <s v="na"/>
    <s v="na"/>
    <s v="na"/>
    <n v="5784117000"/>
    <n v="1898518000"/>
    <n v="-3885599000"/>
    <x v="43"/>
    <n v="90908109000"/>
    <n v="89909085000"/>
    <n v="-999024000"/>
    <n v="180817194000"/>
    <n v="6.3625974224147591E-2"/>
    <n v="2.1115975098623237E-2"/>
    <n v="3.6384057230921557E-2"/>
    <n v="4.3456378316838747E-2"/>
    <n v="4.2488409592286891E-2"/>
    <n v="7.3085011171032208E-2"/>
    <s v="na"/>
    <s v="na"/>
    <s v="na"/>
    <s v="na"/>
    <s v="na"/>
    <s v="na"/>
    <s v="na"/>
    <s v="na"/>
    <n v="0"/>
    <n v="0"/>
    <n v="0"/>
    <n v="0"/>
    <n v="0"/>
    <n v="0"/>
  </r>
  <r>
    <n v="177"/>
    <s v="SOM"/>
    <s v="Somalia"/>
    <x v="3"/>
    <s v="Low income"/>
    <x v="1"/>
    <x v="0"/>
    <x v="0"/>
    <n v="2015"/>
    <n v="0"/>
    <s v="na"/>
    <n v="4942319040.6982193"/>
    <n v="0"/>
    <n v="0"/>
    <n v="0"/>
    <n v="0"/>
    <n v="0"/>
    <n v="0"/>
    <n v="0"/>
    <n v="0"/>
    <n v="0"/>
    <n v="0"/>
    <n v="0"/>
    <n v="0"/>
    <n v="0"/>
    <n v="0"/>
    <x v="0"/>
    <s v="na"/>
    <s v="na"/>
    <s v="na"/>
    <s v="na"/>
    <s v="na"/>
    <s v="na"/>
    <n v="0"/>
    <s v="na"/>
    <s v="na"/>
    <s v="na"/>
    <n v="732058000"/>
    <n v="18638000"/>
    <n v="-713420000"/>
    <x v="44"/>
    <n v="3893775000"/>
    <n v="417976000"/>
    <n v="-3475799000"/>
    <n v="4311751000"/>
    <n v="0.1880072680111203"/>
    <n v="4.4591076999636339E-2"/>
    <n v="1.5584014891821319E-3"/>
    <n v="2.0202322360814812E-4"/>
    <n v="0.17410467348415992"/>
    <n v="0.15189144889641654"/>
    <n v="50"/>
    <n v="57178560.804101512"/>
    <n v="46"/>
    <n v="57178560.804101512"/>
    <n v="0"/>
    <n v="0"/>
    <n v="4"/>
    <n v="0"/>
    <n v="1.1569176399430435E-2"/>
    <n v="1.1569176399430435E-2"/>
    <n v="0"/>
    <n v="0"/>
    <n v="3363444.7531824419"/>
    <n v="6.8053978820179037E-4"/>
  </r>
  <r>
    <n v="182"/>
    <s v="MAF"/>
    <s v="St. Martin (French part)"/>
    <x v="1"/>
    <s v="High income"/>
    <x v="1"/>
    <x v="0"/>
    <x v="1"/>
    <s v="na"/>
    <n v="0"/>
    <s v="na"/>
    <s v="na"/>
    <n v="0"/>
    <n v="0"/>
    <n v="0"/>
    <n v="0"/>
    <n v="0"/>
    <n v="0"/>
    <n v="0"/>
    <n v="0"/>
    <n v="0"/>
    <n v="0"/>
    <n v="0"/>
    <n v="0"/>
    <n v="0"/>
    <n v="0"/>
    <x v="0"/>
    <s v="na"/>
    <s v="na"/>
    <s v="na"/>
    <s v="na"/>
    <s v="na"/>
    <s v="na"/>
    <n v="0"/>
    <s v="na"/>
    <s v="na"/>
    <s v="na"/>
    <s v="na"/>
    <s v="na"/>
    <s v="na"/>
    <x v="11"/>
    <s v="na"/>
    <s v="na"/>
    <s v="na"/>
    <s v="na"/>
    <s v="na"/>
    <s v="na"/>
    <s v="na"/>
    <s v="na"/>
    <s v="na"/>
    <s v="na"/>
    <n v="0"/>
    <s v="na"/>
    <s v="na"/>
    <s v="na"/>
    <s v="na"/>
    <s v="na"/>
    <s v="na"/>
    <s v="na"/>
    <n v="0"/>
    <n v="0"/>
    <n v="0"/>
    <n v="0"/>
    <n v="0"/>
    <n v="0"/>
  </r>
  <r>
    <n v="184"/>
    <s v="SUR"/>
    <s v="Suriname"/>
    <x v="1"/>
    <s v="Upper middle income"/>
    <x v="1"/>
    <x v="0"/>
    <x v="0"/>
    <n v="2018"/>
    <n v="0"/>
    <s v="na"/>
    <n v="4221373022.257978"/>
    <n v="0"/>
    <n v="0"/>
    <n v="0"/>
    <n v="0"/>
    <n v="0"/>
    <n v="0"/>
    <n v="0"/>
    <n v="0"/>
    <n v="0"/>
    <n v="0"/>
    <n v="0"/>
    <n v="0"/>
    <n v="0"/>
    <n v="0"/>
    <x v="0"/>
    <s v="na"/>
    <s v="na"/>
    <s v="na"/>
    <s v="na"/>
    <s v="na"/>
    <s v="na"/>
    <n v="0"/>
    <s v="na"/>
    <s v="na"/>
    <s v="na"/>
    <n v="127267000"/>
    <n v="24583000"/>
    <n v="-102684000"/>
    <x v="45"/>
    <n v="1711450000"/>
    <n v="1460966000"/>
    <n v="-250484000"/>
    <n v="3172416000"/>
    <n v="7.43620906249087E-2"/>
    <n v="1.6826538057696072E-2"/>
    <n v="6.8497184060731817E-4"/>
    <n v="7.0613877567588012E-4"/>
    <n v="4.7865727571667779E-2"/>
    <n v="3.5971708541117427E-2"/>
    <n v="63"/>
    <n v="1010006165.5037841"/>
    <n v="53"/>
    <n v="478905440.44215947"/>
    <n v="8"/>
    <n v="482517631.5506351"/>
    <n v="2"/>
    <n v="48583093.510989398"/>
    <n v="0.23926010806871079"/>
    <n v="0.11344779007139172"/>
    <n v="0.11430348112011678"/>
    <n v="1.1508836877202265E-2"/>
    <n v="59412127.382575534"/>
    <n v="1.4074124004041811E-2"/>
  </r>
  <r>
    <n v="194"/>
    <s v="TON"/>
    <s v="Tonga"/>
    <x v="4"/>
    <s v="Upper middle income"/>
    <x v="1"/>
    <x v="0"/>
    <x v="0"/>
    <n v="2018"/>
    <n v="0"/>
    <s v="na"/>
    <n v="512350059.42162949"/>
    <n v="0"/>
    <n v="0"/>
    <n v="0"/>
    <n v="0"/>
    <n v="0"/>
    <n v="0"/>
    <n v="0"/>
    <n v="0"/>
    <n v="0"/>
    <n v="0"/>
    <n v="0"/>
    <n v="0"/>
    <n v="0"/>
    <n v="0"/>
    <x v="2"/>
    <n v="0"/>
    <n v="0"/>
    <n v="0"/>
    <n v="0"/>
    <n v="0"/>
    <n v="0"/>
    <n v="0"/>
    <n v="0"/>
    <n v="0"/>
    <n v="0"/>
    <n v="29475000"/>
    <n v="130000"/>
    <n v="-29345000"/>
    <x v="46"/>
    <n v="212354000"/>
    <n v="16206000"/>
    <n v="-196148000"/>
    <n v="228560000"/>
    <n v="0.13880124697439181"/>
    <n v="8.0217203504874737E-3"/>
    <n v="8.499021896072127E-5"/>
    <n v="7.832957781771317E-6"/>
    <n v="0.12952835141757088"/>
    <n v="5.7782758985955508E-2"/>
    <n v="110"/>
    <n v="450695785.95466006"/>
    <n v="102"/>
    <n v="374120372.21634734"/>
    <n v="6"/>
    <n v="76575413.738312721"/>
    <n v="2"/>
    <n v="0"/>
    <n v="0.87966377219401837"/>
    <n v="0.73020460393559072"/>
    <n v="0.14945916825842764"/>
    <n v="0"/>
    <n v="26511516.820862357"/>
    <n v="5.1744927776118728E-2"/>
  </r>
  <r>
    <n v="199"/>
    <s v="TCA"/>
    <s v="Turks and Caicos Islands"/>
    <x v="1"/>
    <s v="High income"/>
    <x v="1"/>
    <x v="0"/>
    <x v="1"/>
    <s v="na"/>
    <n v="0"/>
    <s v="na"/>
    <n v="1197415000"/>
    <n v="0"/>
    <n v="0"/>
    <n v="0"/>
    <n v="0"/>
    <n v="0"/>
    <n v="0"/>
    <n v="0"/>
    <n v="0"/>
    <n v="0"/>
    <n v="0"/>
    <n v="0"/>
    <n v="0"/>
    <n v="0"/>
    <n v="0"/>
    <x v="0"/>
    <s v="na"/>
    <s v="na"/>
    <s v="na"/>
    <s v="na"/>
    <s v="na"/>
    <s v="na"/>
    <n v="0"/>
    <s v="na"/>
    <s v="na"/>
    <s v="na"/>
    <n v="3023000"/>
    <n v="5000"/>
    <n v="-3018000"/>
    <x v="47"/>
    <n v="425717000"/>
    <n v="172506000"/>
    <n v="-253211000"/>
    <n v="598223000"/>
    <n v="7.1009614368230537E-3"/>
    <n v="2.8984499089886727E-5"/>
    <n v="1.7038426893442729E-4"/>
    <n v="8.3378515062460998E-5"/>
    <n v="5.061657609286169E-3"/>
    <n v="2.5287807485291232E-3"/>
    <n v="0"/>
    <s v="na"/>
    <s v="na"/>
    <s v="na"/>
    <s v="na"/>
    <s v="na"/>
    <s v="na"/>
    <s v="na"/>
    <n v="0"/>
    <n v="0"/>
    <n v="0"/>
    <n v="0"/>
    <n v="0"/>
    <n v="0"/>
  </r>
  <r>
    <n v="200"/>
    <s v="TUV"/>
    <s v="Tuvalu"/>
    <x v="4"/>
    <s v="Upper middle income"/>
    <x v="1"/>
    <x v="0"/>
    <x v="1"/>
    <s v="na"/>
    <n v="2"/>
    <s v="na"/>
    <n v="47271463.329857491"/>
    <n v="0"/>
    <n v="0"/>
    <n v="0"/>
    <n v="0"/>
    <n v="0"/>
    <n v="0"/>
    <n v="0"/>
    <n v="0"/>
    <n v="0"/>
    <n v="0"/>
    <n v="0"/>
    <n v="0"/>
    <n v="0"/>
    <n v="0"/>
    <x v="0"/>
    <s v="na"/>
    <s v="na"/>
    <s v="na"/>
    <s v="na"/>
    <s v="na"/>
    <s v="na"/>
    <n v="0"/>
    <s v="na"/>
    <s v="na"/>
    <s v="na"/>
    <n v="21737000"/>
    <n v="26000"/>
    <n v="-21711000"/>
    <x v="48"/>
    <n v="90616000"/>
    <n v="20368000"/>
    <n v="-70248000"/>
    <n v="110984000"/>
    <n v="0.23988037432682971"/>
    <n v="1.2765121759622938E-3"/>
    <n v="3.6267146751861128E-5"/>
    <n v="9.8446059545303095E-6"/>
    <n v="0.19609132847978086"/>
    <n v="0.46038346323529411"/>
    <n v="0"/>
    <s v="na"/>
    <s v="na"/>
    <s v="na"/>
    <s v="na"/>
    <s v="na"/>
    <s v="na"/>
    <s v="na"/>
    <n v="0"/>
    <n v="0"/>
    <n v="0"/>
    <n v="0"/>
    <n v="0"/>
    <n v="0"/>
  </r>
  <r>
    <n v="208"/>
    <s v="VUT"/>
    <s v="Vanuatu"/>
    <x v="4"/>
    <s v="Lower middle income"/>
    <x v="1"/>
    <x v="0"/>
    <x v="0"/>
    <n v="2018"/>
    <n v="1"/>
    <n v="2004"/>
    <n v="930337960.03747845"/>
    <n v="0"/>
    <n v="0"/>
    <n v="0"/>
    <n v="0"/>
    <n v="0"/>
    <n v="0"/>
    <n v="0"/>
    <n v="0"/>
    <n v="0"/>
    <n v="0"/>
    <n v="0"/>
    <n v="0"/>
    <n v="0"/>
    <n v="0"/>
    <x v="2"/>
    <n v="0"/>
    <n v="0"/>
    <n v="0"/>
    <n v="0"/>
    <n v="0"/>
    <n v="0"/>
    <n v="0"/>
    <n v="0"/>
    <n v="0"/>
    <n v="0"/>
    <n v="76761000"/>
    <n v="14655000"/>
    <n v="-62106000"/>
    <x v="49"/>
    <n v="286016000"/>
    <n v="173228000"/>
    <n v="-112788000"/>
    <n v="459244000"/>
    <n v="0.26838009062430074"/>
    <n v="8.459948738079294E-2"/>
    <n v="1.1447188405337152E-4"/>
    <n v="8.3727484303386504E-5"/>
    <n v="0.19905758159061415"/>
    <n v="9.8261066329398544E-2"/>
    <n v="120"/>
    <n v="555617259.93362021"/>
    <n v="108"/>
    <n v="390590587.29028279"/>
    <n v="9"/>
    <n v="78704.611487802802"/>
    <n v="3"/>
    <n v="164947968.03184959"/>
    <n v="0.59722088509775229"/>
    <n v="0.41983731081396264"/>
    <n v="8.4597871814917882E-5"/>
    <n v="0.17729897641197476"/>
    <n v="32683368.231389426"/>
    <n v="3.5130640299867788E-2"/>
  </r>
  <r>
    <n v="209"/>
    <s v="VAT"/>
    <s v="Vaticano"/>
    <x v="0"/>
    <s v="na"/>
    <x v="1"/>
    <x v="0"/>
    <x v="1"/>
    <s v="na"/>
    <n v="2"/>
    <s v="na"/>
    <s v="na"/>
    <n v="0"/>
    <n v="0"/>
    <n v="0"/>
    <n v="0"/>
    <n v="0"/>
    <n v="0"/>
    <n v="0"/>
    <n v="0"/>
    <n v="0"/>
    <n v="0"/>
    <n v="0"/>
    <n v="0"/>
    <n v="0"/>
    <n v="0"/>
    <x v="0"/>
    <s v="na"/>
    <s v="na"/>
    <s v="na"/>
    <s v="na"/>
    <s v="na"/>
    <s v="na"/>
    <n v="0"/>
    <s v="na"/>
    <s v="na"/>
    <s v="na"/>
    <s v="na"/>
    <s v="na"/>
    <s v="na"/>
    <x v="11"/>
    <s v="na"/>
    <s v="na"/>
    <s v="na"/>
    <s v="na"/>
    <s v="na"/>
    <s v="na"/>
    <s v="na"/>
    <s v="na"/>
    <s v="na"/>
    <s v="na"/>
    <s v="na"/>
    <s v="na"/>
    <s v="na"/>
    <s v="na"/>
    <s v="na"/>
    <s v="na"/>
    <s v="na"/>
    <s v="na"/>
    <n v="0"/>
    <n v="0"/>
    <n v="0"/>
    <n v="0"/>
    <n v="0"/>
    <n v="0"/>
  </r>
  <r>
    <n v="212"/>
    <s v="VIR"/>
    <s v="Virgin Islands (U.S.)"/>
    <x v="1"/>
    <s v="High income"/>
    <x v="1"/>
    <x v="0"/>
    <x v="1"/>
    <s v="na"/>
    <n v="0"/>
    <s v="na"/>
    <n v="3984000000"/>
    <n v="0"/>
    <n v="0"/>
    <n v="0"/>
    <n v="0"/>
    <n v="0"/>
    <n v="0"/>
    <n v="0"/>
    <n v="0"/>
    <n v="0"/>
    <n v="0"/>
    <n v="0"/>
    <n v="0"/>
    <n v="0"/>
    <n v="0"/>
    <x v="0"/>
    <s v="na"/>
    <s v="na"/>
    <s v="na"/>
    <s v="na"/>
    <s v="na"/>
    <s v="na"/>
    <n v="0"/>
    <s v="na"/>
    <s v="na"/>
    <s v="na"/>
    <s v="na"/>
    <s v="na"/>
    <s v="na"/>
    <x v="11"/>
    <s v="na"/>
    <s v="na"/>
    <s v="na"/>
    <s v="na"/>
    <s v="na"/>
    <s v="na"/>
    <s v="na"/>
    <s v="na"/>
    <s v="na"/>
    <s v="na"/>
    <n v="0"/>
    <s v="na"/>
    <s v="na"/>
    <s v="na"/>
    <s v="na"/>
    <s v="na"/>
    <s v="na"/>
    <s v="na"/>
    <n v="0"/>
    <n v="0"/>
    <n v="0"/>
    <n v="0"/>
    <n v="0"/>
    <n v="0"/>
  </r>
  <r>
    <n v="213"/>
    <s v="ESH"/>
    <s v="Western Sahara"/>
    <x v="5"/>
    <s v="na"/>
    <x v="1"/>
    <x v="0"/>
    <x v="1"/>
    <s v="na"/>
    <n v="0"/>
    <s v="na"/>
    <s v="na"/>
    <n v="0"/>
    <n v="0"/>
    <n v="0"/>
    <n v="0"/>
    <n v="0"/>
    <n v="0"/>
    <n v="0"/>
    <n v="0"/>
    <n v="0"/>
    <n v="0"/>
    <n v="0"/>
    <n v="0"/>
    <n v="0"/>
    <n v="0"/>
    <x v="0"/>
    <s v="na"/>
    <s v="na"/>
    <s v="na"/>
    <s v="na"/>
    <s v="na"/>
    <s v="na"/>
    <n v="0"/>
    <s v="na"/>
    <s v="na"/>
    <s v="na"/>
    <n v="72000"/>
    <n v="0"/>
    <n v="-72000"/>
    <x v="50"/>
    <n v="0"/>
    <n v="3213000"/>
    <n v="3213000"/>
    <n v="3213000"/>
    <s v="na"/>
    <n v="0"/>
    <s v="na"/>
    <s v="na"/>
    <n v="2.2408963585434174E-2"/>
    <s v="na"/>
    <s v="na"/>
    <s v="na"/>
    <s v="na"/>
    <s v="na"/>
    <s v="na"/>
    <s v="na"/>
    <s v="na"/>
    <s v="na"/>
    <n v="0"/>
    <n v="0"/>
    <n v="0"/>
    <n v="0"/>
    <n v="0"/>
    <n v="0"/>
  </r>
  <r>
    <n v="108"/>
    <s v="LSO"/>
    <s v="Lesotho"/>
    <x v="3"/>
    <s v="Lower middle income"/>
    <x v="1"/>
    <x v="0"/>
    <x v="0"/>
    <n v="2019"/>
    <n v="0"/>
    <s v="na"/>
    <n v="2366213068.575067"/>
    <n v="0"/>
    <n v="0"/>
    <n v="1"/>
    <n v="100000000"/>
    <n v="1"/>
    <n v="100000000"/>
    <n v="0"/>
    <n v="4.2261621038303186E-2"/>
    <n v="4.2261621038303186E-2"/>
    <n v="0"/>
    <n v="1.2576401639962775E-4"/>
    <n v="4.6667257785265281E-5"/>
    <n v="5882352.9411764704"/>
    <n v="2.4859777081354816E-3"/>
    <x v="0"/>
    <s v="na"/>
    <s v="na"/>
    <s v="na"/>
    <s v="na"/>
    <s v="na"/>
    <s v="na"/>
    <n v="0"/>
    <s v="na"/>
    <s v="na"/>
    <s v="na"/>
    <n v="84452000"/>
    <n v="17745000"/>
    <n v="-66707000"/>
    <x v="51"/>
    <n v="1369285000"/>
    <n v="645750000"/>
    <n v="-723535000"/>
    <n v="2015035000"/>
    <n v="6.1675984181525395E-2"/>
    <n v="2.7479674796747969E-2"/>
    <n v="5.4802750110490603E-4"/>
    <n v="3.1211480239286857E-4"/>
    <n v="5.0717233199423332E-2"/>
    <n v="4.3190108852514709E-2"/>
    <n v="114"/>
    <n v="271028975.15808421"/>
    <n v="110"/>
    <n v="269062670.73385012"/>
    <n v="3"/>
    <n v="0"/>
    <n v="1"/>
    <n v="1966304.4242341099"/>
    <n v="0.11454123838530644"/>
    <n v="0.11371024626107724"/>
    <n v="0"/>
    <n v="8.3099212422920897E-4"/>
    <n v="15942880.891652012"/>
    <n v="6.7377199050180255E-3"/>
  </r>
  <r>
    <n v="106"/>
    <s v="LVA"/>
    <s v="Latvia"/>
    <x v="0"/>
    <s v="High income"/>
    <x v="1"/>
    <x v="0"/>
    <x v="0"/>
    <n v="2016"/>
    <n v="0"/>
    <s v="na"/>
    <n v="34055464655.325436"/>
    <n v="0"/>
    <n v="0"/>
    <n v="1"/>
    <n v="110000000"/>
    <n v="1"/>
    <n v="110000000"/>
    <n v="0"/>
    <n v="3.2300249347148083E-3"/>
    <n v="3.2300249347148083E-3"/>
    <n v="0"/>
    <n v="1.383404180395905E-4"/>
    <n v="5.1333983563791811E-5"/>
    <n v="6470588.2352941176"/>
    <n v="1.9000146674792988E-4"/>
    <x v="0"/>
    <s v="na"/>
    <s v="na"/>
    <s v="na"/>
    <s v="na"/>
    <s v="na"/>
    <s v="na"/>
    <n v="0"/>
    <s v="na"/>
    <s v="na"/>
    <s v="na"/>
    <n v="570676000"/>
    <n v="179440000"/>
    <n v="-391236000"/>
    <x v="52"/>
    <n v="17767575000"/>
    <n v="14447102000"/>
    <n v="-3320473000"/>
    <n v="32214677000"/>
    <n v="3.2118958270895157E-2"/>
    <n v="1.2420484052787888E-2"/>
    <n v="7.1110979291703338E-3"/>
    <n v="6.9828174771654908E-3"/>
    <n v="2.3284914512723503E-2"/>
    <n v="2.2026303490259393E-2"/>
    <s v="na"/>
    <s v="na"/>
    <s v="na"/>
    <s v="na"/>
    <s v="na"/>
    <s v="na"/>
    <s v="na"/>
    <s v="na"/>
    <n v="0"/>
    <n v="0"/>
    <n v="0"/>
    <n v="0"/>
    <n v="0"/>
    <n v="0"/>
  </r>
  <r>
    <n v="164"/>
    <s v="WSM"/>
    <s v="Samoa"/>
    <x v="4"/>
    <s v="Lower middle income"/>
    <x v="1"/>
    <x v="0"/>
    <x v="0"/>
    <n v="2018"/>
    <n v="0"/>
    <s v="na"/>
    <n v="852250190.9854852"/>
    <n v="0"/>
    <n v="0"/>
    <n v="1"/>
    <n v="110000000"/>
    <n v="1"/>
    <n v="110000000"/>
    <n v="0"/>
    <n v="0.12907007961218916"/>
    <n v="0.12907007961218916"/>
    <n v="0"/>
    <n v="1.383404180395905E-4"/>
    <n v="5.1333983563791811E-5"/>
    <n v="6470588.2352941176"/>
    <n v="7.592357624246422E-3"/>
    <x v="2"/>
    <n v="0"/>
    <n v="0"/>
    <n v="0"/>
    <n v="0"/>
    <n v="0"/>
    <n v="0"/>
    <n v="0"/>
    <n v="0"/>
    <n v="0"/>
    <n v="0"/>
    <n v="47731000"/>
    <n v="670000"/>
    <n v="-47061000"/>
    <x v="53"/>
    <n v="391086000"/>
    <n v="49335000"/>
    <n v="-341751000"/>
    <n v="440421000"/>
    <n v="0.12204732462936541"/>
    <n v="1.358062227627445E-2"/>
    <n v="1.565239400834109E-4"/>
    <n v="2.3845425901745521E-5"/>
    <n v="0.1098971211636139"/>
    <n v="5.6792008393723344E-2"/>
    <n v="123"/>
    <n v="478225047.55540532"/>
    <n v="117"/>
    <n v="478225047.55540532"/>
    <n v="6"/>
    <n v="0"/>
    <n v="0"/>
    <n v="0"/>
    <n v="0.56113222691381015"/>
    <n v="0.56113222691381015"/>
    <n v="0"/>
    <n v="0"/>
    <n v="28130885.150317959"/>
    <n v="3.3007778053753538E-2"/>
  </r>
  <r>
    <n v="196"/>
    <s v="TUN"/>
    <s v="Tunisia"/>
    <x v="5"/>
    <s v="Lower middle income"/>
    <x v="1"/>
    <x v="0"/>
    <x v="0"/>
    <n v="2018"/>
    <n v="0"/>
    <s v="na"/>
    <n v="39195716330.425301"/>
    <n v="1"/>
    <n v="110000000"/>
    <n v="0"/>
    <n v="0"/>
    <n v="1"/>
    <n v="110000000"/>
    <n v="2.806429127935431E-3"/>
    <n v="0"/>
    <n v="2.806429127935431E-3"/>
    <n v="8.192875177822632E-5"/>
    <n v="0"/>
    <n v="5.1333983563791811E-5"/>
    <n v="6470588.2352941176"/>
    <n v="1.65084066349143E-4"/>
    <x v="1"/>
    <n v="0"/>
    <n v="0"/>
    <n v="0"/>
    <n v="0"/>
    <n v="0"/>
    <n v="0"/>
    <n v="0"/>
    <n v="0"/>
    <n v="0"/>
    <n v="0"/>
    <n v="2041662"/>
    <n v="46647"/>
    <n v="-1995015"/>
    <x v="54"/>
    <n v="21573847000"/>
    <n v="14944087000"/>
    <n v="-6629760000"/>
    <n v="36517934000"/>
    <n v="9.4635972898111307E-5"/>
    <n v="3.1214352539569666E-6"/>
    <n v="8.6344781843294676E-3"/>
    <n v="7.2230286658100428E-3"/>
    <n v="5.7185847370226364E-5"/>
    <n v="5.3279010961179199E-5"/>
    <n v="75"/>
    <n v="645134398.36919057"/>
    <n v="65"/>
    <n v="475514196.77719218"/>
    <n v="8"/>
    <n v="104491056.645374"/>
    <n v="2"/>
    <n v="65129144.946624398"/>
    <n v="1.6459308791058148E-2"/>
    <n v="1.2131789932566656E-2"/>
    <n v="2.665879499802988E-3"/>
    <n v="1.6616393586885035E-3"/>
    <n v="37949082.257011212"/>
    <n v="9.6819463476812643E-4"/>
  </r>
  <r>
    <n v="32"/>
    <s v="CPV"/>
    <s v="Cabo Verde"/>
    <x v="3"/>
    <s v="Lower middle income"/>
    <x v="1"/>
    <x v="0"/>
    <x v="0"/>
    <n v="2018"/>
    <n v="0"/>
    <s v="na"/>
    <n v="1981845740.7061462"/>
    <n v="0"/>
    <n v="0"/>
    <n v="1"/>
    <n v="130000000"/>
    <n v="1"/>
    <n v="130000000"/>
    <n v="0"/>
    <n v="6.5595418114469409E-2"/>
    <n v="6.5595418114469409E-2"/>
    <n v="0"/>
    <n v="1.6349322131951606E-4"/>
    <n v="6.0667435120844866E-5"/>
    <n v="7647058.823529412"/>
    <n v="3.858554006733495E-3"/>
    <x v="0"/>
    <s v="na"/>
    <s v="na"/>
    <s v="na"/>
    <s v="na"/>
    <s v="na"/>
    <s v="na"/>
    <n v="0"/>
    <s v="na"/>
    <s v="na"/>
    <s v="na"/>
    <n v="40821000"/>
    <n v="68000"/>
    <n v="-40753000"/>
    <x v="55"/>
    <n v="789807000"/>
    <n v="61879000"/>
    <n v="-727928000"/>
    <n v="851686000"/>
    <n v="5.1684778686438587E-2"/>
    <n v="1.0989188577708107E-3"/>
    <n v="3.1610362821849543E-4"/>
    <n v="2.9908403960152251E-5"/>
    <n v="4.8009477671348361E-2"/>
    <n v="2.0631777317557998E-2"/>
    <n v="85"/>
    <n v="611101411.19392717"/>
    <n v="79"/>
    <n v="604429871.12164521"/>
    <n v="4"/>
    <n v="804822.50858124765"/>
    <n v="2"/>
    <n v="5866717.5637008101"/>
    <n v="0.30834963521236886"/>
    <n v="0.3049833085930706"/>
    <n v="4.0609745352556222E-4"/>
    <n v="2.9602291657727384E-3"/>
    <n v="35947141.834936894"/>
    <n v="1.81382138360217E-2"/>
  </r>
  <r>
    <n v="206"/>
    <s v="URY"/>
    <s v="Uruguay"/>
    <x v="1"/>
    <s v="High income"/>
    <x v="3"/>
    <x v="0"/>
    <x v="0"/>
    <n v="2018"/>
    <n v="0"/>
    <s v="na"/>
    <n v="61231149880.585663"/>
    <n v="0"/>
    <n v="0"/>
    <n v="1"/>
    <n v="180000000"/>
    <n v="1"/>
    <n v="180000000"/>
    <n v="0"/>
    <n v="2.9396802175206569E-3"/>
    <n v="2.9396802175206569E-3"/>
    <n v="0"/>
    <n v="2.2637522951932993E-4"/>
    <n v="8.40010640134775E-5"/>
    <n v="10588235.294117646"/>
    <n v="1.7292236573650922E-4"/>
    <x v="3"/>
    <n v="0"/>
    <n v="0"/>
    <n v="0"/>
    <n v="0"/>
    <n v="0"/>
    <n v="0"/>
    <n v="0"/>
    <n v="0"/>
    <n v="0"/>
    <n v="0"/>
    <n v="1309557000"/>
    <n v="2147303000"/>
    <n v="837746000"/>
    <x v="56"/>
    <n v="8313649000"/>
    <n v="7816028000"/>
    <n v="-497621000"/>
    <n v="16129677000"/>
    <n v="0.15751891858797504"/>
    <n v="0.2747307200025384"/>
    <n v="3.327363029999818E-3"/>
    <n v="3.7777747343664381E-3"/>
    <n v="0.21431675290211949"/>
    <n v="5.6455905315213654E-2"/>
    <n v="49"/>
    <n v="330738828.02498108"/>
    <n v="39"/>
    <n v="153223378.70386729"/>
    <n v="3"/>
    <n v="13795146.479344809"/>
    <n v="7"/>
    <n v="163720302.84176901"/>
    <n v="5.4014799439500195E-3"/>
    <n v="2.5023763068746365E-3"/>
    <n v="2.2529621779516484E-4"/>
    <n v="2.6738074192802185E-3"/>
    <n v="19455225.177940063"/>
    <n v="3.1773411435000111E-4"/>
  </r>
  <r>
    <n v="176"/>
    <s v="SLB"/>
    <s v="Solomon Islands"/>
    <x v="4"/>
    <s v="Lower middle income"/>
    <x v="1"/>
    <x v="0"/>
    <x v="0"/>
    <n v="2019"/>
    <n v="1"/>
    <n v="2019"/>
    <n v="1570215577.3607066"/>
    <n v="0"/>
    <n v="0"/>
    <n v="1"/>
    <n v="200000000"/>
    <n v="1"/>
    <n v="200000000"/>
    <n v="0"/>
    <n v="0.12737104565996574"/>
    <n v="0.12737104565996574"/>
    <n v="0"/>
    <n v="2.5152803279925549E-4"/>
    <n v="9.3334515570530561E-5"/>
    <n v="11764705.882352941"/>
    <n v="7.4924144505862187E-3"/>
    <x v="0"/>
    <s v="na"/>
    <s v="na"/>
    <s v="na"/>
    <s v="na"/>
    <s v="na"/>
    <s v="na"/>
    <n v="0"/>
    <s v="na"/>
    <s v="na"/>
    <s v="na"/>
    <n v="98567000"/>
    <n v="461733000"/>
    <n v="363166000"/>
    <x v="57"/>
    <n v="421615000"/>
    <n v="705780000"/>
    <n v="284165000"/>
    <n v="1127395000"/>
    <n v="0.23378437674181421"/>
    <n v="0.65421661140865428"/>
    <n v="1.6874252977162898E-4"/>
    <n v="3.4112951642716028E-4"/>
    <n v="0.49698641558637391"/>
    <n v="0.35682998441639396"/>
    <n v="0"/>
    <s v="na"/>
    <s v="na"/>
    <s v="na"/>
    <s v="na"/>
    <s v="na"/>
    <s v="na"/>
    <s v="na"/>
    <n v="0"/>
    <n v="0"/>
    <n v="0"/>
    <n v="0"/>
    <n v="0"/>
    <n v="0"/>
  </r>
  <r>
    <n v="51"/>
    <s v="CYP"/>
    <s v="Cyprus"/>
    <x v="0"/>
    <s v="High income"/>
    <x v="1"/>
    <x v="0"/>
    <x v="0"/>
    <n v="2019"/>
    <n v="0"/>
    <s v="na"/>
    <n v="24949065263.629242"/>
    <n v="1"/>
    <n v="130000000"/>
    <n v="1"/>
    <n v="170000000"/>
    <n v="2"/>
    <n v="300000000"/>
    <n v="5.2106160542020009E-3"/>
    <n v="6.8138825324180006E-3"/>
    <n v="1.2024498586620002E-2"/>
    <n v="9.6824888465176558E-5"/>
    <n v="2.1379882787936715E-4"/>
    <n v="1.4000177335579583E-4"/>
    <n v="17647058.823529411"/>
    <n v="7.0732344627176481E-4"/>
    <x v="2"/>
    <n v="0"/>
    <n v="0"/>
    <n v="0"/>
    <n v="0"/>
    <n v="0"/>
    <n v="0"/>
    <n v="0"/>
    <n v="0"/>
    <n v="0"/>
    <n v="0"/>
    <n v="461258000"/>
    <n v="38578000"/>
    <n v="-422680000"/>
    <x v="58"/>
    <n v="9179163000"/>
    <n v="3520899000"/>
    <n v="-5658264000"/>
    <n v="12700062000"/>
    <n v="5.025055116681118E-2"/>
    <n v="1.0956860733579691E-2"/>
    <n v="3.6737667915186486E-3"/>
    <n v="1.7017804036085925E-3"/>
    <n v="3.9356973217926021E-2"/>
    <n v="2.0034257585139319E-2"/>
    <s v="na"/>
    <s v="na"/>
    <s v="na"/>
    <s v="na"/>
    <s v="na"/>
    <s v="na"/>
    <s v="na"/>
    <s v="na"/>
    <n v="0"/>
    <n v="0"/>
    <n v="0"/>
    <n v="0"/>
    <n v="0"/>
    <n v="0"/>
  </r>
  <r>
    <n v="13"/>
    <s v="BHS"/>
    <s v="Bahamas"/>
    <x v="1"/>
    <s v="High income"/>
    <x v="1"/>
    <x v="0"/>
    <x v="1"/>
    <s v="na"/>
    <n v="0"/>
    <s v="na"/>
    <n v="13578800000"/>
    <n v="2"/>
    <n v="350000000"/>
    <n v="0"/>
    <n v="0"/>
    <n v="2"/>
    <n v="350000000"/>
    <n v="2.5775473532270894E-2"/>
    <n v="0"/>
    <n v="2.5775473532270894E-2"/>
    <n v="2.6068239202162917E-4"/>
    <n v="0"/>
    <n v="1.6333540224842849E-4"/>
    <n v="20588235.294117648"/>
    <n v="1.5162043254276997E-3"/>
    <x v="0"/>
    <s v="na"/>
    <s v="na"/>
    <s v="na"/>
    <s v="na"/>
    <s v="na"/>
    <s v="na"/>
    <n v="0"/>
    <s v="na"/>
    <s v="na"/>
    <s v="na"/>
    <n v="24409000"/>
    <n v="214000"/>
    <n v="-24195000"/>
    <x v="59"/>
    <n v="3320468000"/>
    <n v="537265000"/>
    <n v="-2783203000"/>
    <n v="3857733000"/>
    <n v="7.3510721982563906E-3"/>
    <n v="3.9831368133044217E-4"/>
    <n v="1.3289474291610622E-3"/>
    <n v="2.5967999892776539E-4"/>
    <n v="6.3827641778215344E-3"/>
    <n v="1.8133413851003034E-3"/>
    <n v="31"/>
    <n v="3136697529.0512481"/>
    <n v="0"/>
    <n v="0"/>
    <n v="31"/>
    <n v="3136697529.0512481"/>
    <n v="0"/>
    <n v="0"/>
    <n v="0.23099961182514273"/>
    <n v="0"/>
    <n v="0.23099961182514273"/>
    <n v="0"/>
    <n v="184511619.35595578"/>
    <n v="1.3588212460302514E-2"/>
  </r>
  <r>
    <n v="83"/>
    <s v="HND"/>
    <s v="Honduras"/>
    <x v="1"/>
    <s v="Lower middle income"/>
    <x v="1"/>
    <x v="0"/>
    <x v="1"/>
    <s v="na"/>
    <n v="2"/>
    <s v="na"/>
    <n v="25089976946.773567"/>
    <n v="1"/>
    <n v="350000000"/>
    <n v="0"/>
    <n v="0"/>
    <n v="1"/>
    <n v="350000000"/>
    <n v="1.3949793606526532E-2"/>
    <n v="0"/>
    <n v="1.3949793606526532E-2"/>
    <n v="2.6068239202162917E-4"/>
    <n v="0"/>
    <n v="1.6333540224842849E-4"/>
    <n v="20588235.294117648"/>
    <n v="8.2057609450156082E-4"/>
    <x v="0"/>
    <s v="na"/>
    <s v="na"/>
    <s v="na"/>
    <s v="na"/>
    <s v="na"/>
    <s v="na"/>
    <n v="0"/>
    <s v="na"/>
    <s v="na"/>
    <s v="na"/>
    <n v="1475811"/>
    <n v="5449"/>
    <n v="-1470362"/>
    <x v="60"/>
    <n v="9157061000"/>
    <n v="3091163000"/>
    <n v="-6065898000"/>
    <n v="12248224000"/>
    <n v="1.611664484925895E-4"/>
    <n v="1.7627669585848433E-6"/>
    <n v="3.6649209312124152E-3"/>
    <n v="1.494073138070688E-3"/>
    <n v="1.2093671702934238E-4"/>
    <n v="5.9037917936009976E-5"/>
    <n v="3"/>
    <n v="297077897.32473761"/>
    <n v="1"/>
    <n v="286927942.92511201"/>
    <n v="2"/>
    <n v="10149954.399625611"/>
    <n v="0"/>
    <n v="0"/>
    <n v="1.1840501007831345E-2"/>
    <n v="1.143595881071582E-2"/>
    <n v="4.0454219711552342E-4"/>
    <n v="0"/>
    <n v="17475170.430866919"/>
    <n v="6.9650005928419676E-4"/>
  </r>
  <r>
    <n v="65"/>
    <s v="FJI"/>
    <s v="Fiji"/>
    <x v="4"/>
    <s v="Upper middle income"/>
    <x v="0"/>
    <x v="0"/>
    <x v="0"/>
    <n v="2018"/>
    <n v="0"/>
    <s v="na"/>
    <n v="5496250694.3158674"/>
    <n v="1"/>
    <n v="150000000"/>
    <n v="2"/>
    <n v="250000000"/>
    <n v="3"/>
    <n v="400000000"/>
    <n v="2.7291331553549323E-2"/>
    <n v="4.548555258924887E-2"/>
    <n v="7.277688414279819E-2"/>
    <n v="1.117210251521268E-4"/>
    <n v="3.1441004099906937E-4"/>
    <n v="1.8666903114106112E-4"/>
    <n v="23529411.764705881"/>
    <n v="4.2809931848704821E-3"/>
    <x v="2"/>
    <n v="1"/>
    <n v="50000000"/>
    <n v="0"/>
    <n v="0"/>
    <n v="0"/>
    <n v="0"/>
    <n v="1"/>
    <n v="50000000"/>
    <n v="9.0971105178497737E-3"/>
    <n v="1.2543831282458731E-3"/>
    <n v="348970000"/>
    <n v="37299000"/>
    <n v="-311671000"/>
    <x v="61"/>
    <n v="2785913000"/>
    <n v="1028722000"/>
    <n v="-1757191000"/>
    <n v="3814635000"/>
    <n v="0.12526234667055289"/>
    <n v="3.6257608955577891E-2"/>
    <n v="1.1150030415039032E-3"/>
    <n v="4.9721930119581343E-4"/>
    <n v="0.10125975355440298"/>
    <n v="7.027863565238629E-2"/>
    <n v="152"/>
    <n v="663916958.87909687"/>
    <n v="137"/>
    <n v="568657495.55746424"/>
    <n v="14"/>
    <n v="95259463.321632713"/>
    <n v="1"/>
    <n v="0"/>
    <n v="0.12079451899195735"/>
    <n v="0.10346280167779838"/>
    <n v="1.7331717314158994E-2"/>
    <n v="0"/>
    <n v="39053938.75759393"/>
    <n v="7.1055599407033737E-3"/>
  </r>
  <r>
    <n v="120"/>
    <s v="MLT"/>
    <s v="Malta"/>
    <x v="5"/>
    <s v="High income"/>
    <x v="1"/>
    <x v="0"/>
    <x v="0"/>
    <n v="2018"/>
    <n v="0"/>
    <s v="na"/>
    <n v="15215714309.097391"/>
    <n v="0"/>
    <n v="0"/>
    <n v="1"/>
    <n v="440000000"/>
    <n v="1"/>
    <n v="440000000"/>
    <n v="0"/>
    <n v="2.8917472493350277E-2"/>
    <n v="2.8917472493350277E-2"/>
    <n v="0"/>
    <n v="5.53361672158362E-4"/>
    <n v="2.0533593425516725E-4"/>
    <n v="25882352.94117647"/>
    <n v="1.7010277937264868E-3"/>
    <x v="3"/>
    <n v="0"/>
    <n v="0"/>
    <n v="0"/>
    <n v="0"/>
    <n v="0"/>
    <n v="0"/>
    <n v="0"/>
    <n v="0"/>
    <n v="0"/>
    <n v="0"/>
    <n v="286007000"/>
    <n v="40737000"/>
    <n v="-245270000"/>
    <x v="62"/>
    <n v="7066686000"/>
    <n v="3007798000"/>
    <n v="-4058888000"/>
    <n v="10074484000"/>
    <n v="4.0472577952381072E-2"/>
    <n v="1.3543795161776156E-2"/>
    <n v="2.8282923348119816E-3"/>
    <n v="1.4537797575031597E-3"/>
    <n v="3.2432827328923247E-2"/>
    <n v="2.1474115073561915E-2"/>
    <s v="na"/>
    <s v="na"/>
    <s v="na"/>
    <s v="na"/>
    <s v="na"/>
    <s v="na"/>
    <s v="na"/>
    <s v="na"/>
    <n v="0"/>
    <n v="0"/>
    <n v="0"/>
    <n v="0"/>
    <n v="0"/>
    <n v="0"/>
  </r>
  <r>
    <n v="80"/>
    <s v="GNB"/>
    <s v="Guinea-Bissau"/>
    <x v="3"/>
    <s v="Low income"/>
    <x v="1"/>
    <x v="0"/>
    <x v="1"/>
    <s v="na"/>
    <n v="0"/>
    <s v="na"/>
    <n v="1439638443.3813329"/>
    <n v="2"/>
    <n v="450000000"/>
    <n v="0"/>
    <n v="0"/>
    <n v="2"/>
    <n v="450000000"/>
    <n v="0.31257848251333725"/>
    <n v="0"/>
    <n v="0.31257848251333725"/>
    <n v="3.3516307545638038E-4"/>
    <n v="0"/>
    <n v="2.1000266003369376E-4"/>
    <n v="26470588.235294119"/>
    <n v="1.8386969559608075E-2"/>
    <x v="0"/>
    <s v="na"/>
    <s v="na"/>
    <s v="na"/>
    <s v="na"/>
    <s v="na"/>
    <s v="na"/>
    <n v="0"/>
    <s v="na"/>
    <s v="na"/>
    <s v="na"/>
    <n v="31924000"/>
    <n v="8402000"/>
    <n v="-23522000"/>
    <x v="63"/>
    <n v="335683000"/>
    <n v="249796000"/>
    <n v="-85887000"/>
    <n v="585479000"/>
    <n v="9.5101628619858616E-2"/>
    <n v="3.3635446524363878E-2"/>
    <n v="1.3435005543287057E-4"/>
    <n v="1.2073562396984747E-4"/>
    <n v="6.887693666211768E-2"/>
    <n v="2.8011199746295193E-2"/>
    <n v="78"/>
    <n v="371948758.43735373"/>
    <n v="78"/>
    <n v="371948758.43735373"/>
    <n v="0"/>
    <n v="0"/>
    <n v="0"/>
    <n v="0"/>
    <n v="0.25836261885570638"/>
    <n v="0.25836261885570638"/>
    <n v="0"/>
    <n v="0"/>
    <n v="21879338.731609043"/>
    <n v="1.5197801109159198E-2"/>
  </r>
  <r>
    <n v="29"/>
    <s v="BGR"/>
    <s v="Bulgaria"/>
    <x v="0"/>
    <s v="Upper middle income"/>
    <x v="1"/>
    <x v="0"/>
    <x v="0"/>
    <n v="2015"/>
    <n v="0"/>
    <s v="na"/>
    <n v="68558815111.619919"/>
    <n v="2"/>
    <n v="330000000"/>
    <n v="1"/>
    <n v="130000000"/>
    <n v="3"/>
    <n v="460000000"/>
    <n v="4.8133854043820668E-3"/>
    <n v="1.8961821289989961E-3"/>
    <n v="6.7095675333810629E-3"/>
    <n v="2.4578625533467897E-4"/>
    <n v="1.6349322131951606E-4"/>
    <n v="2.1466938581222029E-4"/>
    <n v="27058823.529411763"/>
    <n v="3.9468044314006252E-4"/>
    <x v="0"/>
    <s v="na"/>
    <s v="na"/>
    <s v="na"/>
    <s v="na"/>
    <s v="na"/>
    <s v="na"/>
    <n v="0"/>
    <s v="na"/>
    <s v="na"/>
    <s v="na"/>
    <n v="1703728000"/>
    <n v="923172000"/>
    <n v="-780556000"/>
    <x v="64"/>
    <n v="37674821000"/>
    <n v="33351426000"/>
    <n v="-4323395000"/>
    <n v="71026247000"/>
    <n v="4.5221926867283588E-2"/>
    <n v="2.7680135775903555E-2"/>
    <n v="1.5078554141179257E-2"/>
    <n v="1.6119974813024202E-2"/>
    <n v="3.6984919110255116E-2"/>
    <n v="3.8316006420518946E-2"/>
    <n v="42"/>
    <n v="743441449.33620834"/>
    <n v="0"/>
    <n v="0"/>
    <n v="42"/>
    <n v="743441449.33620834"/>
    <n v="0"/>
    <n v="0"/>
    <n v="1.0843849155295621E-2"/>
    <n v="0"/>
    <n v="1.0843849155295621E-2"/>
    <n v="0"/>
    <n v="43731849.960953429"/>
    <n v="6.378734797232718E-4"/>
  </r>
  <r>
    <n v="16"/>
    <s v="BRB"/>
    <s v="Barbados"/>
    <x v="1"/>
    <s v="High income"/>
    <x v="1"/>
    <x v="0"/>
    <x v="0"/>
    <n v="2019"/>
    <n v="0"/>
    <s v="na"/>
    <n v="5209000000"/>
    <n v="0"/>
    <n v="0"/>
    <n v="3"/>
    <n v="490000000"/>
    <n v="3"/>
    <n v="490000000"/>
    <n v="0"/>
    <n v="9.4067959301209439E-2"/>
    <n v="9.4067959301209439E-2"/>
    <n v="0"/>
    <n v="6.1624368035817587E-4"/>
    <n v="2.2866956314779988E-4"/>
    <n v="28823529.411764707"/>
    <n v="5.5334093706593795E-3"/>
    <x v="0"/>
    <s v="na"/>
    <s v="na"/>
    <s v="na"/>
    <s v="na"/>
    <s v="na"/>
    <s v="na"/>
    <n v="0"/>
    <s v="na"/>
    <s v="na"/>
    <s v="na"/>
    <n v="155688000"/>
    <n v="41000"/>
    <n v="-155647000"/>
    <x v="65"/>
    <n v="1581059000"/>
    <n v="444089000"/>
    <n v="-1136970000"/>
    <n v="2025148000"/>
    <n v="9.8470708556733177E-2"/>
    <n v="9.2323835987831264E-5"/>
    <n v="6.3278558727322774E-4"/>
    <n v="2.1464460004622007E-4"/>
    <n v="7.6897589707023886E-2"/>
    <n v="2.989614129391438E-2"/>
    <n v="74"/>
    <n v="237145251.16707271"/>
    <n v="21"/>
    <n v="10215340.313144807"/>
    <n v="53"/>
    <n v="226929910.85392791"/>
    <n v="0"/>
    <n v="0"/>
    <n v="4.5526060888284259E-2"/>
    <n v="1.9610943200508366E-3"/>
    <n v="4.3564966568233422E-2"/>
    <n v="0"/>
    <n v="13949720.65688663"/>
    <n v="2.6780035816637801E-3"/>
  </r>
  <r>
    <n v="61"/>
    <s v="ERI"/>
    <s v="Eritrea"/>
    <x v="3"/>
    <s v="Low income"/>
    <x v="1"/>
    <x v="0"/>
    <x v="1"/>
    <s v="na"/>
    <n v="0"/>
    <s v="na"/>
    <s v="na"/>
    <n v="2"/>
    <n v="500000000"/>
    <n v="0"/>
    <n v="0"/>
    <n v="2"/>
    <n v="500000000"/>
    <n v="0"/>
    <n v="0"/>
    <n v="0"/>
    <n v="3.7240341717375598E-4"/>
    <n v="0"/>
    <n v="2.3333628892632639E-4"/>
    <n v="29411764.705882352"/>
    <n v="0"/>
    <x v="0"/>
    <s v="na"/>
    <s v="na"/>
    <s v="na"/>
    <s v="na"/>
    <s v="na"/>
    <s v="na"/>
    <n v="0"/>
    <s v="na"/>
    <s v="na"/>
    <s v="na"/>
    <n v="48608000"/>
    <n v="209892000"/>
    <n v="161284000"/>
    <x v="66"/>
    <n v="388456000"/>
    <n v="499061000"/>
    <n v="110605000"/>
    <n v="887517000"/>
    <n v="0.12513128900055603"/>
    <n v="0.42057383766713891"/>
    <n v="1.554713379385646E-4"/>
    <n v="2.4121459604643805E-4"/>
    <n v="0.29126202653019606"/>
    <s v="na"/>
    <n v="61"/>
    <n v="1013396936.7712584"/>
    <n v="50"/>
    <n v="447050479.60460484"/>
    <n v="10"/>
    <n v="566346457.16665351"/>
    <n v="1"/>
    <n v="0"/>
    <n v="0"/>
    <n v="0"/>
    <n v="0"/>
    <n v="0"/>
    <n v="59611584.515956372"/>
    <n v="0"/>
  </r>
  <r>
    <n v="11"/>
    <s v="AUT"/>
    <s v="Austria"/>
    <x v="0"/>
    <s v="High income"/>
    <x v="1"/>
    <x v="0"/>
    <x v="0"/>
    <s v="na"/>
    <n v="0"/>
    <s v="na"/>
    <n v="445075391688.15613"/>
    <n v="2"/>
    <n v="280000000"/>
    <n v="1"/>
    <n v="230000000"/>
    <n v="3"/>
    <n v="510000000"/>
    <n v="6.291069001545319E-4"/>
    <n v="5.1676638226979404E-4"/>
    <n v="1.1458732824243258E-3"/>
    <n v="2.0854591361730334E-4"/>
    <n v="2.8925723771914381E-4"/>
    <n v="2.3800301470485293E-4"/>
    <n v="30000000"/>
    <n v="6.7404310730842702E-5"/>
    <x v="3"/>
    <n v="0"/>
    <n v="0"/>
    <n v="0"/>
    <n v="0"/>
    <n v="0"/>
    <n v="0"/>
    <n v="0"/>
    <n v="0"/>
    <n v="0"/>
    <n v="0"/>
    <n v="10998301000"/>
    <n v="4981008000"/>
    <n v="-6017293000"/>
    <x v="67"/>
    <n v="176596131000"/>
    <n v="171532055000"/>
    <n v="-5064076000"/>
    <n v="348128186000"/>
    <n v="6.2279399541318378E-2"/>
    <n v="2.9038350878499066E-2"/>
    <n v="7.0678884510328124E-2"/>
    <n v="8.2907771506570124E-2"/>
    <n v="4.5900647067973976E-2"/>
    <n v="3.5902476970005044E-2"/>
    <s v="na"/>
    <s v="na"/>
    <s v="na"/>
    <s v="na"/>
    <s v="na"/>
    <s v="na"/>
    <s v="na"/>
    <s v="na"/>
    <n v="0"/>
    <n v="0"/>
    <n v="0"/>
    <n v="0"/>
    <n v="0"/>
    <n v="0"/>
  </r>
  <r>
    <n v="138"/>
    <s v="NIC"/>
    <s v="Nicaragua"/>
    <x v="1"/>
    <s v="Lower middle income"/>
    <x v="1"/>
    <x v="0"/>
    <x v="1"/>
    <s v="na"/>
    <n v="2"/>
    <s v="na"/>
    <n v="12611218627.063225"/>
    <n v="2"/>
    <n v="530000000"/>
    <n v="0"/>
    <n v="0"/>
    <n v="2"/>
    <n v="530000000"/>
    <n v="4.2026073425024839E-2"/>
    <n v="0"/>
    <n v="4.2026073425024839E-2"/>
    <n v="3.9474762220418133E-4"/>
    <n v="0"/>
    <n v="2.47336466261906E-4"/>
    <n v="31176470.588235293"/>
    <n v="2.4721219661779314E-3"/>
    <x v="0"/>
    <s v="na"/>
    <s v="na"/>
    <s v="na"/>
    <s v="na"/>
    <s v="na"/>
    <s v="na"/>
    <n v="0"/>
    <s v="na"/>
    <s v="na"/>
    <s v="na"/>
    <n v="893851000"/>
    <n v="28553000"/>
    <n v="-865298000"/>
    <x v="68"/>
    <n v="6985509000"/>
    <n v="5272553000"/>
    <n v="-1712956000"/>
    <n v="12258062000"/>
    <n v="0.12795789111430533"/>
    <n v="5.4154031263412622E-3"/>
    <n v="2.7958029491419478E-3"/>
    <n v="2.5484194157195912E-3"/>
    <n v="7.524876281421973E-2"/>
    <n v="7.3141543833087949E-2"/>
    <n v="1"/>
    <n v="4858309.3510989398"/>
    <n v="0"/>
    <n v="0"/>
    <n v="0"/>
    <n v="0"/>
    <n v="1"/>
    <n v="4858309.3510989398"/>
    <n v="3.8523710473729964E-4"/>
    <n v="0"/>
    <n v="0"/>
    <n v="3.8523710473729964E-4"/>
    <n v="285782.90300582"/>
    <n v="2.2661006161017628E-5"/>
  </r>
  <r>
    <n v="126"/>
    <s v="MDA"/>
    <s v="Moldova"/>
    <x v="0"/>
    <s v="Upper middle income"/>
    <x v="1"/>
    <x v="0"/>
    <x v="0"/>
    <n v="2013"/>
    <n v="0"/>
    <s v="na"/>
    <n v="11968699005.980051"/>
    <n v="0"/>
    <n v="0"/>
    <n v="2"/>
    <n v="560000000"/>
    <n v="2"/>
    <n v="560000000"/>
    <n v="0"/>
    <n v="4.6788711097187852E-2"/>
    <n v="4.6788711097187852E-2"/>
    <n v="0"/>
    <n v="7.0427849183791536E-4"/>
    <n v="2.6133664359748556E-4"/>
    <n v="32941176.470588237"/>
    <n v="2.7522771233639914E-3"/>
    <x v="0"/>
    <s v="na"/>
    <s v="na"/>
    <s v="na"/>
    <s v="na"/>
    <s v="na"/>
    <s v="na"/>
    <n v="0"/>
    <s v="na"/>
    <s v="na"/>
    <s v="na"/>
    <n v="602293000"/>
    <n v="17422000"/>
    <n v="-584871000"/>
    <x v="69"/>
    <n v="5842487000"/>
    <n v="2779165000"/>
    <n v="-3063322000"/>
    <n v="8621652000"/>
    <n v="0.10308846215661241"/>
    <n v="6.2687893665903244E-3"/>
    <n v="2.3383324514968757E-3"/>
    <n v="1.3432729923223796E-3"/>
    <n v="7.1878916012847655E-2"/>
    <n v="5.1777975174274585E-2"/>
    <n v="43"/>
    <n v="1495043161.0185857"/>
    <n v="37"/>
    <n v="177013256.82251224"/>
    <n v="4"/>
    <n v="1303715014.15573"/>
    <n v="2"/>
    <n v="14314890.04034332"/>
    <n v="0.12491275453343768"/>
    <n v="1.4789682381858646E-2"/>
    <n v="0.1089270449114261"/>
    <n v="1.1960272401529202E-3"/>
    <n v="87943715.354034454"/>
    <n v="7.3478090902022166E-3"/>
  </r>
  <r>
    <n v="142"/>
    <s v="MKD"/>
    <s v="North Macedonia"/>
    <x v="0"/>
    <s v="Upper middle income"/>
    <x v="1"/>
    <x v="0"/>
    <x v="0"/>
    <n v="2013"/>
    <n v="1"/>
    <n v="2001"/>
    <n v="12547086168.489635"/>
    <n v="0"/>
    <n v="0"/>
    <n v="3"/>
    <n v="650000000"/>
    <n v="3"/>
    <n v="650000000"/>
    <n v="0"/>
    <n v="5.1804856623395949E-2"/>
    <n v="5.1804856623395949E-2"/>
    <n v="0"/>
    <n v="8.1746610659758025E-4"/>
    <n v="3.0333717560422434E-4"/>
    <n v="38235294.117647059"/>
    <n v="3.0473445072585854E-3"/>
    <x v="0"/>
    <s v="na"/>
    <s v="na"/>
    <s v="na"/>
    <s v="na"/>
    <s v="na"/>
    <s v="na"/>
    <n v="0"/>
    <s v="na"/>
    <s v="na"/>
    <s v="na"/>
    <n v="545143000"/>
    <n v="166041000"/>
    <n v="-379102000"/>
    <x v="70"/>
    <n v="9445513000"/>
    <n v="7195141000"/>
    <n v="-2250372000"/>
    <n v="16640654000"/>
    <n v="5.7714493643701514E-2"/>
    <n v="2.3076823650849929E-2"/>
    <n v="3.7803677729938649E-3"/>
    <n v="3.4776771372881554E-3"/>
    <n v="4.2737743360327062E-2"/>
    <n v="5.6681207927466497E-2"/>
    <n v="35"/>
    <n v="2913525344.0071635"/>
    <n v="27"/>
    <n v="56559763.830491133"/>
    <n v="7"/>
    <n v="964003282.90331233"/>
    <n v="1"/>
    <n v="1892962297.27336"/>
    <n v="0.23220732725372534"/>
    <n v="4.5078007013718913E-3"/>
    <n v="7.6830849008137081E-2"/>
    <n v="0.15086867754421637"/>
    <n v="171383843.76512727"/>
    <n v="1.3659254544336785E-2"/>
  </r>
  <r>
    <n v="48"/>
    <s v="HRV"/>
    <s v="Croatia"/>
    <x v="0"/>
    <s v="High income"/>
    <x v="0"/>
    <x v="0"/>
    <x v="0"/>
    <n v="2017"/>
    <n v="0"/>
    <s v="na"/>
    <n v="60752588976.317482"/>
    <n v="0"/>
    <n v="0"/>
    <n v="3"/>
    <n v="690000000"/>
    <n v="3"/>
    <n v="690000000"/>
    <n v="0"/>
    <n v="1.135754066824996E-2"/>
    <n v="1.135754066824996E-2"/>
    <n v="0"/>
    <n v="8.6777171315743137E-4"/>
    <n v="3.2200407871833044E-4"/>
    <n v="40588235.294117644"/>
    <n v="6.6809062754411529E-4"/>
    <x v="1"/>
    <n v="0"/>
    <n v="0"/>
    <n v="0"/>
    <n v="0"/>
    <n v="0"/>
    <n v="0"/>
    <n v="0"/>
    <n v="0"/>
    <n v="0"/>
    <n v="0"/>
    <n v="804121000"/>
    <n v="120454000"/>
    <n v="-683667000"/>
    <x v="71"/>
    <n v="28004414000"/>
    <n v="17063050000"/>
    <n v="-10941364000"/>
    <n v="45067464000"/>
    <n v="2.8714080573155359E-2"/>
    <n v="7.0593475375152741E-3"/>
    <n v="1.120817727816141E-2"/>
    <n v="8.2472016708782601E-3"/>
    <n v="2.0515354491657218E-2"/>
    <n v="1.521869299035827E-2"/>
    <s v="na"/>
    <s v="na"/>
    <s v="na"/>
    <s v="na"/>
    <s v="na"/>
    <s v="na"/>
    <s v="na"/>
    <s v="na"/>
    <n v="0"/>
    <n v="0"/>
    <n v="0"/>
    <n v="0"/>
    <n v="0"/>
    <n v="0"/>
  </r>
  <r>
    <n v="109"/>
    <s v="LBR"/>
    <s v="Liberia"/>
    <x v="3"/>
    <s v="Low income"/>
    <x v="1"/>
    <x v="0"/>
    <x v="0"/>
    <n v="2019"/>
    <n v="1"/>
    <n v="2003"/>
    <n v="3070518100"/>
    <n v="2"/>
    <n v="280000000"/>
    <n v="2"/>
    <n v="410000000"/>
    <n v="4"/>
    <n v="690000000"/>
    <n v="9.1189822329983988E-2"/>
    <n v="0.13352795412604798"/>
    <n v="0.22471777645603197"/>
    <n v="2.0854591361730334E-4"/>
    <n v="5.1563246723847374E-4"/>
    <n v="3.2200407871833044E-4"/>
    <n v="40588235.294117644"/>
    <n v="1.3218692732707761E-2"/>
    <x v="3"/>
    <n v="0"/>
    <n v="0"/>
    <n v="0"/>
    <n v="0"/>
    <n v="0"/>
    <n v="0"/>
    <n v="0"/>
    <n v="0"/>
    <n v="0"/>
    <n v="0"/>
    <n v="3909849000"/>
    <n v="112419000"/>
    <n v="-3797430000"/>
    <x v="72"/>
    <n v="12349304000"/>
    <n v="2001974000"/>
    <n v="-10347330000"/>
    <n v="14351278000"/>
    <n v="0.3166048062303754"/>
    <n v="5.6154075927059989E-2"/>
    <n v="4.9425490029503145E-3"/>
    <n v="9.6762790461581215E-4"/>
    <n v="0.28027246075227585"/>
    <n v="1.3099639438699286"/>
    <n v="144"/>
    <n v="1151598844.2702711"/>
    <n v="137"/>
    <n v="649897009.68720102"/>
    <n v="6"/>
    <n v="501701834.58307004"/>
    <n v="1"/>
    <n v="0"/>
    <n v="0.37505033573007468"/>
    <n v="0.21165711730772765"/>
    <n v="0.16339321842234705"/>
    <n v="0"/>
    <n v="67741108.486486539"/>
    <n v="2.2061784454710277E-2"/>
  </r>
  <r>
    <n v="78"/>
    <s v="GTM"/>
    <s v="Guatemala"/>
    <x v="1"/>
    <s v="Upper middle income"/>
    <x v="1"/>
    <x v="0"/>
    <x v="1"/>
    <s v="na"/>
    <n v="2"/>
    <s v="na"/>
    <n v="77020015201.320053"/>
    <n v="1"/>
    <n v="700000000"/>
    <n v="0"/>
    <n v="0"/>
    <n v="1"/>
    <n v="700000000"/>
    <n v="9.0885466351868834E-3"/>
    <n v="0"/>
    <n v="9.0885466351868834E-3"/>
    <n v="5.2136478404325834E-4"/>
    <n v="0"/>
    <n v="3.2667080449685698E-4"/>
    <n v="41176470.588235296"/>
    <n v="5.346203903051108E-4"/>
    <x v="0"/>
    <s v="na"/>
    <s v="na"/>
    <s v="na"/>
    <s v="na"/>
    <s v="na"/>
    <s v="na"/>
    <n v="0"/>
    <s v="na"/>
    <s v="na"/>
    <s v="na"/>
    <n v="2228910000"/>
    <n v="189004000"/>
    <n v="-2039906000"/>
    <x v="73"/>
    <n v="19881010000"/>
    <n v="11183088000"/>
    <n v="-8697922000"/>
    <n v="31064098000"/>
    <n v="0.11211251339846416"/>
    <n v="1.6900877467833572E-2"/>
    <n v="7.9569558052134132E-3"/>
    <n v="5.4051990728022602E-3"/>
    <n v="7.7836285476565265E-2"/>
    <n v="3.1393320212673229E-2"/>
    <n v="0"/>
    <s v="na"/>
    <s v="na"/>
    <s v="na"/>
    <s v="na"/>
    <s v="na"/>
    <s v="na"/>
    <s v="na"/>
    <n v="0"/>
    <n v="0"/>
    <n v="0"/>
    <n v="0"/>
    <n v="0"/>
    <n v="0"/>
  </r>
  <r>
    <n v="193"/>
    <s v="TGO"/>
    <s v="Togo"/>
    <x v="3"/>
    <s v="Low income"/>
    <x v="1"/>
    <x v="0"/>
    <x v="0"/>
    <n v="2018"/>
    <n v="0"/>
    <s v="na"/>
    <n v="7220395247.7424049"/>
    <n v="3"/>
    <n v="730000000"/>
    <n v="0"/>
    <n v="0"/>
    <n v="3"/>
    <n v="730000000"/>
    <n v="0.10110249854095571"/>
    <n v="0"/>
    <n v="0.10110249854095571"/>
    <n v="5.4370898907368369E-4"/>
    <n v="0"/>
    <n v="3.4067098183243654E-4"/>
    <n v="42941176.470588237"/>
    <n v="5.947205796526806E-3"/>
    <x v="1"/>
    <n v="0"/>
    <n v="0"/>
    <n v="0"/>
    <n v="0"/>
    <n v="0"/>
    <n v="0"/>
    <n v="0"/>
    <n v="0"/>
    <n v="0"/>
    <n v="0"/>
    <n v="403066000"/>
    <n v="9334000"/>
    <n v="-393732000"/>
    <x v="74"/>
    <n v="1964438000"/>
    <n v="1025312000"/>
    <n v="-939126000"/>
    <n v="2989750000"/>
    <n v="0.20518132921476778"/>
    <n v="9.1035704253924661E-3"/>
    <n v="7.8622496282039131E-4"/>
    <n v="4.9557112237094366E-4"/>
    <n v="0.13793795467848483"/>
    <n v="5.7115986846972784E-2"/>
    <n v="120"/>
    <n v="1801457587.2364957"/>
    <n v="102"/>
    <n v="946408470.0451287"/>
    <n v="11"/>
    <n v="660375004.64250684"/>
    <n v="7"/>
    <n v="194674112.54886019"/>
    <n v="0.24949570285639916"/>
    <n v="0.13107433008477498"/>
    <n v="9.1459675264866661E-2"/>
    <n v="2.6961697506757514E-2"/>
    <n v="105968093.36685269"/>
    <n v="1.4676217815082304E-2"/>
  </r>
  <r>
    <n v="49"/>
    <s v="CUB"/>
    <s v="Cuba"/>
    <x v="1"/>
    <s v="Upper middle income"/>
    <x v="1"/>
    <x v="0"/>
    <x v="0"/>
    <n v="2019"/>
    <n v="0"/>
    <s v="na"/>
    <n v="103131000000"/>
    <n v="1"/>
    <n v="500000000"/>
    <n v="2"/>
    <n v="240000000"/>
    <n v="3"/>
    <n v="740000000"/>
    <n v="4.8482027712327038E-3"/>
    <n v="2.3271373301916977E-3"/>
    <n v="7.1753401014244024E-3"/>
    <n v="3.7240341717375598E-4"/>
    <n v="3.0183363935910656E-4"/>
    <n v="3.4533770761096307E-4"/>
    <n v="43529411.764705881"/>
    <n v="4.2207882949555302E-4"/>
    <x v="0"/>
    <s v="na"/>
    <s v="na"/>
    <s v="na"/>
    <s v="na"/>
    <s v="na"/>
    <s v="na"/>
    <n v="0"/>
    <s v="na"/>
    <s v="na"/>
    <s v="na"/>
    <n v="790430000"/>
    <n v="491944000"/>
    <n v="-298486000"/>
    <x v="75"/>
    <n v="5756952000"/>
    <n v="1694809000"/>
    <n v="-4062143000"/>
    <n v="7451761000"/>
    <n v="0.13730008518396541"/>
    <n v="0.29026515672267494"/>
    <n v="2.3040988680522248E-3"/>
    <n v="8.1916372609934984E-4"/>
    <n v="0.17209006032265392"/>
    <n v="1.2434418361113536E-2"/>
    <n v="118"/>
    <n v="8611964867.0887985"/>
    <n v="69"/>
    <n v="3389033867.9750204"/>
    <n v="27"/>
    <n v="3153882808.8466272"/>
    <n v="22"/>
    <n v="2069048190.2671511"/>
    <n v="8.3505103868757202E-2"/>
    <n v="3.2861446781035968E-2"/>
    <n v="3.0581326747986807E-2"/>
    <n v="2.0062330339734428E-2"/>
    <n v="506586168.65228224"/>
    <n v="4.9120649334563051E-3"/>
  </r>
  <r>
    <n v="192"/>
    <s v="TLS"/>
    <s v="Timor"/>
    <x v="4"/>
    <s v="Lower middle income"/>
    <x v="1"/>
    <x v="0"/>
    <x v="0"/>
    <n v="2017"/>
    <n v="0"/>
    <s v="na"/>
    <n v="2017924900"/>
    <n v="0"/>
    <n v="0"/>
    <n v="2"/>
    <n v="780000000"/>
    <n v="2"/>
    <n v="780000000"/>
    <n v="0"/>
    <n v="0.38653569317668857"/>
    <n v="0.38653569317668857"/>
    <n v="0"/>
    <n v="9.8095932791709625E-4"/>
    <n v="3.6400461072506917E-4"/>
    <n v="45882352.941176474"/>
    <n v="2.2737393716275801E-2"/>
    <x v="2"/>
    <n v="0"/>
    <n v="0"/>
    <n v="0"/>
    <n v="0"/>
    <n v="0"/>
    <n v="0"/>
    <n v="0"/>
    <n v="0"/>
    <n v="0"/>
    <n v="0"/>
    <n v="143579000"/>
    <n v="24561000"/>
    <n v="-119018000"/>
    <x v="76"/>
    <n v="547133000"/>
    <n v="123273000"/>
    <n v="-423860000"/>
    <n v="670406000"/>
    <n v="0.2624206545757613"/>
    <n v="0.19924070964444768"/>
    <n v="2.1897846742061043E-4"/>
    <n v="5.9582389524391928E-5"/>
    <n v="0.25080324460103282"/>
    <n v="8.3323219808626184E-2"/>
    <n v="75"/>
    <n v="248960207.85690689"/>
    <n v="72"/>
    <n v="199802597.25105408"/>
    <n v="1"/>
    <n v="49157610.605852798"/>
    <n v="2"/>
    <n v="0"/>
    <n v="0.12337436732997689"/>
    <n v="9.9013891572998614E-2"/>
    <n v="2.4360475756978268E-2"/>
    <n v="0"/>
    <n v="14644718.109229818"/>
    <n v="7.2573157252927593E-3"/>
  </r>
  <r>
    <n v="46"/>
    <s v="CRI"/>
    <s v="Costa Rica"/>
    <x v="1"/>
    <s v="Upper middle income"/>
    <x v="1"/>
    <x v="2"/>
    <x v="0"/>
    <n v="2018"/>
    <n v="1"/>
    <n v="2007"/>
    <n v="63951114302.259895"/>
    <n v="2"/>
    <n v="340000000"/>
    <n v="1"/>
    <n v="470000000"/>
    <n v="3"/>
    <n v="810000000"/>
    <n v="5.3165609967797721E-3"/>
    <n v="7.3493637308426263E-3"/>
    <n v="1.2665924727622398E-2"/>
    <n v="2.5323432367815407E-4"/>
    <n v="5.9109087707825037E-4"/>
    <n v="3.7800478806064878E-4"/>
    <n v="47647058.823529415"/>
    <n v="7.4505439574249399E-4"/>
    <x v="0"/>
    <s v="na"/>
    <s v="na"/>
    <s v="na"/>
    <s v="na"/>
    <s v="na"/>
    <s v="na"/>
    <n v="0"/>
    <s v="na"/>
    <s v="na"/>
    <s v="na"/>
    <n v="2123512000"/>
    <n v="122060000"/>
    <n v="-2001452000"/>
    <x v="77"/>
    <n v="16108703000"/>
    <n v="11452817000"/>
    <n v="-4655886000"/>
    <n v="27561520000"/>
    <n v="0.13182389668491623"/>
    <n v="1.0657639950066434E-2"/>
    <n v="6.4471693264229893E-3"/>
    <n v="5.535569051175665E-3"/>
    <n v="8.1474896885222581E-2"/>
    <n v="3.5113883854884551E-2"/>
    <n v="49"/>
    <n v="2307465109.615099"/>
    <n v="32"/>
    <n v="612464513.52537298"/>
    <n v="14"/>
    <n v="1539869204.1605048"/>
    <n v="3"/>
    <n v="155131391.92922124"/>
    <n v="3.6081702950617051E-2"/>
    <n v="9.5770733662373392E-3"/>
    <n v="2.4078848679358965E-2"/>
    <n v="2.4257809050207469E-3"/>
    <n v="135733241.74206465"/>
    <n v="2.1224531147421796E-3"/>
  </r>
  <r>
    <n v="116"/>
    <s v="MWI"/>
    <s v="Malawi"/>
    <x v="3"/>
    <s v="Low income"/>
    <x v="1"/>
    <x v="0"/>
    <x v="1"/>
    <s v="na"/>
    <n v="1"/>
    <n v="2008"/>
    <n v="10862613621.905966"/>
    <n v="3"/>
    <n v="810000000"/>
    <n v="0"/>
    <n v="0"/>
    <n v="3"/>
    <n v="810000000"/>
    <n v="7.4567689526075273E-2"/>
    <n v="0"/>
    <n v="7.4567689526075273E-2"/>
    <n v="6.032935358214847E-4"/>
    <n v="0"/>
    <n v="3.7800478806064878E-4"/>
    <n v="47647058.823529415"/>
    <n v="4.3863346780044273E-3"/>
    <x v="0"/>
    <s v="na"/>
    <s v="na"/>
    <s v="na"/>
    <s v="na"/>
    <s v="na"/>
    <s v="na"/>
    <n v="0"/>
    <s v="na"/>
    <s v="na"/>
    <s v="na"/>
    <n v="541249000"/>
    <n v="35293000"/>
    <n v="-505956000"/>
    <x v="78"/>
    <n v="2941148000"/>
    <n v="912983000"/>
    <n v="-2028165000"/>
    <n v="3854131000"/>
    <n v="0.18402644137595253"/>
    <n v="3.8656798647948541E-2"/>
    <n v="1.1771325829317432E-3"/>
    <n v="4.412783718668963E-4"/>
    <n v="0.14959065999572926"/>
    <n v="5.3075808462645042E-2"/>
    <n v="155"/>
    <n v="1346157401.5601292"/>
    <n v="144"/>
    <n v="1208006927.5556164"/>
    <n v="6"/>
    <n v="161598.31997793919"/>
    <n v="5"/>
    <n v="137988875.68453479"/>
    <n v="0.12392573725032585"/>
    <n v="0.11120775990038925"/>
    <n v="1.4876559693889303E-5"/>
    <n v="1.27031007902427E-2"/>
    <n v="79185729.503537014"/>
    <n v="7.2897492500191684E-3"/>
  </r>
  <r>
    <n v="166"/>
    <s v="STP"/>
    <s v="Sao Tome and Principe"/>
    <x v="3"/>
    <s v="Lower middle income"/>
    <x v="1"/>
    <x v="0"/>
    <x v="1"/>
    <s v="na"/>
    <n v="1"/>
    <n v="2016"/>
    <n v="427425039.68433946"/>
    <n v="3"/>
    <n v="950000000"/>
    <n v="0"/>
    <n v="0"/>
    <n v="3"/>
    <n v="950000000"/>
    <n v="2.2226119478203499"/>
    <n v="0"/>
    <n v="2.2226119478203499"/>
    <n v="7.0756649263013641E-4"/>
    <n v="0"/>
    <n v="4.4333894896002015E-4"/>
    <n v="55882352.941176474"/>
    <n v="0.13074187928354999"/>
    <x v="0"/>
    <s v="na"/>
    <s v="na"/>
    <s v="na"/>
    <s v="na"/>
    <s v="na"/>
    <s v="na"/>
    <n v="0"/>
    <s v="na"/>
    <s v="na"/>
    <s v="na"/>
    <n v="8980000"/>
    <n v="14000"/>
    <n v="-8966000"/>
    <x v="79"/>
    <n v="147896000"/>
    <n v="9860000"/>
    <n v="-138036000"/>
    <n v="157756000"/>
    <n v="6.071834261913777E-2"/>
    <n v="1.4198782961460446E-3"/>
    <n v="5.9192261146080758E-5"/>
    <n v="4.7657018220575822E-6"/>
    <n v="5.7012094627145717E-2"/>
    <n v="2.1042286167048656E-2"/>
    <n v="22"/>
    <n v="228583110.16083306"/>
    <n v="18"/>
    <n v="228583110.16083306"/>
    <n v="3"/>
    <n v="0"/>
    <n v="1"/>
    <n v="0"/>
    <n v="0.53479110706673971"/>
    <n v="0.53479110706673971"/>
    <n v="0"/>
    <n v="0"/>
    <n v="13446065.303578416"/>
    <n v="3.1458300415690574E-2"/>
  </r>
  <r>
    <n v="52"/>
    <s v="CZE"/>
    <s v="Czech Republic"/>
    <x v="0"/>
    <s v="High income"/>
    <x v="1"/>
    <x v="0"/>
    <x v="0"/>
    <n v="2015"/>
    <n v="0"/>
    <s v="na"/>
    <n v="252498032247.16284"/>
    <n v="1"/>
    <n v="100000000"/>
    <n v="4"/>
    <n v="860000000"/>
    <n v="5"/>
    <n v="960000000"/>
    <n v="3.960426903529805E-4"/>
    <n v="3.4059671370356322E-3"/>
    <n v="3.8020098273886128E-3"/>
    <n v="7.4480683434751193E-5"/>
    <n v="1.0815705410367985E-3"/>
    <n v="4.4800567473854668E-4"/>
    <n v="56470588.235294119"/>
    <n v="2.2364763690521251E-4"/>
    <x v="0"/>
    <s v="na"/>
    <s v="na"/>
    <s v="na"/>
    <s v="na"/>
    <s v="na"/>
    <s v="na"/>
    <n v="0"/>
    <s v="na"/>
    <s v="na"/>
    <s v="na"/>
    <n v="28337633000"/>
    <n v="2469651000"/>
    <n v="-25867982000"/>
    <x v="80"/>
    <n v="179273065000"/>
    <n v="199469710000"/>
    <n v="20196645000"/>
    <n v="378742775000"/>
    <n v="0.15806966316998039"/>
    <n v="1.2381082822048521E-2"/>
    <n v="7.1750271000826996E-2"/>
    <n v="9.641107103370157E-2"/>
    <n v="8.1340915348154172E-2"/>
    <n v="0.1220099963782833"/>
    <s v="na"/>
    <s v="na"/>
    <s v="na"/>
    <s v="na"/>
    <s v="na"/>
    <s v="na"/>
    <s v="na"/>
    <s v="na"/>
    <n v="0"/>
    <n v="0"/>
    <n v="0"/>
    <n v="0"/>
    <n v="0"/>
    <n v="0"/>
  </r>
  <r>
    <n v="6"/>
    <s v="ATG"/>
    <s v="Antigua and Barbuda"/>
    <x v="1"/>
    <s v="High income"/>
    <x v="1"/>
    <x v="0"/>
    <x v="0"/>
    <n v="2018"/>
    <n v="0"/>
    <s v="na"/>
    <n v="1661962962.9629629"/>
    <n v="0"/>
    <n v="0"/>
    <n v="2"/>
    <n v="1000000000"/>
    <n v="2"/>
    <n v="1000000000"/>
    <n v="0"/>
    <n v="0.60169812582176363"/>
    <n v="0.60169812582176363"/>
    <n v="0"/>
    <n v="1.2576401639962775E-3"/>
    <n v="4.6667257785265278E-4"/>
    <n v="58823529.411764704"/>
    <n v="3.5394007401280216E-2"/>
    <x v="0"/>
    <s v="na"/>
    <s v="na"/>
    <s v="na"/>
    <s v="na"/>
    <s v="na"/>
    <s v="na"/>
    <n v="0"/>
    <s v="na"/>
    <s v="na"/>
    <s v="na"/>
    <n v="42000000"/>
    <n v="19000"/>
    <n v="-41981000"/>
    <x v="81"/>
    <n v="568334000"/>
    <n v="37400000"/>
    <n v="-530934000"/>
    <n v="605734000"/>
    <n v="7.3900206568672647E-2"/>
    <n v="5.080213903743316E-4"/>
    <n v="2.2746372144071954E-4"/>
    <n v="1.8076800014701171E-5"/>
    <n v="6.9368732810111369E-2"/>
    <n v="2.5282753548904687E-2"/>
    <n v="59"/>
    <n v="398209262.67240685"/>
    <n v="54"/>
    <n v="390298705.9867053"/>
    <n v="2"/>
    <n v="0"/>
    <n v="3"/>
    <n v="7910556.6857015602"/>
    <n v="0.23960176703485361"/>
    <n v="0.23484199990286014"/>
    <n v="0"/>
    <n v="4.7597671319934516E-3"/>
    <n v="23424074.274847463"/>
    <n v="1.4094221590285507E-2"/>
  </r>
  <r>
    <n v="122"/>
    <s v="MRT"/>
    <s v="Mauritania"/>
    <x v="3"/>
    <s v="Lower middle income"/>
    <x v="1"/>
    <x v="0"/>
    <x v="0"/>
    <n v="2018"/>
    <n v="0"/>
    <s v="na"/>
    <n v="7600650037.8463011"/>
    <n v="6"/>
    <n v="1010000000"/>
    <n v="0"/>
    <n v="0"/>
    <n v="6"/>
    <n v="1010000000"/>
    <n v="0.13288337115521118"/>
    <n v="0"/>
    <n v="0.13288337115521118"/>
    <n v="7.5225490269098712E-4"/>
    <n v="0"/>
    <n v="4.7133930363117932E-4"/>
    <n v="59411764.705882356"/>
    <n v="7.8166688914830113E-3"/>
    <x v="0"/>
    <s v="na"/>
    <s v="na"/>
    <s v="na"/>
    <s v="na"/>
    <s v="na"/>
    <s v="na"/>
    <n v="0"/>
    <s v="na"/>
    <s v="na"/>
    <s v="na"/>
    <n v="377888000"/>
    <n v="875593000"/>
    <n v="497705000"/>
    <x v="82"/>
    <n v="3519825000"/>
    <n v="2890635000"/>
    <n v="-629190000"/>
    <n v="6410460000"/>
    <n v="0.10735988294872614"/>
    <n v="0.30290680075485144"/>
    <n v="1.408735872427271E-3"/>
    <n v="1.3971505564303671E-3"/>
    <n v="0.19553682575041417"/>
    <n v="0.1649176049099062"/>
    <n v="99"/>
    <n v="2573750430.3313603"/>
    <n v="88"/>
    <n v="1273043490.1578119"/>
    <n v="7"/>
    <n v="389471132.71857762"/>
    <n v="4"/>
    <n v="911235807.45497096"/>
    <n v="0.33862240959862044"/>
    <n v="0.16749139663303561"/>
    <n v="5.1241818894339868E-2"/>
    <n v="0.11988919407124501"/>
    <n v="151397084.13713884"/>
    <n v="1.9918965270507086E-2"/>
  </r>
  <r>
    <n v="160"/>
    <s v="RWA"/>
    <s v="Rwanda"/>
    <x v="3"/>
    <s v="Low income"/>
    <x v="1"/>
    <x v="0"/>
    <x v="0"/>
    <n v="2018"/>
    <n v="0"/>
    <s v="na"/>
    <n v="10355974217.373478"/>
    <n v="1"/>
    <n v="120000000"/>
    <n v="6"/>
    <n v="1050000000"/>
    <n v="7"/>
    <n v="1170000000"/>
    <n v="1.1587514364286903E-2"/>
    <n v="0.10139075068751041"/>
    <n v="0.11297826505179731"/>
    <n v="8.9376820121701432E-5"/>
    <n v="1.3205221721960913E-3"/>
    <n v="5.4600691608760381E-4"/>
    <n v="68823529.411764711"/>
    <n v="6.6457802971645477E-3"/>
    <x v="3"/>
    <n v="1"/>
    <n v="100000000"/>
    <n v="1"/>
    <n v="100000000"/>
    <n v="0"/>
    <n v="0"/>
    <n v="2"/>
    <n v="200000000"/>
    <n v="1.9312523940478173E-2"/>
    <n v="5.0175325129834924E-3"/>
    <n v="635332"/>
    <n v="6583"/>
    <n v="-628749"/>
    <x v="83"/>
    <n v="3195163000"/>
    <n v="1161751000"/>
    <n v="-2033412000"/>
    <n v="4356914000"/>
    <n v="1.9884181182618852E-4"/>
    <n v="5.6664465965598478E-6"/>
    <n v="1.2787967402789449E-3"/>
    <n v="5.6151712550478895E-4"/>
    <n v="1.4733249267715636E-4"/>
    <n v="6.1984994026260224E-5"/>
    <n v="104"/>
    <n v="838191857.3194195"/>
    <n v="97"/>
    <n v="811643265.86835873"/>
    <n v="5"/>
    <n v="145250.687988369"/>
    <n v="2"/>
    <n v="26403340.763072379"/>
    <n v="8.0938001555975775E-2"/>
    <n v="7.8374400016052836E-2"/>
    <n v="1.4025786945731509E-5"/>
    <n v="2.5495757529771929E-3"/>
    <n v="49305403.371730559"/>
    <n v="4.7610589150573982E-3"/>
  </r>
  <r>
    <n v="128"/>
    <s v="MNE"/>
    <s v="Montenegro"/>
    <x v="0"/>
    <s v="Upper middle income"/>
    <x v="1"/>
    <x v="0"/>
    <x v="0"/>
    <n v="2017"/>
    <n v="0"/>
    <s v="na"/>
    <n v="5542674764.8902826"/>
    <n v="0"/>
    <n v="0"/>
    <n v="2"/>
    <n v="1220000000"/>
    <n v="2"/>
    <n v="1220000000"/>
    <n v="0"/>
    <n v="0.22011033512700612"/>
    <n v="0.22011033512700612"/>
    <n v="0"/>
    <n v="1.5343210000754585E-3"/>
    <n v="5.6934054498023639E-4"/>
    <n v="71764705.882352948"/>
    <n v="1.2947666772176833E-2"/>
    <x v="0"/>
    <s v="na"/>
    <s v="na"/>
    <s v="na"/>
    <s v="na"/>
    <s v="na"/>
    <s v="na"/>
    <n v="0"/>
    <s v="na"/>
    <s v="na"/>
    <s v="na"/>
    <n v="221954000"/>
    <n v="17413000"/>
    <n v="-204541000"/>
    <x v="84"/>
    <n v="2600771000"/>
    <n v="415484000"/>
    <n v="-2185287000"/>
    <n v="3016255000"/>
    <n v="8.5341616005407628E-2"/>
    <n v="4.1910157791876464E-2"/>
    <n v="1.0409038527962459E-3"/>
    <n v="2.008187480563664E-4"/>
    <n v="7.9359006450051478E-2"/>
    <n v="4.3186189006841048E-2"/>
    <n v="20"/>
    <n v="1035055873.7648617"/>
    <n v="16"/>
    <n v="22913447.661233313"/>
    <n v="4"/>
    <n v="1012142426.1036284"/>
    <n v="0"/>
    <n v="0"/>
    <n v="0.18674302889308186"/>
    <n v="4.1340054455976877E-3"/>
    <n v="0.18260902344748417"/>
    <n v="0"/>
    <n v="60885639.633227162"/>
    <n v="1.0984884052534227E-2"/>
  </r>
  <r>
    <n v="188"/>
    <s v="TWN"/>
    <s v="Taipei, Chinese"/>
    <x v="4"/>
    <s v="na"/>
    <x v="1"/>
    <x v="0"/>
    <x v="1"/>
    <s v="na"/>
    <n v="0"/>
    <s v="na"/>
    <s v="na"/>
    <n v="3"/>
    <n v="1220000000"/>
    <n v="0"/>
    <n v="0"/>
    <n v="3"/>
    <n v="1220000000"/>
    <n v="0"/>
    <n v="0"/>
    <n v="0"/>
    <n v="9.0866433790396457E-4"/>
    <n v="0"/>
    <n v="5.6934054498023639E-4"/>
    <n v="71764705.882352948"/>
    <n v="0"/>
    <x v="0"/>
    <s v="na"/>
    <s v="na"/>
    <s v="na"/>
    <s v="na"/>
    <s v="na"/>
    <s v="na"/>
    <n v="0"/>
    <s v="na"/>
    <s v="na"/>
    <s v="na"/>
    <n v="57432534000"/>
    <n v="91886693000"/>
    <n v="34454159000"/>
    <x v="85"/>
    <n v="285906281000"/>
    <n v="329512433000"/>
    <n v="43606152000"/>
    <n v="615418714000"/>
    <n v="0.20087888170599513"/>
    <n v="0.27885652800238953"/>
    <n v="0.11442797133294171"/>
    <n v="0.15926551747857273"/>
    <n v="0.24263029966943775"/>
    <s v="na"/>
    <s v="na"/>
    <s v="na"/>
    <s v="na"/>
    <s v="na"/>
    <s v="na"/>
    <s v="na"/>
    <s v="na"/>
    <s v="na"/>
    <n v="0"/>
    <n v="0"/>
    <n v="0"/>
    <n v="0"/>
    <n v="0"/>
    <n v="0"/>
  </r>
  <r>
    <n v="118"/>
    <s v="MDV"/>
    <s v="Maldives"/>
    <x v="6"/>
    <s v="Upper middle income"/>
    <x v="1"/>
    <x v="0"/>
    <x v="0"/>
    <n v="2017"/>
    <n v="0"/>
    <s v="na"/>
    <n v="5642179170.4589777"/>
    <n v="0"/>
    <n v="0"/>
    <n v="6"/>
    <n v="1230000000"/>
    <n v="6"/>
    <n v="1230000000"/>
    <n v="0"/>
    <n v="0.218000875697101"/>
    <n v="0.218000875697101"/>
    <n v="0"/>
    <n v="1.5468974017154211E-3"/>
    <n v="5.7400727075876293E-4"/>
    <n v="72352941.176470593"/>
    <n v="1.2823580923358883E-2"/>
    <x v="2"/>
    <n v="3"/>
    <n v="67300000"/>
    <n v="0"/>
    <n v="0"/>
    <n v="0"/>
    <n v="0"/>
    <n v="3"/>
    <n v="67300000"/>
    <n v="1.1928015393833249E-2"/>
    <n v="1.6883996906189452E-3"/>
    <n v="469397"/>
    <n v="4"/>
    <n v="-469393"/>
    <x v="86"/>
    <n v="2887083000"/>
    <n v="158016000"/>
    <n v="-2729067000"/>
    <n v="3045099000"/>
    <n v="1.6258521144005904E-4"/>
    <n v="2.5313892264074525E-8"/>
    <n v="1.1554942046195318E-3"/>
    <n v="7.6374963399011253E-5"/>
    <n v="1.5414966804034943E-4"/>
    <n v="8.3194982969995863E-5"/>
    <n v="77"/>
    <n v="1817080883.9023614"/>
    <n v="63"/>
    <n v="384920213.52288961"/>
    <n v="10"/>
    <n v="1185724060.2961195"/>
    <n v="4"/>
    <n v="246436610.0833523"/>
    <n v="0.32205302756355864"/>
    <n v="6.8221905383337431E-2"/>
    <n v="0.21015356380461481"/>
    <n v="4.3677558375606364E-2"/>
    <n v="106887110.81778596"/>
    <n v="1.8944295739032859E-2"/>
  </r>
  <r>
    <n v="14"/>
    <s v="BHR"/>
    <s v="Bahrain"/>
    <x v="5"/>
    <s v="High income"/>
    <x v="1"/>
    <x v="0"/>
    <x v="0"/>
    <n v="2018"/>
    <n v="0"/>
    <s v="na"/>
    <n v="38474521276.595741"/>
    <n v="0"/>
    <n v="0"/>
    <n v="2"/>
    <n v="1420000000"/>
    <n v="2"/>
    <n v="1420000000"/>
    <n v="0"/>
    <n v="3.6907541741495138E-2"/>
    <n v="3.6907541741495138E-2"/>
    <n v="0"/>
    <n v="1.785849032874714E-3"/>
    <n v="6.6267506055076692E-4"/>
    <n v="83529411.764705881"/>
    <n v="2.1710318671467727E-3"/>
    <x v="2"/>
    <n v="0"/>
    <n v="0"/>
    <n v="0"/>
    <n v="0"/>
    <n v="0"/>
    <n v="0"/>
    <n v="0"/>
    <n v="0"/>
    <n v="0"/>
    <n v="0"/>
    <n v="2065479"/>
    <n v="317157"/>
    <n v="-1748322"/>
    <x v="87"/>
    <n v="18589050000"/>
    <n v="14167296000"/>
    <n v="-4421754000"/>
    <n v="32756346000"/>
    <n v="1.1111267116931742E-4"/>
    <n v="2.2386558451238685E-5"/>
    <n v="7.4398760078538458E-3"/>
    <n v="6.847576912862992E-3"/>
    <n v="7.2738149731352826E-5"/>
    <n v="6.1927632130133101E-5"/>
    <s v="na"/>
    <s v="na"/>
    <s v="na"/>
    <s v="na"/>
    <s v="na"/>
    <s v="na"/>
    <s v="na"/>
    <s v="na"/>
    <n v="0"/>
    <n v="0"/>
    <n v="0"/>
    <n v="0"/>
    <n v="0"/>
    <n v="0"/>
  </r>
  <r>
    <n v="53"/>
    <s v="DNK"/>
    <s v="Denmark"/>
    <x v="0"/>
    <s v="High income"/>
    <x v="2"/>
    <x v="0"/>
    <x v="1"/>
    <s v="na"/>
    <n v="0"/>
    <s v="na"/>
    <n v="347561349210.97949"/>
    <n v="3"/>
    <n v="1430000000"/>
    <n v="0"/>
    <n v="0"/>
    <n v="3"/>
    <n v="1430000000"/>
    <n v="4.1143815422696782E-3"/>
    <n v="0"/>
    <n v="4.1143815422696782E-3"/>
    <n v="1.0650737731169421E-3"/>
    <n v="0"/>
    <n v="6.6734178632929346E-4"/>
    <n v="84117647.058823526"/>
    <n v="2.4202244366292223E-4"/>
    <x v="3"/>
    <n v="0"/>
    <n v="0"/>
    <n v="0"/>
    <n v="0"/>
    <n v="0"/>
    <n v="0"/>
    <n v="0"/>
    <n v="0"/>
    <n v="0"/>
    <n v="0"/>
    <n v="7064542000"/>
    <n v="3803406000"/>
    <n v="-3261136000"/>
    <x v="88"/>
    <n v="97209694000"/>
    <n v="109991555000"/>
    <n v="12781861000"/>
    <n v="207201249000"/>
    <n v="7.2673225367832148E-2"/>
    <n v="3.4579072911552163E-2"/>
    <n v="3.8906133994013353E-2"/>
    <n v="5.3162977086657896E-2"/>
    <n v="5.2451170311236882E-2"/>
    <n v="3.1269150107375292E-2"/>
    <s v="na"/>
    <s v="na"/>
    <s v="na"/>
    <s v="na"/>
    <s v="na"/>
    <s v="na"/>
    <s v="na"/>
    <s v="na"/>
    <n v="0"/>
    <n v="0"/>
    <n v="0"/>
    <n v="0"/>
    <n v="0"/>
    <n v="0"/>
  </r>
  <r>
    <n v="123"/>
    <s v="MUS"/>
    <s v="Mauritius"/>
    <x v="3"/>
    <s v="Upper middle income"/>
    <x v="1"/>
    <x v="2"/>
    <x v="1"/>
    <s v="na"/>
    <n v="0"/>
    <s v="na"/>
    <n v="14046337854.8466"/>
    <n v="4"/>
    <n v="1470000000"/>
    <n v="0"/>
    <n v="0"/>
    <n v="4"/>
    <n v="1470000000"/>
    <n v="0.10465361257794221"/>
    <n v="0"/>
    <n v="0.10465361257794221"/>
    <n v="1.0948660464908425E-3"/>
    <n v="0"/>
    <n v="6.8600868944339961E-4"/>
    <n v="86470588.235294119"/>
    <n v="6.1560948575260128E-3"/>
    <x v="0"/>
    <s v="na"/>
    <s v="na"/>
    <s v="na"/>
    <s v="na"/>
    <s v="na"/>
    <s v="na"/>
    <n v="0"/>
    <s v="na"/>
    <s v="na"/>
    <s v="na"/>
    <n v="934919000"/>
    <n v="31982000"/>
    <n v="-902937000"/>
    <x v="89"/>
    <n v="5600488000"/>
    <n v="1873604000"/>
    <n v="-3726884000"/>
    <n v="7474092000"/>
    <n v="0.1669352742118187"/>
    <n v="1.7069775683655673E-2"/>
    <n v="2.2414774452418694E-3"/>
    <n v="9.0558194691829348E-4"/>
    <n v="0.12936701876294807"/>
    <n v="6.8836518813078174E-2"/>
    <n v="95"/>
    <n v="2169146515.9355683"/>
    <n v="85"/>
    <n v="636904511.15150201"/>
    <n v="5"/>
    <n v="474251128.33628535"/>
    <n v="5"/>
    <n v="1057990876.4477811"/>
    <n v="0.15442790415205043"/>
    <n v="4.5343100652512222E-2"/>
    <n v="3.3763329149358888E-2"/>
    <n v="7.5321474350179329E-2"/>
    <n v="127596853.87856284"/>
    <n v="9.0839943618853183E-3"/>
  </r>
  <r>
    <n v="25"/>
    <s v="BWA"/>
    <s v="Botswana"/>
    <x v="3"/>
    <s v="Upper middle income"/>
    <x v="1"/>
    <x v="0"/>
    <x v="0"/>
    <s v="na"/>
    <n v="0"/>
    <s v="na"/>
    <n v="18362348887.587276"/>
    <n v="6"/>
    <n v="1640000000"/>
    <n v="0"/>
    <n v="0"/>
    <n v="6"/>
    <n v="1640000000"/>
    <n v="8.9313192448304907E-2"/>
    <n v="0"/>
    <n v="8.9313192448304907E-2"/>
    <n v="1.2214832083299197E-3"/>
    <n v="0"/>
    <n v="7.6534302767835064E-4"/>
    <n v="96470588.235294119"/>
    <n v="5.2537172028414656E-3"/>
    <x v="0"/>
    <s v="na"/>
    <s v="na"/>
    <s v="na"/>
    <s v="na"/>
    <s v="na"/>
    <s v="na"/>
    <n v="0"/>
    <s v="na"/>
    <s v="na"/>
    <s v="na"/>
    <n v="125605000"/>
    <n v="80000"/>
    <n v="-125525000"/>
    <x v="90"/>
    <n v="6558523000"/>
    <n v="5238079000"/>
    <n v="-1320444000"/>
    <n v="11796602000"/>
    <n v="1.9151415646480159E-2"/>
    <n v="1.5272774618328589E-5"/>
    <n v="2.6249107896669081E-3"/>
    <n v="2.5317568594707463E-3"/>
    <n v="1.0654339274987832E-2"/>
    <n v="6.8447125566251238E-3"/>
    <n v="88"/>
    <n v="1396734348.6575637"/>
    <n v="77"/>
    <n v="306931187.79204851"/>
    <n v="9"/>
    <n v="1089803160.8655152"/>
    <n v="2"/>
    <n v="0"/>
    <n v="7.606512419561634E-2"/>
    <n v="1.6715246490035394E-2"/>
    <n v="5.934987770558095E-2"/>
    <n v="0"/>
    <n v="82160844.038680211"/>
    <n v="4.474419070330372E-3"/>
  </r>
  <r>
    <n v="214"/>
    <s v="YEM"/>
    <s v="Yemen"/>
    <x v="5"/>
    <s v="Low income"/>
    <x v="1"/>
    <x v="0"/>
    <x v="0"/>
    <n v="2017"/>
    <n v="0"/>
    <s v="na"/>
    <s v="na"/>
    <n v="4"/>
    <n v="1200000000"/>
    <n v="1"/>
    <n v="510000000"/>
    <n v="5"/>
    <n v="1710000000"/>
    <n v="0"/>
    <n v="0"/>
    <n v="0"/>
    <n v="8.9376820121701438E-4"/>
    <n v="6.4139648363810149E-4"/>
    <n v="7.9801010812803629E-4"/>
    <n v="100588235.29411764"/>
    <n v="0"/>
    <x v="0"/>
    <s v="na"/>
    <s v="na"/>
    <s v="na"/>
    <s v="na"/>
    <s v="na"/>
    <s v="na"/>
    <n v="0"/>
    <s v="na"/>
    <s v="na"/>
    <s v="na"/>
    <n v="2821134000"/>
    <n v="864442000"/>
    <n v="-1956692000"/>
    <x v="91"/>
    <n v="10252621000"/>
    <n v="1575635000"/>
    <n v="-8676986000"/>
    <n v="11828256000"/>
    <n v="0.27516222437169968"/>
    <n v="0.54863086945897999"/>
    <n v="4.1033957623180586E-3"/>
    <n v="7.6156253452309324E-4"/>
    <n v="0.31159082116585912"/>
    <s v="na"/>
    <n v="74"/>
    <n v="1749062255.0303748"/>
    <n v="68"/>
    <n v="1244849858.1868131"/>
    <n v="4"/>
    <n v="176213807.73125672"/>
    <n v="2"/>
    <n v="327998589.11230499"/>
    <n v="0"/>
    <n v="0"/>
    <n v="0"/>
    <n v="0"/>
    <n v="102886015.00178675"/>
    <n v="0"/>
  </r>
  <r>
    <n v="20"/>
    <s v="BEN"/>
    <s v="Benin"/>
    <x v="3"/>
    <s v="Lower middle income"/>
    <x v="1"/>
    <x v="0"/>
    <x v="0"/>
    <s v="na"/>
    <n v="0"/>
    <s v="na"/>
    <n v="14391686309.032972"/>
    <n v="1"/>
    <n v="240000000"/>
    <n v="3"/>
    <n v="1490000000"/>
    <n v="4"/>
    <n v="1730000000"/>
    <n v="1.6676294552735178E-2"/>
    <n v="0.1035319953482309"/>
    <n v="0.12020828990096608"/>
    <n v="1.7875364024340286E-4"/>
    <n v="1.8738838443544533E-3"/>
    <n v="8.0734355968508937E-4"/>
    <n v="101764705.88235295"/>
    <n v="7.0710758765274171E-3"/>
    <x v="3"/>
    <n v="0"/>
    <n v="0"/>
    <n v="0"/>
    <n v="0"/>
    <n v="0"/>
    <n v="0"/>
    <n v="0"/>
    <n v="0"/>
    <n v="0"/>
    <n v="0"/>
    <n v="2155750000"/>
    <n v="62786000"/>
    <n v="-2092964000"/>
    <x v="92"/>
    <n v="2928973000"/>
    <n v="850666000"/>
    <n v="-2078307000"/>
    <n v="3779639000"/>
    <n v="0.73600883313024734"/>
    <n v="7.3808051573708136E-2"/>
    <n v="1.1722597954361145E-3"/>
    <n v="4.1115826634507453E-4"/>
    <n v="0.58697034293486761"/>
    <n v="0.15415399921602871"/>
    <n v="107"/>
    <n v="1617030787.8226161"/>
    <n v="97"/>
    <n v="1265774443.634197"/>
    <n v="8"/>
    <n v="351256344.18841916"/>
    <n v="2"/>
    <n v="0"/>
    <n v="0.1123586738273807"/>
    <n v="8.7951781080701508E-2"/>
    <n v="2.4406892746679197E-2"/>
    <n v="0"/>
    <n v="95119458.107212707"/>
    <n v="6.6093337545518049E-3"/>
  </r>
  <r>
    <n v="69"/>
    <s v="GAB"/>
    <s v="Gabon"/>
    <x v="3"/>
    <s v="Upper middle income"/>
    <x v="1"/>
    <x v="0"/>
    <x v="0"/>
    <n v="2018"/>
    <n v="0"/>
    <s v="na"/>
    <n v="16874450215.135065"/>
    <n v="5"/>
    <n v="1520000000"/>
    <n v="3"/>
    <n v="440000000"/>
    <n v="8"/>
    <n v="1960000000"/>
    <n v="9.0077008768954067E-2"/>
    <n v="2.6074923591013016E-2"/>
    <n v="0.11615193235996708"/>
    <n v="1.1321063882082183E-3"/>
    <n v="5.53361672158362E-4"/>
    <n v="9.1467825259119952E-4"/>
    <n v="115294117.64705883"/>
    <n v="6.8324666094098287E-3"/>
    <x v="0"/>
    <s v="na"/>
    <s v="na"/>
    <s v="na"/>
    <s v="na"/>
    <s v="na"/>
    <s v="na"/>
    <n v="0"/>
    <s v="na"/>
    <s v="na"/>
    <s v="na"/>
    <n v="377221000"/>
    <n v="4612508000"/>
    <n v="4235287000"/>
    <x v="93"/>
    <n v="2321628000"/>
    <n v="7301312000"/>
    <n v="4979684000"/>
    <n v="9622940000"/>
    <n v="0.16248124161148986"/>
    <n v="0.63173687140064694"/>
    <n v="9.2918274233280934E-4"/>
    <n v="3.5289934991694612E-3"/>
    <n v="0.51852438028294889"/>
    <n v="0.29569727821559499"/>
    <n v="82"/>
    <n v="3574199027.2534776"/>
    <n v="62"/>
    <n v="1619657920.6404765"/>
    <n v="9"/>
    <n v="1485116670.8451018"/>
    <n v="11"/>
    <n v="469424435.76789874"/>
    <n v="0.21181128757888065"/>
    <n v="9.5982855736998746E-2"/>
    <n v="8.8009781172785587E-2"/>
    <n v="2.7818650669096268E-2"/>
    <n v="210247001.60314575"/>
    <n v="1.2459487504640038E-2"/>
  </r>
  <r>
    <n v="101"/>
    <s v="PRK"/>
    <s v="Korea, Democratic People's Republic of"/>
    <x v="4"/>
    <s v="High income"/>
    <x v="1"/>
    <x v="0"/>
    <x v="1"/>
    <s v="na"/>
    <n v="0"/>
    <s v="na"/>
    <s v="na"/>
    <n v="1"/>
    <n v="2000000000"/>
    <n v="0"/>
    <n v="0"/>
    <n v="1"/>
    <n v="2000000000"/>
    <n v="0"/>
    <n v="0"/>
    <n v="0"/>
    <n v="1.4896136686950239E-3"/>
    <n v="0"/>
    <n v="9.3334515570530556E-4"/>
    <n v="117647058.82352941"/>
    <n v="0"/>
    <x v="0"/>
    <s v="na"/>
    <s v="na"/>
    <s v="na"/>
    <s v="na"/>
    <s v="na"/>
    <s v="na"/>
    <n v="0"/>
    <s v="na"/>
    <s v="na"/>
    <s v="na"/>
    <n v="2929120000"/>
    <n v="2576499000"/>
    <n v="-352621000"/>
    <x v="94"/>
    <n v="3239556000"/>
    <n v="2997825000"/>
    <n v="-241731000"/>
    <n v="6237381000"/>
    <n v="0.90417328794439733"/>
    <n v="0.85945610567661557"/>
    <n v="1.2965641041634175E-3"/>
    <n v="1.4489594386115387E-3"/>
    <n v="0.88268120866754818"/>
    <s v="na"/>
    <n v="126"/>
    <n v="7330423494.5992079"/>
    <n v="115"/>
    <n v="7182188240.9055529"/>
    <n v="9"/>
    <n v="148235253.69365531"/>
    <n v="2"/>
    <n v="0"/>
    <n v="0"/>
    <n v="0"/>
    <n v="0"/>
    <n v="0"/>
    <n v="431201382.0352475"/>
    <n v="0"/>
  </r>
  <r>
    <n v="115"/>
    <s v="MDG"/>
    <s v="Madagascar"/>
    <x v="3"/>
    <s v="Low income"/>
    <x v="1"/>
    <x v="0"/>
    <x v="0"/>
    <n v="2017"/>
    <n v="0"/>
    <s v="na"/>
    <n v="14191911512.040983"/>
    <n v="2"/>
    <n v="290000000"/>
    <n v="4"/>
    <n v="1790000000"/>
    <n v="6"/>
    <n v="2080000000"/>
    <n v="2.0434174758907738E-2"/>
    <n v="0.12612818213256846"/>
    <n v="0.14656235689147618"/>
    <n v="2.1599398196077847E-4"/>
    <n v="2.2511758935533366E-3"/>
    <n v="9.7067896193351786E-4"/>
    <n v="122352941.17647059"/>
    <n v="8.621315111263305E-3"/>
    <x v="3"/>
    <n v="0"/>
    <n v="0"/>
    <n v="0"/>
    <n v="0"/>
    <n v="0"/>
    <n v="0"/>
    <n v="0"/>
    <n v="0"/>
    <n v="0"/>
    <n v="0"/>
    <n v="874580000"/>
    <n v="167226000"/>
    <n v="-707354000"/>
    <x v="95"/>
    <n v="3896887000"/>
    <n v="2564400000"/>
    <n v="-1332487000"/>
    <n v="6461287000"/>
    <n v="0.22443042356629792"/>
    <n v="6.5210575573233509E-2"/>
    <n v="1.5596470016820414E-3"/>
    <n v="1.2394691432540024E-3"/>
    <n v="0.16123815580394432"/>
    <n v="7.3408434030615977E-2"/>
    <n v="111"/>
    <n v="804675543.67270756"/>
    <n v="101"/>
    <n v="529686978.48534048"/>
    <n v="9"/>
    <n v="268092218.5773001"/>
    <n v="1"/>
    <n v="6896346.61006705"/>
    <n v="5.6699588564231726E-2"/>
    <n v="3.7323159606507762E-2"/>
    <n v="1.8890493951420145E-2"/>
    <n v="4.8593500630383121E-4"/>
    <n v="47333855.510159269"/>
    <n v="3.3352699155430429E-3"/>
  </r>
  <r>
    <n v="158"/>
    <s v="ROU"/>
    <s v="Romania"/>
    <x v="0"/>
    <s v="Upper middle income"/>
    <x v="0"/>
    <x v="0"/>
    <x v="0"/>
    <n v="2015"/>
    <n v="0"/>
    <s v="na"/>
    <n v="249696854574.19949"/>
    <n v="1"/>
    <n v="1300000000"/>
    <n v="2"/>
    <n v="810000000"/>
    <n v="3"/>
    <n v="2110000000"/>
    <n v="5.2063130799819271E-3"/>
    <n v="3.2439335344502779E-3"/>
    <n v="8.4502466144322046E-3"/>
    <n v="9.6824888465176558E-4"/>
    <n v="1.0186885328369846E-3"/>
    <n v="9.8467913926909736E-4"/>
    <n v="124117647.05882353"/>
    <n v="4.9707333026071797E-4"/>
    <x v="3"/>
    <n v="0"/>
    <n v="0"/>
    <n v="0"/>
    <n v="0"/>
    <n v="0"/>
    <n v="0"/>
    <n v="0"/>
    <n v="0"/>
    <n v="0"/>
    <n v="0"/>
    <n v="5094577000"/>
    <n v="849940000"/>
    <n v="-4244637000"/>
    <x v="96"/>
    <n v="96644319000"/>
    <n v="77298748000"/>
    <n v="-19345571000"/>
    <n v="173943067000"/>
    <n v="5.2714707421136674E-2"/>
    <n v="1.0995520910636224E-2"/>
    <n v="3.867985455004283E-2"/>
    <n v="3.7361337138577068E-2"/>
    <n v="3.417507292774135E-2"/>
    <n v="2.3806935854826867E-2"/>
    <n v="28"/>
    <n v="3053090379.3344493"/>
    <n v="0"/>
    <n v="0"/>
    <n v="28"/>
    <n v="3053090379.3344493"/>
    <n v="0"/>
    <n v="0"/>
    <n v="1.2227187981766098E-2"/>
    <n v="0"/>
    <n v="1.2227187981766098E-2"/>
    <n v="0"/>
    <n v="179593551.72555584"/>
    <n v="7.1924635186859404E-4"/>
  </r>
  <r>
    <n v="175"/>
    <s v="SVN"/>
    <s v="Slovenia"/>
    <x v="0"/>
    <s v="High income"/>
    <x v="1"/>
    <x v="0"/>
    <x v="0"/>
    <n v="2017"/>
    <n v="0"/>
    <s v="na"/>
    <n v="54178877605.999916"/>
    <n v="0"/>
    <n v="0"/>
    <n v="3"/>
    <n v="2180000000"/>
    <n v="3"/>
    <n v="2180000000"/>
    <n v="0"/>
    <n v="4.0237083090820268E-2"/>
    <n v="4.0237083090820268E-2"/>
    <n v="0"/>
    <n v="2.7416555575118847E-3"/>
    <n v="1.017346219718783E-3"/>
    <n v="128235294.11764705"/>
    <n v="2.3668872406364862E-3"/>
    <x v="0"/>
    <s v="na"/>
    <s v="na"/>
    <s v="na"/>
    <s v="na"/>
    <s v="na"/>
    <s v="na"/>
    <n v="0"/>
    <s v="na"/>
    <s v="na"/>
    <s v="na"/>
    <n v="2335422000"/>
    <n v="297361000"/>
    <n v="-2038061000"/>
    <x v="97"/>
    <n v="38162054000"/>
    <n v="37574594000"/>
    <n v="-587460000"/>
    <n v="75736648000"/>
    <n v="6.1197492147566271E-2"/>
    <n v="7.9138845785000373E-3"/>
    <n v="1.5273558894350326E-2"/>
    <n v="1.8161187737208307E-2"/>
    <n v="3.4762338570885787E-2"/>
    <n v="4.8594269876650942E-2"/>
    <s v="na"/>
    <s v="na"/>
    <s v="na"/>
    <s v="na"/>
    <s v="na"/>
    <s v="na"/>
    <s v="na"/>
    <s v="na"/>
    <n v="0"/>
    <n v="0"/>
    <n v="0"/>
    <n v="0"/>
    <n v="0"/>
    <n v="0"/>
  </r>
  <r>
    <n v="12"/>
    <s v="AZE"/>
    <s v="Azerbaijan"/>
    <x v="0"/>
    <s v="Upper middle income"/>
    <x v="1"/>
    <x v="0"/>
    <x v="0"/>
    <n v="2015"/>
    <n v="0"/>
    <s v="na"/>
    <n v="48174235294.117645"/>
    <n v="3"/>
    <n v="750000000"/>
    <n v="2"/>
    <n v="1440000000"/>
    <n v="5"/>
    <n v="2190000000"/>
    <n v="1.5568487915190206E-2"/>
    <n v="2.9891496797165192E-2"/>
    <n v="4.5459984712355399E-2"/>
    <n v="5.58605125760634E-4"/>
    <n v="1.8110018361546395E-3"/>
    <n v="1.0220129454973097E-3"/>
    <n v="128823529.41176471"/>
    <n v="2.6741167477856119E-3"/>
    <x v="2"/>
    <n v="2"/>
    <n v="700000000"/>
    <n v="0"/>
    <n v="0"/>
    <n v="0"/>
    <n v="0"/>
    <n v="2"/>
    <n v="700000000"/>
    <n v="1.453058872084419E-2"/>
    <n v="1.7561363795442222E-2"/>
    <n v="1432151000"/>
    <n v="752163000"/>
    <n v="-679988000"/>
    <x v="98"/>
    <n v="13649506000"/>
    <n v="19635203000"/>
    <n v="5985697000"/>
    <n v="33284709000"/>
    <n v="0.1049232844031132"/>
    <n v="3.8306861406016531E-2"/>
    <n v="5.4629274873356694E-3"/>
    <n v="9.4904181251085715E-3"/>
    <n v="6.5625149374146555E-2"/>
    <n v="4.5341954815974368E-2"/>
    <n v="27"/>
    <n v="1079802016.287219"/>
    <n v="15"/>
    <n v="48909490.424316585"/>
    <n v="10"/>
    <n v="551122917.32230496"/>
    <n v="2"/>
    <n v="479769608.54059738"/>
    <n v="2.2414512855154115E-2"/>
    <n v="1.015262414145445E-3"/>
    <n v="1.14402006374889E-2"/>
    <n v="9.9590498035197674E-3"/>
    <n v="63517765.663954064"/>
    <n v="1.3185007561855363E-3"/>
  </r>
  <r>
    <n v="195"/>
    <s v="TTO"/>
    <s v="Trinidad and Tobago"/>
    <x v="1"/>
    <s v="High income"/>
    <x v="1"/>
    <x v="0"/>
    <x v="0"/>
    <n v="2018"/>
    <n v="0"/>
    <s v="na"/>
    <n v="23208326547.532684"/>
    <n v="3"/>
    <n v="1350000000"/>
    <n v="6"/>
    <n v="930000000"/>
    <n v="9"/>
    <n v="2280000000"/>
    <n v="5.8168778228584551E-2"/>
    <n v="4.0071825001913801E-2"/>
    <n v="9.8240603230498352E-2"/>
    <n v="1.0054892263691411E-3"/>
    <n v="1.1696053525165379E-3"/>
    <n v="1.0640134775040484E-3"/>
    <n v="134117647.05882353"/>
    <n v="5.7788590135587261E-3"/>
    <x v="0"/>
    <s v="na"/>
    <s v="na"/>
    <s v="na"/>
    <s v="na"/>
    <s v="na"/>
    <s v="na"/>
    <n v="0"/>
    <s v="na"/>
    <s v="na"/>
    <s v="na"/>
    <n v="363467000"/>
    <n v="682025000"/>
    <n v="318558000"/>
    <x v="99"/>
    <n v="7163292000"/>
    <n v="11137532000"/>
    <n v="3974240000"/>
    <n v="18300824000"/>
    <n v="5.0740218324200663E-2"/>
    <n v="6.1236636626498579E-2"/>
    <n v="2.8669568529887971E-3"/>
    <n v="5.3831801770410385E-3"/>
    <n v="5.7128138055423078E-2"/>
    <n v="4.5048142435377268E-2"/>
    <n v="29"/>
    <n v="1142178893.3632855"/>
    <n v="9"/>
    <n v="329665259.88211739"/>
    <n v="20"/>
    <n v="812513633.48116803"/>
    <n v="0"/>
    <n v="0"/>
    <n v="4.9214185737347461E-2"/>
    <n v="1.4204611401297465E-2"/>
    <n v="3.5009574336049995E-2"/>
    <n v="0"/>
    <n v="67186993.727252096"/>
    <n v="2.8949521021969099E-3"/>
  </r>
  <r>
    <n v="129"/>
    <s v="MAR"/>
    <s v="Morocco"/>
    <x v="5"/>
    <s v="Lower middle income"/>
    <x v="1"/>
    <x v="0"/>
    <x v="0"/>
    <n v="2017"/>
    <n v="0"/>
    <s v="na"/>
    <n v="119700325461.93758"/>
    <n v="4"/>
    <n v="1040000000"/>
    <n v="4"/>
    <n v="1260000000"/>
    <n v="8"/>
    <n v="2300000000"/>
    <n v="8.6883640122657826E-3"/>
    <n v="1.0526287168706622E-2"/>
    <n v="1.9214651180972403E-2"/>
    <n v="7.7459910772141247E-4"/>
    <n v="1.5846266066353095E-3"/>
    <n v="1.0733469290611015E-3"/>
    <n v="135294117.64705881"/>
    <n v="1.1302735988807295E-3"/>
    <x v="1"/>
    <n v="0"/>
    <n v="0"/>
    <n v="0"/>
    <n v="0"/>
    <n v="0"/>
    <n v="0"/>
    <n v="0"/>
    <n v="0"/>
    <n v="0"/>
    <n v="0"/>
    <n v="5181673000"/>
    <n v="283450000"/>
    <n v="-4898223000"/>
    <x v="100"/>
    <n v="51067504000"/>
    <n v="29592492000"/>
    <n v="-21475012000"/>
    <n v="80659996000"/>
    <n v="0.10146712868520068"/>
    <n v="9.5784430726550511E-3"/>
    <n v="2.0438693628269347E-2"/>
    <n v="1.4303143310712417E-2"/>
    <n v="6.7755061629311261E-2"/>
    <n v="4.5656709611351931E-2"/>
    <n v="59"/>
    <n v="992214985.20459378"/>
    <n v="44"/>
    <n v="165057422.02168748"/>
    <n v="10"/>
    <n v="656287159.22629499"/>
    <n v="5"/>
    <n v="170870403.95661148"/>
    <n v="8.2891586248869404E-3"/>
    <n v="1.3789220821640339E-3"/>
    <n v="5.4827516691671975E-3"/>
    <n v="1.4274848735557116E-3"/>
    <n v="58365587.364976108"/>
    <n v="4.8759756616982011E-4"/>
  </r>
  <r>
    <n v="189"/>
    <s v="TJK"/>
    <s v="Tajikistan"/>
    <x v="0"/>
    <s v="Lower middle income"/>
    <x v="3"/>
    <x v="0"/>
    <x v="0"/>
    <n v="2018"/>
    <n v="0"/>
    <s v="na"/>
    <n v="8300784856.8790398"/>
    <n v="5"/>
    <n v="1610000000"/>
    <n v="2"/>
    <n v="710000000"/>
    <n v="7"/>
    <n v="2320000000"/>
    <n v="0.19395756277983259"/>
    <n v="8.5534080480547295E-2"/>
    <n v="0.2794916432603799"/>
    <n v="1.1991390032994942E-3"/>
    <n v="8.9292451643735698E-4"/>
    <n v="1.0826803806181545E-3"/>
    <n v="136470588.2352941"/>
    <n v="1.6440684897669401E-2"/>
    <x v="2"/>
    <n v="2"/>
    <n v="87500000"/>
    <n v="1"/>
    <n v="55000000"/>
    <n v="0"/>
    <n v="0"/>
    <n v="3"/>
    <n v="142500000"/>
    <n v="1.7167051364053505E-2"/>
    <n v="3.5749919155007386E-3"/>
    <n v="605468000"/>
    <n v="55419000"/>
    <n v="-550049000"/>
    <x v="101"/>
    <n v="3327744000"/>
    <n v="1115850000"/>
    <n v="-2211894000"/>
    <n v="4443594000"/>
    <n v="0.18194548619124548"/>
    <n v="4.9665277591074072E-2"/>
    <n v="1.3318594950188197E-3"/>
    <n v="5.3933147851348404E-4"/>
    <n v="0.14872803410932681"/>
    <n v="7.9617411051475295E-2"/>
    <n v="110"/>
    <n v="4526207246.7776613"/>
    <n v="68"/>
    <n v="1220500441.5102644"/>
    <n v="33"/>
    <n v="2663613033.5387716"/>
    <n v="9"/>
    <n v="642093771.72862554"/>
    <n v="0.54527461255988285"/>
    <n v="0.14703434224039783"/>
    <n v="0.32088688954892958"/>
    <n v="7.7353380770555522E-2"/>
    <n v="266247485.1045683"/>
    <n v="3.2074977209404873E-2"/>
  </r>
  <r>
    <n v="71"/>
    <s v="GEO"/>
    <s v="Georgia"/>
    <x v="0"/>
    <s v="Upper middle income"/>
    <x v="1"/>
    <x v="2"/>
    <x v="0"/>
    <n v="2016"/>
    <n v="0"/>
    <s v="na"/>
    <n v="17477255562.258259"/>
    <n v="6"/>
    <n v="1040000000"/>
    <n v="6"/>
    <n v="1330000000"/>
    <n v="12"/>
    <n v="2370000000"/>
    <n v="5.9505910198272588E-2"/>
    <n v="7.6098904388175515E-2"/>
    <n v="0.1356048145864481"/>
    <n v="7.7459910772141247E-4"/>
    <n v="1.6726614181150489E-3"/>
    <n v="1.1060140095107871E-3"/>
    <n v="139411764.70588234"/>
    <n v="7.9767537992028285E-3"/>
    <x v="2"/>
    <n v="4"/>
    <n v="364000000"/>
    <n v="1"/>
    <n v="100000000"/>
    <n v="0"/>
    <n v="0"/>
    <n v="5"/>
    <n v="464000000"/>
    <n v="2.6548790703844694E-2"/>
    <n v="1.1640675430121704E-2"/>
    <n v="806568000"/>
    <n v="208386000"/>
    <n v="-598182000"/>
    <x v="102"/>
    <n v="7398894000"/>
    <n v="2699657000"/>
    <n v="-4699237000"/>
    <n v="10098551000"/>
    <n v="0.1090119685455691"/>
    <n v="7.7189805964239161E-2"/>
    <n v="2.9612515946352172E-3"/>
    <n v="1.3048438421734794E-3"/>
    <n v="0.10050491402182353"/>
    <n v="5.8072847672478417E-2"/>
    <n v="43"/>
    <n v="452734039.2174657"/>
    <n v="28"/>
    <n v="97553120.836823016"/>
    <n v="12"/>
    <n v="310962176.45045644"/>
    <n v="3"/>
    <n v="44218741.930186108"/>
    <n v="2.5904183732092051E-2"/>
    <n v="5.5817185077665626E-3"/>
    <n v="1.7792391679731016E-2"/>
    <n v="2.5300735445944666E-3"/>
    <n v="26631414.071615629"/>
    <n v="1.5237755136524736E-3"/>
  </r>
  <r>
    <n v="149"/>
    <s v="PAN"/>
    <s v="Panama"/>
    <x v="1"/>
    <s v="Upper middle income"/>
    <x v="1"/>
    <x v="0"/>
    <x v="0"/>
    <n v="2017"/>
    <n v="1"/>
    <n v="2017"/>
    <n v="66787899999.999992"/>
    <n v="0"/>
    <n v="0"/>
    <n v="7"/>
    <n v="2390000000"/>
    <n v="7"/>
    <n v="2390000000"/>
    <n v="0"/>
    <n v="3.5784925113680775E-2"/>
    <n v="3.5784925113680775E-2"/>
    <n v="0"/>
    <n v="3.0057599919511031E-3"/>
    <n v="1.1153474610678402E-3"/>
    <n v="140588235.29411766"/>
    <n v="2.1049955949223988E-3"/>
    <x v="0"/>
    <s v="na"/>
    <s v="na"/>
    <s v="na"/>
    <s v="na"/>
    <s v="na"/>
    <s v="na"/>
    <n v="0"/>
    <s v="na"/>
    <s v="na"/>
    <s v="na"/>
    <n v="4634116000"/>
    <n v="534157000"/>
    <n v="-4099959000"/>
    <x v="103"/>
    <n v="21490941000"/>
    <n v="11473935000"/>
    <n v="-10017006000"/>
    <n v="32964876000"/>
    <n v="0.21563113499776487"/>
    <n v="4.6553950323058306E-2"/>
    <n v="8.6012968028007109E-3"/>
    <n v="5.5457761598042875E-3"/>
    <n v="0.15678120554738323"/>
    <n v="7.7383373335589242E-2"/>
    <n v="8"/>
    <n v="97687391.995888039"/>
    <n v="3"/>
    <n v="14798489.4873379"/>
    <n v="2"/>
    <n v="0"/>
    <n v="3"/>
    <n v="82888902.508550152"/>
    <n v="1.4626510490057039E-3"/>
    <n v="2.2157440924685314E-4"/>
    <n v="0"/>
    <n v="1.241076639758851E-3"/>
    <n v="5746317.1762287086"/>
    <n v="8.6038297000335531E-5"/>
  </r>
  <r>
    <n v="41"/>
    <s v="COL"/>
    <s v="Colombia"/>
    <x v="1"/>
    <s v="Upper middle income"/>
    <x v="1"/>
    <x v="0"/>
    <x v="1"/>
    <s v="na"/>
    <n v="0"/>
    <s v="na"/>
    <n v="323429888934.25677"/>
    <n v="7"/>
    <n v="2440000000"/>
    <n v="0"/>
    <n v="0"/>
    <n v="7"/>
    <n v="2440000000"/>
    <n v="7.5441388798051867E-3"/>
    <n v="0"/>
    <n v="7.5441388798051867E-3"/>
    <n v="1.8173286758079291E-3"/>
    <n v="0"/>
    <n v="1.1386810899604728E-3"/>
    <n v="143529411.7647059"/>
    <n v="4.4377287528265809E-4"/>
    <x v="0"/>
    <s v="na"/>
    <s v="na"/>
    <s v="na"/>
    <s v="na"/>
    <s v="na"/>
    <s v="na"/>
    <n v="0"/>
    <s v="na"/>
    <s v="na"/>
    <s v="na"/>
    <n v="10483257000"/>
    <n v="4564929000"/>
    <n v="-5918328000"/>
    <x v="104"/>
    <n v="50413025000"/>
    <n v="39496225000"/>
    <n v="-10916800000"/>
    <n v="89909250000"/>
    <n v="0.20794739058011297"/>
    <n v="0.1155788686133928"/>
    <n v="2.0176752183723008E-2"/>
    <n v="1.9089982905364733E-2"/>
    <n v="0.167370832255858"/>
    <n v="4.6526887325057421E-2"/>
    <n v="46"/>
    <n v="672303255.93577743"/>
    <n v="34"/>
    <n v="59405922.509903975"/>
    <n v="9"/>
    <n v="510473727.21455789"/>
    <n v="3"/>
    <n v="102423606.21131551"/>
    <n v="2.0786676771002936E-3"/>
    <n v="1.8367480725313965E-4"/>
    <n v="1.5783133986059072E-3"/>
    <n v="3.1667947124124649E-4"/>
    <n v="39547250.349163376"/>
    <n v="1.2227456924119372E-4"/>
  </r>
  <r>
    <n v="24"/>
    <s v="BIH"/>
    <s v="Bosnia and Herzegovina"/>
    <x v="0"/>
    <s v="Upper middle income"/>
    <x v="1"/>
    <x v="0"/>
    <x v="0"/>
    <n v="2017"/>
    <n v="0"/>
    <s v="na"/>
    <n v="20202479537.519318"/>
    <n v="2"/>
    <n v="990000000"/>
    <n v="6"/>
    <n v="1500000000"/>
    <n v="8"/>
    <n v="2490000000"/>
    <n v="4.9003885793395194E-2"/>
    <n v="7.4248311808174539E-2"/>
    <n v="0.12325219760156973"/>
    <n v="7.3735876600403681E-4"/>
    <n v="1.886460245994416E-3"/>
    <n v="1.1620147188531056E-3"/>
    <n v="146470588.2352941"/>
    <n v="7.2501292706805718E-3"/>
    <x v="0"/>
    <s v="na"/>
    <s v="na"/>
    <s v="na"/>
    <s v="na"/>
    <s v="na"/>
    <s v="na"/>
    <n v="0"/>
    <s v="na"/>
    <s v="na"/>
    <s v="na"/>
    <n v="829556000"/>
    <n v="17149000"/>
    <n v="-812407000"/>
    <x v="105"/>
    <n v="11159373000"/>
    <n v="6578244000"/>
    <n v="-4581129000"/>
    <n v="17737617000"/>
    <n v="7.4337151379383057E-2"/>
    <n v="2.6069267117486065E-3"/>
    <n v="4.466304165376498E-3"/>
    <n v="3.1795080544360409E-3"/>
    <n v="4.7734991684621447E-2"/>
    <n v="4.1910944566360284E-2"/>
    <n v="29"/>
    <n v="3078201914.6931601"/>
    <n v="20"/>
    <n v="58625691.477180719"/>
    <n v="7"/>
    <n v="2472009080.1990881"/>
    <n v="2"/>
    <n v="547567143.01689136"/>
    <n v="0.1523675303804384"/>
    <n v="2.9019057471783697E-3"/>
    <n v="0.12236166731950708"/>
    <n v="2.7103957313752966E-2"/>
    <n v="181070700.86430353"/>
    <n v="8.9627959047316706E-3"/>
  </r>
  <r>
    <n v="119"/>
    <s v="MLI"/>
    <s v="Mali"/>
    <x v="3"/>
    <s v="Low income"/>
    <x v="1"/>
    <x v="0"/>
    <x v="0"/>
    <n v="2019"/>
    <n v="0"/>
    <s v="na"/>
    <n v="17281815733.959595"/>
    <n v="3"/>
    <n v="690000000"/>
    <n v="4"/>
    <n v="1820000000"/>
    <n v="7"/>
    <n v="2510000000"/>
    <n v="3.9926360205549294E-2"/>
    <n v="0.10531300807840538"/>
    <n v="0.14523936828395467"/>
    <n v="5.139167156997833E-4"/>
    <n v="2.2889050984732247E-3"/>
    <n v="1.1713481704101584E-3"/>
    <n v="147647058.82352942"/>
    <n v="8.5434922519973342E-3"/>
    <x v="0"/>
    <s v="na"/>
    <s v="na"/>
    <s v="na"/>
    <s v="na"/>
    <s v="na"/>
    <s v="na"/>
    <n v="0"/>
    <s v="na"/>
    <s v="na"/>
    <s v="na"/>
    <n v="795952"/>
    <n v="32895"/>
    <n v="-763057"/>
    <x v="106"/>
    <n v="5049220000"/>
    <n v="3642251000"/>
    <n v="-1406969000"/>
    <n v="8691471000"/>
    <n v="1.5763860556680041E-4"/>
    <n v="9.0315027712258163E-6"/>
    <n v="2.0208440311030311E-3"/>
    <n v="1.7604343029504108E-3"/>
    <n v="9.5363258992637722E-5"/>
    <n v="4.7960643300418714E-5"/>
    <n v="149"/>
    <n v="3652028013.9940505"/>
    <n v="130"/>
    <n v="2855610033.669302"/>
    <n v="6"/>
    <n v="646014104.18274343"/>
    <n v="13"/>
    <n v="150403876.14200509"/>
    <n v="0.21132200864852649"/>
    <n v="0.16523784755197288"/>
    <n v="3.7381147567341247E-2"/>
    <n v="8.7030135292123431E-3"/>
    <n v="214825177.29376769"/>
    <n v="1.2430706391089794E-2"/>
  </r>
  <r>
    <n v="54"/>
    <s v="DJI"/>
    <s v="Djibouti"/>
    <x v="5"/>
    <s v="Lower middle income"/>
    <x v="1"/>
    <x v="0"/>
    <x v="0"/>
    <n v="2018"/>
    <n v="0"/>
    <s v="na"/>
    <n v="3324634256.1332436"/>
    <n v="3"/>
    <n v="1120000000"/>
    <n v="3"/>
    <n v="1480000000"/>
    <n v="6"/>
    <n v="2600000000"/>
    <n v="0.33687916134950424"/>
    <n v="0.44516174892613064"/>
    <n v="0.78204091027563483"/>
    <n v="8.3418365446921337E-4"/>
    <n v="1.8613074427144905E-3"/>
    <n v="1.2133487024168974E-3"/>
    <n v="152941176.47058824"/>
    <n v="4.6002406486802053E-2"/>
    <x v="1"/>
    <n v="0"/>
    <n v="0"/>
    <n v="0"/>
    <n v="0"/>
    <n v="0"/>
    <n v="0"/>
    <n v="0"/>
    <n v="0"/>
    <n v="0"/>
    <n v="0"/>
    <n v="2210291000"/>
    <n v="20136000"/>
    <n v="-2190155000"/>
    <x v="107"/>
    <n v="5301007000"/>
    <n v="193889000"/>
    <n v="-5107118000"/>
    <n v="5494896000"/>
    <n v="0.41695681594082029"/>
    <n v="0.10385323561419163"/>
    <n v="2.1216164783442563E-3"/>
    <n v="9.3713707969261925E-5"/>
    <n v="0.40590886524512931"/>
    <n v="0.67087890822436669"/>
    <n v="96"/>
    <n v="2750209235.8192444"/>
    <n v="83"/>
    <n v="705039731.5457077"/>
    <n v="7"/>
    <n v="1179677224.0810373"/>
    <n v="6"/>
    <n v="865492280.19250023"/>
    <n v="0.82722159008789997"/>
    <n v="0.21206535132249787"/>
    <n v="0.35482917313529555"/>
    <n v="0.26032706563010682"/>
    <n v="161777013.87172025"/>
    <n v="4.8660093534582352E-2"/>
  </r>
  <r>
    <n v="110"/>
    <s v="LBY"/>
    <s v="Libya"/>
    <x v="5"/>
    <s v="Upper middle income"/>
    <x v="1"/>
    <x v="0"/>
    <x v="0"/>
    <n v="2018"/>
    <n v="0"/>
    <s v="na"/>
    <n v="52091152228.342514"/>
    <n v="1"/>
    <n v="2600000000"/>
    <n v="0"/>
    <n v="0"/>
    <n v="1"/>
    <n v="2600000000"/>
    <n v="4.9912506995484621E-2"/>
    <n v="0"/>
    <n v="4.9912506995484621E-2"/>
    <n v="1.9364977693035312E-3"/>
    <n v="0"/>
    <n v="1.2133487024168974E-3"/>
    <n v="152941176.47058824"/>
    <n v="2.936029823263801E-3"/>
    <x v="1"/>
    <n v="0"/>
    <n v="0"/>
    <n v="0"/>
    <n v="0"/>
    <n v="0"/>
    <n v="0"/>
    <n v="0"/>
    <n v="0"/>
    <n v="0"/>
    <n v="0"/>
    <n v="2453887000"/>
    <n v="4765665000"/>
    <n v="2311778000"/>
    <x v="108"/>
    <n v="15501101000"/>
    <n v="29471855000"/>
    <n v="13970754000"/>
    <n v="44972956000"/>
    <n v="0.15830404562875888"/>
    <n v="0.16170224100247507"/>
    <n v="6.2039894144789139E-3"/>
    <n v="1.4244834997253233E-2"/>
    <n v="0.16053096443115725"/>
    <n v="0.13859459219394807"/>
    <n v="7"/>
    <n v="394418703.00868791"/>
    <n v="6"/>
    <n v="3304198.7619668599"/>
    <n v="1"/>
    <n v="391114504.24672103"/>
    <n v="0"/>
    <n v="0"/>
    <n v="7.5717024127196567E-3"/>
    <n v="6.3431093777362513E-5"/>
    <n v="7.5082713189422931E-3"/>
    <n v="0"/>
    <n v="23201100.176981643"/>
    <n v="4.4539425957174452E-4"/>
  </r>
  <r>
    <n v="94"/>
    <s v="JAM"/>
    <s v="Jamaica"/>
    <x v="1"/>
    <s v="Upper middle income"/>
    <x v="0"/>
    <x v="0"/>
    <x v="0"/>
    <n v="2019"/>
    <n v="0"/>
    <s v="na"/>
    <n v="15830768549.891571"/>
    <n v="2"/>
    <n v="540000000"/>
    <n v="4"/>
    <n v="2140000000"/>
    <n v="6"/>
    <n v="2680000000"/>
    <n v="3.4110788639108658E-2"/>
    <n v="0.1351797920142454"/>
    <n v="0.16929058065335406"/>
    <n v="4.0219569054765649E-4"/>
    <n v="2.6913499509520337E-3"/>
    <n v="1.2506825086451095E-3"/>
    <n v="157647058.82352942"/>
    <n v="9.9582694501972983E-3"/>
    <x v="0"/>
    <s v="na"/>
    <s v="na"/>
    <s v="na"/>
    <s v="na"/>
    <s v="na"/>
    <s v="na"/>
    <n v="0"/>
    <s v="na"/>
    <s v="na"/>
    <s v="na"/>
    <n v="492158"/>
    <n v="36193"/>
    <n v="-455965"/>
    <x v="109"/>
    <n v="6339233000"/>
    <n v="1586351000"/>
    <n v="-4752882000"/>
    <n v="7925584000"/>
    <n v="7.7636837137868263E-5"/>
    <n v="2.2815253370786162E-5"/>
    <n v="2.5371445826922493E-3"/>
    <n v="7.6674197273051401E-4"/>
    <n v="6.6663983373338795E-5"/>
    <n v="3.3374943126410549E-5"/>
    <n v="79"/>
    <n v="2417432921.7819471"/>
    <n v="52"/>
    <n v="392676844.9338299"/>
    <n v="24"/>
    <n v="2003071917.3938727"/>
    <n v="3"/>
    <n v="21684159.454244822"/>
    <n v="0.15270471008171646"/>
    <n v="2.4804660853722068E-2"/>
    <n v="0.12653030148732686"/>
    <n v="1.3697477406675459E-3"/>
    <n v="142201936.57540867"/>
    <n v="8.9826300048068512E-3"/>
  </r>
  <r>
    <n v="81"/>
    <s v="GUY"/>
    <s v="Guyana"/>
    <x v="1"/>
    <s v="Upper middle income"/>
    <x v="1"/>
    <x v="0"/>
    <x v="0"/>
    <n v="2018"/>
    <n v="0"/>
    <s v="na"/>
    <n v="5173759527.5070505"/>
    <n v="4"/>
    <n v="920000000"/>
    <n v="4"/>
    <n v="1830000000"/>
    <n v="8"/>
    <n v="2750000000"/>
    <n v="0.17782040218697548"/>
    <n v="0.35370797391539688"/>
    <n v="0.53152837610237236"/>
    <n v="6.8522228759971106E-4"/>
    <n v="2.3014815001131876E-3"/>
    <n v="1.2833495890947951E-3"/>
    <n v="161764705.88235295"/>
    <n v="3.1266375064845434E-2"/>
    <x v="0"/>
    <s v="na"/>
    <s v="na"/>
    <s v="na"/>
    <s v="na"/>
    <s v="na"/>
    <s v="na"/>
    <n v="0"/>
    <s v="na"/>
    <s v="na"/>
    <s v="na"/>
    <n v="223322000"/>
    <n v="31056000"/>
    <n v="-192266000"/>
    <x v="110"/>
    <n v="5980170000"/>
    <n v="3842163000"/>
    <n v="-2138007000"/>
    <n v="9822333000"/>
    <n v="3.7343754441763362E-2"/>
    <n v="8.0829470274946698E-3"/>
    <n v="2.3934371743519617E-3"/>
    <n v="1.8570591490610776E-3"/>
    <n v="2.5897920585669414E-2"/>
    <n v="4.9166954638607013E-2"/>
    <n v="69"/>
    <n v="1083990022.7455916"/>
    <n v="61"/>
    <n v="502081136.62308753"/>
    <n v="7"/>
    <n v="581908886.12250423"/>
    <n v="1"/>
    <n v="0"/>
    <n v="0.2095168932731411"/>
    <n v="9.7043771353055669E-2"/>
    <n v="0.11247312192008546"/>
    <n v="0"/>
    <n v="63764118.985034801"/>
    <n v="1.2324523133714183E-2"/>
  </r>
  <r>
    <n v="154"/>
    <s v="POL"/>
    <s v="Poland"/>
    <x v="0"/>
    <s v="High income"/>
    <x v="3"/>
    <x v="0"/>
    <x v="0"/>
    <n v="2015"/>
    <n v="0"/>
    <s v="na"/>
    <n v="595862086928.21094"/>
    <n v="2"/>
    <n v="660000000"/>
    <n v="11"/>
    <n v="2150000000"/>
    <n v="13"/>
    <n v="2810000000"/>
    <n v="1.1076388554983132E-3"/>
    <n v="3.6082174838202629E-3"/>
    <n v="4.7158563393185759E-3"/>
    <n v="4.9157251066935794E-4"/>
    <n v="2.7039263525919966E-3"/>
    <n v="1.3113499437659543E-3"/>
    <n v="165294117.64705881"/>
    <n v="2.7740331407756329E-4"/>
    <x v="3"/>
    <n v="0"/>
    <n v="0"/>
    <n v="0"/>
    <n v="0"/>
    <n v="0"/>
    <n v="0"/>
    <n v="0"/>
    <n v="0"/>
    <n v="0"/>
    <n v="0"/>
    <n v="30414556000"/>
    <n v="2701584000"/>
    <n v="-27712972000"/>
    <x v="111"/>
    <n v="246653880000"/>
    <n v="251864773000"/>
    <n v="5210893000"/>
    <n v="498518653000"/>
    <n v="0.12330864610765499"/>
    <n v="1.0726327337566973E-2"/>
    <n v="9.8718024001014676E-2"/>
    <n v="0.12173553829596546"/>
    <n v="6.6429089063594182E-2"/>
    <n v="5.5576853648669565E-2"/>
    <s v="na"/>
    <s v="na"/>
    <s v="na"/>
    <s v="na"/>
    <s v="na"/>
    <s v="na"/>
    <s v="na"/>
    <s v="na"/>
    <n v="0"/>
    <n v="0"/>
    <n v="0"/>
    <n v="0"/>
    <n v="0"/>
    <n v="0"/>
  </r>
  <r>
    <n v="134"/>
    <s v="NPL"/>
    <s v="Nepal"/>
    <x v="6"/>
    <s v="Lower middle income"/>
    <x v="0"/>
    <x v="0"/>
    <x v="0"/>
    <n v="2017"/>
    <n v="0"/>
    <s v="na"/>
    <n v="34186180694.928478"/>
    <n v="3"/>
    <n v="450000000"/>
    <n v="13"/>
    <n v="2480000000"/>
    <n v="16"/>
    <n v="2930000000"/>
    <n v="1.3163213639327587E-2"/>
    <n v="7.2543932945627596E-2"/>
    <n v="8.5707146584955179E-2"/>
    <n v="3.3516307545638038E-4"/>
    <n v="3.1189476067107679E-3"/>
    <n v="1.3673506531082728E-3"/>
    <n v="172352941.17647058"/>
    <n v="5.0415968579385394E-3"/>
    <x v="2"/>
    <n v="2"/>
    <n v="202300000"/>
    <n v="3"/>
    <n v="362000000"/>
    <n v="0"/>
    <n v="0"/>
    <n v="5"/>
    <n v="564300000"/>
    <n v="1.6506669903716794E-2"/>
    <n v="1.4156967985382924E-2"/>
    <n v="1939889"/>
    <n v="18116"/>
    <n v="-1921773"/>
    <x v="112"/>
    <n v="12325259000"/>
    <n v="959629000"/>
    <n v="-11365630000"/>
    <n v="13284888000"/>
    <n v="1.5739133757757139E-4"/>
    <n v="1.8878128943581321E-5"/>
    <n v="4.9329254977895426E-3"/>
    <n v="4.6382410484779873E-4"/>
    <n v="1.4738588688139486E-4"/>
    <n v="5.7274751381936916E-5"/>
    <n v="157"/>
    <n v="4542336114.3011894"/>
    <n v="142"/>
    <n v="2330204591.3633966"/>
    <n v="12"/>
    <n v="1759332002.6515505"/>
    <n v="3"/>
    <n v="452799520.28624201"/>
    <n v="0.13287053487595488"/>
    <n v="6.8162179687685398E-2"/>
    <n v="5.1463251140907572E-2"/>
    <n v="1.3245104047361888E-2"/>
    <n v="267196242.01771703"/>
    <n v="7.8159138162326395E-3"/>
  </r>
  <r>
    <n v="132"/>
    <s v="NAM"/>
    <s v="Namibia"/>
    <x v="3"/>
    <s v="Upper middle income"/>
    <x v="1"/>
    <x v="0"/>
    <x v="0"/>
    <n v="2018"/>
    <n v="0"/>
    <s v="na"/>
    <n v="12565772084.744125"/>
    <n v="0"/>
    <n v="0"/>
    <n v="7"/>
    <n v="3250000000"/>
    <n v="7"/>
    <n v="3250000000"/>
    <n v="0"/>
    <n v="0.25863910136853158"/>
    <n v="0.25863910136853158"/>
    <n v="0"/>
    <n v="4.0873305329879013E-3"/>
    <n v="1.5166858780211216E-3"/>
    <n v="191176470.58823529"/>
    <n v="1.5214064786384209E-2"/>
    <x v="0"/>
    <s v="na"/>
    <s v="na"/>
    <s v="na"/>
    <s v="na"/>
    <s v="na"/>
    <s v="na"/>
    <n v="0"/>
    <s v="na"/>
    <s v="na"/>
    <s v="na"/>
    <n v="309760000"/>
    <n v="1645972000"/>
    <n v="1336212000"/>
    <x v="113"/>
    <n v="7715202000"/>
    <n v="6439325000"/>
    <n v="-1275877000"/>
    <n v="14154527000"/>
    <n v="4.0149305228819675E-2"/>
    <n v="0.25561250596918156"/>
    <n v="3.0878472141150845E-3"/>
    <n v="3.112363375793199E-3"/>
    <n v="0.13817007096033657"/>
    <n v="0.15563962061467107"/>
    <n v="140"/>
    <n v="3212928697.5196543"/>
    <n v="117"/>
    <n v="350831970.32019562"/>
    <n v="22"/>
    <n v="2862096727.1994586"/>
    <n v="1"/>
    <n v="0"/>
    <n v="0.25568892033466151"/>
    <n v="2.7919650933835916E-2"/>
    <n v="0.22776926940082559"/>
    <n v="0"/>
    <n v="188995805.73645025"/>
    <n v="1.5040524725568325E-2"/>
  </r>
  <r>
    <n v="60"/>
    <s v="GNQ"/>
    <s v="Equatorial Guinea"/>
    <x v="3"/>
    <s v="Upper middle income"/>
    <x v="1"/>
    <x v="0"/>
    <x v="0"/>
    <n v="2019"/>
    <n v="0"/>
    <s v="na"/>
    <n v="11417278044.985857"/>
    <n v="8"/>
    <n v="2080000000"/>
    <n v="5"/>
    <n v="1280000000"/>
    <n v="13"/>
    <n v="3360000000"/>
    <n v="0.18218002502912475"/>
    <n v="0.11211078463330754"/>
    <n v="0.29429080966243232"/>
    <n v="1.5491982154428249E-3"/>
    <n v="1.609779409915235E-3"/>
    <n v="1.5680198615849134E-3"/>
    <n v="197647058.82352942"/>
    <n v="1.7311224097790137E-2"/>
    <x v="0"/>
    <s v="na"/>
    <s v="na"/>
    <s v="na"/>
    <s v="na"/>
    <s v="na"/>
    <s v="na"/>
    <n v="0"/>
    <s v="na"/>
    <s v="na"/>
    <s v="na"/>
    <n v="113297000"/>
    <n v="1723012000"/>
    <n v="1609715000"/>
    <x v="114"/>
    <n v="1028414000"/>
    <n v="5072616000"/>
    <n v="4044202000"/>
    <n v="6101030000"/>
    <n v="0.11016672274006382"/>
    <n v="0.33966931461005523"/>
    <n v="4.116010578669166E-4"/>
    <n v="2.4517824861864548E-3"/>
    <n v="0.30098344050103015"/>
    <n v="0.1608359709525034"/>
    <n v="121"/>
    <n v="9890268670.6055279"/>
    <n v="89"/>
    <n v="237978965.35684896"/>
    <n v="29"/>
    <n v="9256483708.7608376"/>
    <n v="3"/>
    <n v="395805996.48784"/>
    <n v="0.86625451632484785"/>
    <n v="2.0843756665921132E-2"/>
    <n v="0.81074347776141098"/>
    <n v="3.4667281897515556E-2"/>
    <n v="581780510.03561926"/>
    <n v="5.0956148019108694E-2"/>
  </r>
  <r>
    <n v="1"/>
    <s v="AFG"/>
    <s v="Afghanistan"/>
    <x v="6"/>
    <s v="Low income"/>
    <x v="3"/>
    <x v="0"/>
    <x v="0"/>
    <n v="2013"/>
    <n v="0"/>
    <s v="na"/>
    <n v="19291104007.613544"/>
    <n v="2"/>
    <n v="3270000000"/>
    <n v="1"/>
    <n v="210000000"/>
    <n v="3"/>
    <n v="3480000000"/>
    <n v="0.16950818360159386"/>
    <n v="1.0885846653313368E-2"/>
    <n v="0.18039403025490724"/>
    <n v="2.4355183483163643E-3"/>
    <n v="2.6410443443921825E-4"/>
    <n v="1.6240205709272318E-3"/>
    <n v="204705882.35294119"/>
    <n v="1.0611413544406308E-2"/>
    <x v="2"/>
    <n v="0"/>
    <n v="0"/>
    <n v="0"/>
    <n v="0"/>
    <n v="0"/>
    <n v="0"/>
    <n v="0"/>
    <n v="0"/>
    <n v="0"/>
    <n v="0"/>
    <n v="1156686"/>
    <n v="31002"/>
    <n v="-1125684"/>
    <x v="115"/>
    <n v="6776781000"/>
    <n v="863833000"/>
    <n v="-5912948000"/>
    <n v="7640614000"/>
    <n v="1.7068369185901095E-4"/>
    <n v="3.5888881299973489E-5"/>
    <n v="2.7122639603626756E-3"/>
    <n v="4.1752236329142676E-4"/>
    <n v="1.5544405200943276E-4"/>
    <n v="6.1566616380859276E-5"/>
    <n v="123"/>
    <n v="1522264756.7167196"/>
    <n v="113"/>
    <n v="1454135259.3851943"/>
    <n v="6"/>
    <n v="18129497.3315253"/>
    <n v="4"/>
    <n v="50000000"/>
    <n v="7.8910193844579007E-2"/>
    <n v="7.5378540223063256E-2"/>
    <n v="9.3978537072684912E-4"/>
    <n v="2.5918682507888972E-3"/>
    <n v="89544985.689218804"/>
    <n v="4.6417761085046473E-3"/>
  </r>
  <r>
    <n v="124"/>
    <s v="MEX"/>
    <s v="Mexico"/>
    <x v="1"/>
    <s v="Upper middle income"/>
    <x v="2"/>
    <x v="0"/>
    <x v="1"/>
    <s v="na"/>
    <n v="0"/>
    <s v="na"/>
    <n v="1268870527160.0325"/>
    <n v="15"/>
    <n v="3600000000"/>
    <n v="0"/>
    <n v="0"/>
    <n v="15"/>
    <n v="3600000000"/>
    <n v="2.837168901745608E-3"/>
    <n v="0"/>
    <n v="2.837168901745608E-3"/>
    <n v="2.681304603651043E-3"/>
    <n v="0"/>
    <n v="1.68002128026955E-3"/>
    <n v="211764705.88235295"/>
    <n v="1.6689228833797695E-4"/>
    <x v="0"/>
    <s v="na"/>
    <s v="na"/>
    <s v="na"/>
    <s v="na"/>
    <s v="na"/>
    <s v="na"/>
    <n v="0"/>
    <s v="na"/>
    <s v="na"/>
    <s v="na"/>
    <n v="83052434000"/>
    <n v="6930326000"/>
    <n v="-76122108000"/>
    <x v="116"/>
    <n v="455289486000"/>
    <n v="460703804000"/>
    <n v="5414318000"/>
    <n v="915993290000"/>
    <n v="0.18241676242003094"/>
    <n v="1.5042910303384428E-2"/>
    <n v="0.18222003402645695"/>
    <n v="0.22267514788556383"/>
    <n v="9.8235173753292451E-2"/>
    <n v="7.0915635657010728E-2"/>
    <n v="59"/>
    <n v="6218525621.0088673"/>
    <n v="17"/>
    <n v="3157034942.0911288"/>
    <n v="36"/>
    <n v="2963256979.8272028"/>
    <n v="6"/>
    <n v="98233699.090534985"/>
    <n v="4.9008354185096255E-3"/>
    <n v="2.4880670442847769E-3"/>
    <n v="2.3353501530684311E-3"/>
    <n v="7.7418221156417137E-5"/>
    <n v="365795624.7652275"/>
    <n v="2.882844363829192E-4"/>
  </r>
  <r>
    <n v="187"/>
    <s v="SYR"/>
    <s v="Syria"/>
    <x v="5"/>
    <s v="Low income"/>
    <x v="1"/>
    <x v="0"/>
    <x v="1"/>
    <s v="na"/>
    <n v="0"/>
    <s v="na"/>
    <s v="na"/>
    <n v="4"/>
    <n v="4060000000"/>
    <n v="0"/>
    <n v="0"/>
    <n v="4"/>
    <n v="4060000000"/>
    <n v="0"/>
    <n v="0"/>
    <n v="0"/>
    <n v="3.0239157474508988E-3"/>
    <n v="0"/>
    <n v="1.8946906660817703E-3"/>
    <n v="238823529.41176471"/>
    <n v="0"/>
    <x v="0"/>
    <s v="na"/>
    <s v="na"/>
    <s v="na"/>
    <s v="na"/>
    <s v="na"/>
    <s v="na"/>
    <n v="0"/>
    <s v="na"/>
    <s v="na"/>
    <s v="na"/>
    <n v="1315799000"/>
    <n v="1399000"/>
    <n v="-1314400000"/>
    <x v="117"/>
    <n v="6283881000"/>
    <n v="736769000"/>
    <n v="-5547112000"/>
    <n v="7020650000"/>
    <n v="0.20939273038429596"/>
    <n v="1.898831248328852E-3"/>
    <n v="2.5149911097182825E-3"/>
    <n v="3.561076435837265E-4"/>
    <n v="0.18761767072849381"/>
    <s v="na"/>
    <n v="60"/>
    <n v="363754853.11969489"/>
    <n v="58"/>
    <n v="321470491.99145317"/>
    <n v="2"/>
    <n v="42284361.128241703"/>
    <n v="0"/>
    <n v="0"/>
    <n v="0"/>
    <n v="0"/>
    <n v="0"/>
    <n v="0"/>
    <n v="21397344.301158521"/>
    <n v="0"/>
  </r>
  <r>
    <n v="137"/>
    <s v="NZL"/>
    <s v="New Zealand"/>
    <x v="4"/>
    <s v="High income"/>
    <x v="1"/>
    <x v="2"/>
    <x v="0"/>
    <n v="2017"/>
    <n v="0"/>
    <s v="na"/>
    <n v="212891048340.60776"/>
    <n v="5"/>
    <n v="1350000000"/>
    <n v="10"/>
    <n v="2740000000"/>
    <n v="15"/>
    <n v="4090000000"/>
    <n v="6.3412717938243872E-3"/>
    <n v="1.2870433122280608E-2"/>
    <n v="1.9211704916104994E-2"/>
    <n v="1.0054892263691411E-3"/>
    <n v="3.4459340493498002E-3"/>
    <n v="1.9086908434173498E-3"/>
    <n v="240588235.29411766"/>
    <n v="1.1301002891826468E-3"/>
    <x v="2"/>
    <n v="0"/>
    <n v="0"/>
    <n v="0"/>
    <n v="0"/>
    <n v="0"/>
    <n v="0"/>
    <n v="0"/>
    <n v="0"/>
    <n v="0"/>
    <n v="0"/>
    <n v="8556490000"/>
    <n v="11014410000"/>
    <n v="2457920000"/>
    <x v="118"/>
    <n v="42320991000"/>
    <n v="38183311000"/>
    <n v="-4137680000"/>
    <n v="80504302000"/>
    <n v="0.20218075706213967"/>
    <n v="0.28846136470459566"/>
    <n v="1.6938085893012208E-2"/>
    <n v="1.8455403124228331E-2"/>
    <n v="0.24310377847881967"/>
    <n v="9.192918233315385E-2"/>
    <s v="na"/>
    <s v="na"/>
    <s v="na"/>
    <s v="na"/>
    <s v="na"/>
    <s v="na"/>
    <s v="na"/>
    <s v="na"/>
    <n v="0"/>
    <n v="0"/>
    <n v="0"/>
    <n v="0"/>
    <n v="0"/>
    <n v="0"/>
  </r>
  <r>
    <n v="28"/>
    <s v="BRN"/>
    <s v="Brunei"/>
    <x v="4"/>
    <s v="High income"/>
    <x v="1"/>
    <x v="2"/>
    <x v="0"/>
    <n v="2018"/>
    <n v="0"/>
    <s v="na"/>
    <n v="13469422941.391878"/>
    <n v="1"/>
    <n v="140000000"/>
    <n v="3"/>
    <n v="3970000000"/>
    <n v="4"/>
    <n v="4110000000"/>
    <n v="1.0393912241761779E-2"/>
    <n v="0.29474165428424476"/>
    <n v="0.30513556652600654"/>
    <n v="1.0427295680865167E-4"/>
    <n v="4.9928314510652213E-3"/>
    <n v="1.9180242949744029E-3"/>
    <n v="241764705.88235295"/>
    <n v="1.7949150972118032E-2"/>
    <x v="2"/>
    <n v="0"/>
    <n v="0"/>
    <n v="0"/>
    <n v="0"/>
    <n v="0"/>
    <n v="0"/>
    <n v="0"/>
    <n v="0"/>
    <n v="0"/>
    <n v="0"/>
    <n v="670827000"/>
    <n v="428506000"/>
    <n v="-242321000"/>
    <x v="119"/>
    <n v="5101654000"/>
    <n v="7249807000"/>
    <n v="2148153000"/>
    <n v="12351461000"/>
    <n v="0.1314920612021121"/>
    <n v="5.9105849300539998E-2"/>
    <n v="2.0418296359938572E-3"/>
    <n v="3.5040992321973448E-3"/>
    <n v="8.9004288642452911E-2"/>
    <n v="8.1616933760519303E-2"/>
    <n v="26"/>
    <n v="1770880321.4632452"/>
    <n v="0"/>
    <n v="0"/>
    <n v="26"/>
    <n v="1770880321.4632452"/>
    <n v="0"/>
    <n v="0"/>
    <n v="0.13147410465679898"/>
    <n v="0"/>
    <n v="0.13147410465679898"/>
    <n v="0"/>
    <n v="104169430.67430854"/>
    <n v="7.733770862164647E-3"/>
  </r>
  <r>
    <n v="18"/>
    <s v="BEL"/>
    <s v="Belgium"/>
    <x v="0"/>
    <s v="High income"/>
    <x v="1"/>
    <x v="0"/>
    <x v="1"/>
    <s v="na"/>
    <n v="0"/>
    <s v="na"/>
    <n v="533254518108.23444"/>
    <n v="10"/>
    <n v="4630000000"/>
    <n v="0"/>
    <n v="0"/>
    <n v="10"/>
    <n v="4630000000"/>
    <n v="8.6825330921251592E-3"/>
    <n v="0"/>
    <n v="8.6825330921251592E-3"/>
    <n v="3.4484556430289803E-3"/>
    <n v="0"/>
    <n v="2.1606940354577824E-3"/>
    <n v="272352941.17647058"/>
    <n v="5.1073724071324462E-4"/>
    <x v="3"/>
    <n v="0"/>
    <n v="0"/>
    <n v="0"/>
    <n v="0"/>
    <n v="0"/>
    <n v="0"/>
    <n v="0"/>
    <n v="0"/>
    <n v="0"/>
    <n v="0"/>
    <n v="18242346000"/>
    <n v="7921361000"/>
    <n v="-10320985000"/>
    <x v="120"/>
    <n v="427766455000"/>
    <n v="446876870000"/>
    <n v="19110415000"/>
    <n v="874643325000"/>
    <n v="4.2645573973302792E-2"/>
    <n v="1.7726048340787923E-2"/>
    <n v="0.171204520162095"/>
    <n v="0.21599208048624638"/>
    <n v="2.9913573055622415E-2"/>
    <n v="4.906420126137509E-2"/>
    <s v="na"/>
    <s v="na"/>
    <s v="na"/>
    <s v="na"/>
    <s v="na"/>
    <s v="na"/>
    <s v="na"/>
    <s v="na"/>
    <n v="0"/>
    <n v="0"/>
    <n v="0"/>
    <n v="0"/>
    <n v="0"/>
    <n v="0"/>
  </r>
  <r>
    <n v="168"/>
    <s v="SEN"/>
    <s v="Senegal"/>
    <x v="3"/>
    <s v="Lower middle income"/>
    <x v="1"/>
    <x v="0"/>
    <x v="0"/>
    <n v="2018"/>
    <n v="1"/>
    <n v="2005"/>
    <n v="23306213742.360191"/>
    <n v="2"/>
    <n v="490000000"/>
    <n v="6"/>
    <n v="4180000000"/>
    <n v="8"/>
    <n v="4670000000"/>
    <n v="2.1024436033099655E-2"/>
    <n v="0.17935131146603381"/>
    <n v="0.20037574749913345"/>
    <n v="3.6495534883028088E-4"/>
    <n v="5.2569358855044396E-3"/>
    <n v="2.1793609385718886E-3"/>
    <n v="274705882.35294116"/>
    <n v="1.1786808676419614E-2"/>
    <x v="1"/>
    <n v="0"/>
    <n v="0"/>
    <n v="0"/>
    <n v="0"/>
    <n v="0"/>
    <n v="0"/>
    <n v="0"/>
    <n v="0"/>
    <n v="0"/>
    <n v="0"/>
    <n v="871078000"/>
    <n v="276314000"/>
    <n v="-594764000"/>
    <x v="121"/>
    <n v="8146866000"/>
    <n v="4175809000"/>
    <n v="-3971057000"/>
    <n v="12322675000"/>
    <n v="0.10692185191213406"/>
    <n v="6.617017205528318E-2"/>
    <n v="3.2606116446295122E-3"/>
    <n v="2.0183225719943663E-3"/>
    <n v="9.3112250383946674E-2"/>
    <n v="4.9231162671204656E-2"/>
    <n v="83"/>
    <n v="4271792281.2145119"/>
    <n v="67"/>
    <n v="2574765569.3663158"/>
    <n v="8"/>
    <n v="1365681223.5220661"/>
    <n v="8"/>
    <n v="331345488.32612902"/>
    <n v="0.18328984400629258"/>
    <n v="0.11047549798646841"/>
    <n v="5.8597301072540721E-2"/>
    <n v="1.4217044947283404E-2"/>
    <n v="251281898.89497128"/>
    <n v="1.0781755529781917E-2"/>
  </r>
  <r>
    <n v="113"/>
    <s v="LUX"/>
    <s v="Luxembourg"/>
    <x v="0"/>
    <s v="High income"/>
    <x v="1"/>
    <x v="0"/>
    <x v="0"/>
    <n v="2019"/>
    <n v="0"/>
    <s v="na"/>
    <n v="71104919108.141068"/>
    <n v="0"/>
    <n v="0"/>
    <n v="5"/>
    <n v="4680000000"/>
    <n v="5"/>
    <n v="4680000000"/>
    <n v="0"/>
    <n v="6.5818231125224211E-2"/>
    <n v="6.5818231125224211E-2"/>
    <n v="0"/>
    <n v="5.8857559675025784E-3"/>
    <n v="2.1840276643504152E-3"/>
    <n v="275294117.64705884"/>
    <n v="3.8716606544249538E-3"/>
    <x v="3"/>
    <n v="0"/>
    <n v="0"/>
    <n v="0"/>
    <n v="0"/>
    <n v="0"/>
    <n v="0"/>
    <n v="0"/>
    <n v="0"/>
    <n v="0"/>
    <n v="0"/>
    <n v="658564000"/>
    <n v="205707000"/>
    <n v="-452857000"/>
    <x v="122"/>
    <n v="22673693000"/>
    <n v="14667447000"/>
    <n v="-8006246000"/>
    <n v="37341140000"/>
    <n v="2.904529050472722E-2"/>
    <n v="1.4024731093284332E-2"/>
    <n v="9.0746683967251537E-3"/>
    <n v="7.0893183461291096E-3"/>
    <n v="2.314527622884572E-2"/>
    <n v="1.2154869323253985E-2"/>
    <s v="na"/>
    <s v="na"/>
    <s v="na"/>
    <s v="na"/>
    <s v="na"/>
    <s v="na"/>
    <s v="na"/>
    <s v="na"/>
    <n v="0"/>
    <n v="0"/>
    <n v="0"/>
    <n v="0"/>
    <n v="0"/>
    <n v="0"/>
  </r>
  <r>
    <n v="104"/>
    <s v="KGZ"/>
    <s v="Kyrgyzstan"/>
    <x v="0"/>
    <s v="Lower middle income"/>
    <x v="3"/>
    <x v="0"/>
    <x v="0"/>
    <n v="2013"/>
    <n v="0"/>
    <s v="na"/>
    <n v="8871019822.7670345"/>
    <n v="1"/>
    <n v="390000000"/>
    <n v="8"/>
    <n v="4340000000"/>
    <n v="9"/>
    <n v="4730000000"/>
    <n v="4.3963378257715562E-2"/>
    <n v="0.48923349138073213"/>
    <n v="0.5331968696384477"/>
    <n v="2.9047466539552967E-4"/>
    <n v="5.4581583117438437E-3"/>
    <n v="2.2073612932430476E-3"/>
    <n v="278235294.11764705"/>
    <n v="3.1364521743438102E-2"/>
    <x v="2"/>
    <n v="1"/>
    <n v="50000000"/>
    <n v="0"/>
    <n v="0"/>
    <n v="0"/>
    <n v="0"/>
    <n v="1"/>
    <n v="50000000"/>
    <n v="5.6363305458609694E-3"/>
    <n v="1.2543831282458731E-3"/>
    <n v="1733932000"/>
    <n v="81469000"/>
    <n v="-1652463000"/>
    <x v="123"/>
    <n v="4903813000"/>
    <n v="1965502000"/>
    <n v="-2938311000"/>
    <n v="6869315000"/>
    <n v="0.35358852386907902"/>
    <n v="4.1449461766001762E-2"/>
    <n v="1.9626479398195062E-3"/>
    <n v="9.499996412431869E-4"/>
    <n v="0.26427686021095265"/>
    <n v="0.20464400218573101"/>
    <n v="96"/>
    <n v="3151288944.3117113"/>
    <n v="58"/>
    <n v="761839555.53911817"/>
    <n v="34"/>
    <n v="2325623547.1757441"/>
    <n v="4"/>
    <n v="63825841.59684895"/>
    <n v="0.35523412271316129"/>
    <n v="8.5879591158605523E-2"/>
    <n v="0.26215966074240371"/>
    <n v="7.1948708121520686E-3"/>
    <n v="185369937.90068889"/>
    <n v="2.0896124865480075E-2"/>
  </r>
  <r>
    <n v="47"/>
    <s v="CIV"/>
    <s v="Côte d'Ivoire"/>
    <x v="3"/>
    <s v="Lower middle income"/>
    <x v="1"/>
    <x v="0"/>
    <x v="0"/>
    <n v="2017"/>
    <n v="0"/>
    <s v="na"/>
    <n v="58539424929.724831"/>
    <n v="3"/>
    <n v="1620000000"/>
    <n v="10"/>
    <n v="3250000000"/>
    <n v="13"/>
    <n v="4870000000"/>
    <n v="2.7673657572563636E-2"/>
    <n v="5.5518140191871491E-2"/>
    <n v="8.3191797764435124E-2"/>
    <n v="1.2065870716429694E-3"/>
    <n v="4.0873305329879013E-3"/>
    <n v="2.2726954541424193E-3"/>
    <n v="286470588.2352941"/>
    <n v="4.8936351626138307E-3"/>
    <x v="3"/>
    <n v="0"/>
    <n v="0"/>
    <n v="0"/>
    <n v="0"/>
    <n v="0"/>
    <n v="0"/>
    <n v="0"/>
    <n v="0"/>
    <n v="0"/>
    <n v="0"/>
    <n v="1801977"/>
    <n v="371260"/>
    <n v="-1430717"/>
    <x v="124"/>
    <n v="10482561000"/>
    <n v="12717852000"/>
    <n v="2235291000"/>
    <n v="23200413000"/>
    <n v="1.7190236240933871E-4"/>
    <n v="2.9192036516858349E-5"/>
    <n v="4.195424407635916E-3"/>
    <n v="6.1470071449349567E-3"/>
    <n v="9.3672341091514185E-5"/>
    <n v="3.7124331211126836E-5"/>
    <n v="94"/>
    <n v="3399096727.9645572"/>
    <n v="85"/>
    <n v="1322772802.478085"/>
    <n v="7"/>
    <n v="2076323925.4864721"/>
    <n v="2"/>
    <n v="0"/>
    <n v="5.806508574426706E-2"/>
    <n v="2.2596272581530172E-2"/>
    <n v="3.5468813162736888E-2"/>
    <n v="0"/>
    <n v="199946866.3508563"/>
    <n v="3.4155932790745332E-3"/>
  </r>
  <r>
    <n v="179"/>
    <s v="SSD"/>
    <s v="South Sudan"/>
    <x v="3"/>
    <s v="Low income"/>
    <x v="1"/>
    <x v="0"/>
    <x v="0"/>
    <n v="2018"/>
    <n v="0"/>
    <s v="na"/>
    <s v="na"/>
    <n v="5"/>
    <n v="2110000000"/>
    <n v="4"/>
    <n v="2790000000"/>
    <n v="9"/>
    <n v="4900000000"/>
    <n v="0"/>
    <n v="0"/>
    <n v="0"/>
    <n v="1.5715424204732502E-3"/>
    <n v="3.5088160575496141E-3"/>
    <n v="2.2866956314779988E-3"/>
    <n v="288235294.11764705"/>
    <n v="0"/>
    <x v="0"/>
    <s v="na"/>
    <s v="na"/>
    <s v="na"/>
    <s v="na"/>
    <s v="na"/>
    <s v="na"/>
    <n v="0"/>
    <s v="na"/>
    <s v="na"/>
    <s v="na"/>
    <n v="122630000"/>
    <n v="1510938000"/>
    <n v="1388308000"/>
    <x v="125"/>
    <n v="610004000"/>
    <n v="1640256000"/>
    <n v="1030252000"/>
    <n v="2250260000"/>
    <n v="0.20103146864610724"/>
    <n v="0.92115986772796443"/>
    <n v="2.4414126188777147E-4"/>
    <n v="7.9279624825972432E-4"/>
    <n v="0.72594633509016737"/>
    <s v="na"/>
    <n v="120"/>
    <n v="4487661719.8055677"/>
    <n v="102"/>
    <n v="239328309.42801467"/>
    <n v="15"/>
    <n v="4198778654.9963436"/>
    <n v="3"/>
    <n v="49554755.381209098"/>
    <n v="0"/>
    <n v="0"/>
    <n v="0"/>
    <n v="0"/>
    <n v="263980101.1650334"/>
    <n v="0"/>
  </r>
  <r>
    <n v="22"/>
    <s v="BTN"/>
    <s v="Bhutan"/>
    <x v="6"/>
    <s v="Lower middle income"/>
    <x v="1"/>
    <x v="0"/>
    <x v="1"/>
    <s v="na"/>
    <n v="0"/>
    <s v="na"/>
    <n v="2530547157.566781"/>
    <n v="0"/>
    <n v="0"/>
    <n v="0"/>
    <n v="0"/>
    <n v="0"/>
    <n v="5060000000"/>
    <n v="0"/>
    <n v="0"/>
    <n v="1.9995675578973939"/>
    <n v="0"/>
    <n v="0"/>
    <n v="2.361363243934423E-3"/>
    <n v="297647058.82352942"/>
    <n v="0.11762162105278788"/>
    <x v="0"/>
    <s v="na"/>
    <s v="na"/>
    <s v="na"/>
    <s v="na"/>
    <s v="na"/>
    <s v="na"/>
    <n v="0"/>
    <s v="na"/>
    <s v="na"/>
    <s v="na"/>
    <n v="10805000"/>
    <n v="46000"/>
    <n v="-10759000"/>
    <x v="126"/>
    <n v="825067000"/>
    <n v="279132000"/>
    <n v="-545935000"/>
    <n v="1104199000"/>
    <n v="1.3095906150652007E-2"/>
    <n v="1.6479658369516931E-4"/>
    <n v="3.3021570108057968E-4"/>
    <n v="1.3491479523271573E-4"/>
    <n v="9.8270329895245329E-3"/>
    <n v="4.2880054487637589E-3"/>
    <n v="0"/>
    <s v="na"/>
    <s v="na"/>
    <s v="na"/>
    <s v="na"/>
    <s v="na"/>
    <s v="na"/>
    <s v="na"/>
    <n v="0"/>
    <n v="0"/>
    <n v="0"/>
    <n v="0"/>
    <n v="0"/>
    <n v="0"/>
  </r>
  <r>
    <n v="23"/>
    <s v="BOL"/>
    <s v="Bolivia"/>
    <x v="1"/>
    <s v="Lower middle income"/>
    <x v="3"/>
    <x v="0"/>
    <x v="0"/>
    <n v="2018"/>
    <n v="0"/>
    <s v="na"/>
    <n v="40895322850.940666"/>
    <n v="1"/>
    <n v="170000000"/>
    <n v="17"/>
    <n v="4890000000"/>
    <n v="18"/>
    <n v="5060000000"/>
    <n v="4.1569545891502772E-3"/>
    <n v="0.11957357612320503"/>
    <n v="0.1237305307123553"/>
    <n v="1.2661716183907704E-4"/>
    <n v="6.1498604019417967E-3"/>
    <n v="2.361363243934423E-3"/>
    <n v="297647058.82352942"/>
    <n v="7.2782665124914887E-3"/>
    <x v="1"/>
    <n v="0"/>
    <n v="0"/>
    <n v="0"/>
    <n v="0"/>
    <n v="0"/>
    <n v="0"/>
    <n v="0"/>
    <n v="0"/>
    <n v="0"/>
    <n v="0"/>
    <n v="2126481000"/>
    <n v="403561000"/>
    <n v="-1722920000"/>
    <x v="127"/>
    <n v="9784564000"/>
    <n v="8924398000"/>
    <n v="-860166000"/>
    <n v="18708962000"/>
    <n v="0.21733017434399735"/>
    <n v="4.5219968898742524E-2"/>
    <n v="3.916065799538463E-3"/>
    <n v="4.3134908528769823E-3"/>
    <n v="0.13523155373344603"/>
    <n v="6.1866292368487917E-2"/>
    <n v="103"/>
    <n v="5775620046.4463949"/>
    <n v="73"/>
    <n v="461907741.31260389"/>
    <n v="18"/>
    <n v="3300493884.6819634"/>
    <n v="12"/>
    <n v="2013218420.4518256"/>
    <n v="0.14122935445449222"/>
    <n v="1.1294879441255692E-2"/>
    <n v="8.0705901178771258E-2"/>
    <n v="4.9228573834465231E-2"/>
    <n v="339742355.67331737"/>
    <n v="8.3076090855583665E-3"/>
  </r>
  <r>
    <n v="150"/>
    <s v="PNG"/>
    <s v="Papua New Guinea"/>
    <x v="4"/>
    <s v="Lower middle income"/>
    <x v="1"/>
    <x v="0"/>
    <x v="0"/>
    <n v="2016"/>
    <n v="0"/>
    <s v="na"/>
    <n v="24829107011.07011"/>
    <n v="5"/>
    <n v="2290000000"/>
    <n v="11"/>
    <n v="3350000000"/>
    <n v="16"/>
    <n v="5640000000"/>
    <n v="9.2230461569922692E-2"/>
    <n v="0.13492229094290001"/>
    <n v="0.22715275251282271"/>
    <n v="1.7056076506558025E-3"/>
    <n v="4.2130945493875291E-3"/>
    <n v="2.632033339088962E-3"/>
    <n v="331764705.88235295"/>
    <n v="1.3361926618401337E-2"/>
    <x v="1"/>
    <n v="0"/>
    <n v="0"/>
    <n v="0"/>
    <n v="0"/>
    <n v="0"/>
    <n v="0"/>
    <n v="0"/>
    <n v="0"/>
    <n v="0"/>
    <n v="0"/>
    <n v="801931000"/>
    <n v="3064927000"/>
    <n v="2262996000"/>
    <x v="128"/>
    <n v="4289754000"/>
    <n v="11801523000"/>
    <n v="7511769000"/>
    <n v="16091277000"/>
    <n v="0.18694102272531246"/>
    <n v="0.25970605658269702"/>
    <n v="1.7168837495296998E-3"/>
    <n v="5.7041115278047118E-3"/>
    <n v="0.24030771454621036"/>
    <n v="0.1557389074957852"/>
    <n v="145"/>
    <n v="10985457319.344872"/>
    <n v="124"/>
    <n v="1238557865.0704238"/>
    <n v="16"/>
    <n v="5311957729.7807856"/>
    <n v="5"/>
    <n v="4434941724.4936609"/>
    <n v="0.44244270703924155"/>
    <n v="4.9883302871835469E-2"/>
    <n v="0.21394074814742381"/>
    <n v="0.17861865601998222"/>
    <n v="646203371.72616887"/>
    <n v="2.6026041590543621E-2"/>
  </r>
  <r>
    <n v="85"/>
    <s v="HUN"/>
    <s v="Hungary"/>
    <x v="0"/>
    <s v="High income"/>
    <x v="0"/>
    <x v="0"/>
    <x v="0"/>
    <n v="2015"/>
    <n v="0"/>
    <s v="na"/>
    <n v="163503650313.08057"/>
    <n v="5"/>
    <n v="3480000000"/>
    <n v="4"/>
    <n v="2400000000"/>
    <n v="9"/>
    <n v="5880000000"/>
    <n v="2.1283928483164846E-2"/>
    <n v="1.4678571367699893E-2"/>
    <n v="3.5962499850864735E-2"/>
    <n v="2.5919277835293416E-3"/>
    <n v="3.0183363935910659E-3"/>
    <n v="2.7440347577735984E-3"/>
    <n v="345882352.94117647"/>
    <n v="2.1154411676979259E-3"/>
    <x v="3"/>
    <n v="1"/>
    <n v="216100000"/>
    <n v="0"/>
    <n v="0"/>
    <n v="0"/>
    <n v="0"/>
    <n v="1"/>
    <n v="216100000"/>
    <n v="1.3216830302333112E-3"/>
    <n v="5.4214438802786639E-3"/>
    <n v="7157898000"/>
    <n v="1666401000"/>
    <n v="-5491497000"/>
    <x v="129"/>
    <n v="117324011000"/>
    <n v="122180658000"/>
    <n v="4856647000"/>
    <n v="239504669000"/>
    <n v="6.1009659821466555E-2"/>
    <n v="1.3638828168694262E-2"/>
    <n v="4.6956466015427398E-2"/>
    <n v="5.9054420329695163E-2"/>
    <n v="3.6843953969014277E-2"/>
    <n v="5.3970042767259495E-2"/>
    <s v="na"/>
    <s v="na"/>
    <s v="na"/>
    <s v="na"/>
    <s v="na"/>
    <s v="na"/>
    <s v="na"/>
    <s v="na"/>
    <n v="0"/>
    <n v="0"/>
    <n v="0"/>
    <n v="0"/>
    <n v="0"/>
    <n v="0"/>
  </r>
  <r>
    <n v="171"/>
    <s v="SLE"/>
    <s v="Sierra Leone"/>
    <x v="3"/>
    <s v="Low income"/>
    <x v="1"/>
    <x v="0"/>
    <x v="0"/>
    <n v="2018"/>
    <n v="0"/>
    <s v="na"/>
    <n v="4121733705.2916489"/>
    <n v="5"/>
    <n v="4050000000"/>
    <n v="4"/>
    <n v="1940000000"/>
    <n v="9"/>
    <n v="5990000000"/>
    <n v="0.98259623002826357"/>
    <n v="0.47067572500119292"/>
    <n v="1.4532719550294564"/>
    <n v="3.0164676791074236E-3"/>
    <n v="2.4398219181527782E-3"/>
    <n v="2.7953687413373902E-3"/>
    <n v="352352941.17647058"/>
    <n v="8.5486585589968023E-2"/>
    <x v="0"/>
    <s v="na"/>
    <s v="na"/>
    <s v="na"/>
    <s v="na"/>
    <s v="na"/>
    <s v="na"/>
    <n v="0"/>
    <s v="na"/>
    <s v="na"/>
    <s v="na"/>
    <n v="313687000"/>
    <n v="197455000"/>
    <n v="-116232000"/>
    <x v="130"/>
    <n v="1184904000"/>
    <n v="760200000"/>
    <n v="-424704000"/>
    <n v="1945104000"/>
    <n v="0.26473621491698907"/>
    <n v="0.25974085766903449"/>
    <n v="4.7423288663003512E-4"/>
    <n v="3.6743271045924683E-4"/>
    <n v="0.26278389227516885"/>
    <n v="0.12401140795286585"/>
    <n v="166"/>
    <n v="3394795029.1822715"/>
    <n v="150"/>
    <n v="497214732.22004497"/>
    <n v="12"/>
    <n v="2773640094.1698499"/>
    <n v="4"/>
    <n v="123940202.79237621"/>
    <n v="0.82363278947979968"/>
    <n v="0.12063242503553796"/>
    <n v="0.67293044444111905"/>
    <n v="3.0069920003142549E-2"/>
    <n v="199693825.24601597"/>
    <n v="4.8448987616458807E-2"/>
  </r>
  <r>
    <n v="17"/>
    <s v="BLR"/>
    <s v="Belarus"/>
    <x v="0"/>
    <s v="Upper middle income"/>
    <x v="2"/>
    <x v="0"/>
    <x v="0"/>
    <n v="2013"/>
    <n v="0"/>
    <s v="na"/>
    <n v="64409647193.804375"/>
    <n v="8"/>
    <n v="3460000000"/>
    <n v="9"/>
    <n v="2720000000"/>
    <n v="17"/>
    <n v="6180000000"/>
    <n v="5.3718660957559485E-2"/>
    <n v="4.2229698787445605E-2"/>
    <n v="9.5948359745005096E-2"/>
    <n v="2.5770316468423913E-3"/>
    <n v="3.4207812460698745E-3"/>
    <n v="2.8840365311293943E-3"/>
    <n v="363529411.7647059"/>
    <n v="5.6440211614708878E-3"/>
    <x v="3"/>
    <n v="0"/>
    <n v="0"/>
    <n v="2"/>
    <n v="231000000"/>
    <n v="0"/>
    <n v="0"/>
    <n v="2"/>
    <n v="231000000"/>
    <n v="3.5864192720220351E-3"/>
    <n v="5.7952500524959339E-3"/>
    <n v="1777676000"/>
    <n v="634666000"/>
    <n v="-1143010000"/>
    <x v="131"/>
    <n v="39476679000"/>
    <n v="32955122000"/>
    <n v="-6521557000"/>
    <n v="72431801000"/>
    <n v="4.5031042251553126E-2"/>
    <n v="1.9258493414164874E-2"/>
    <n v="1.5799709880916335E-2"/>
    <n v="1.5928426466686605E-2"/>
    <n v="3.3305011979475697E-2"/>
    <n v="3.7453116188347103E-2"/>
    <n v="112"/>
    <n v="43845023715.92009"/>
    <n v="30"/>
    <n v="523596159.95291084"/>
    <n v="63"/>
    <n v="29055329693.990318"/>
    <n v="19"/>
    <n v="14266097861.976858"/>
    <n v="0.68072137678371858"/>
    <n v="8.1291573974539028E-3"/>
    <n v="0.45110214012762329"/>
    <n v="0.22149007925864136"/>
    <n v="2579119042.1129465"/>
    <n v="4.0042433928454038E-2"/>
  </r>
  <r>
    <n v="96"/>
    <s v="JOR"/>
    <s v="Jordan"/>
    <x v="5"/>
    <s v="Upper middle income"/>
    <x v="1"/>
    <x v="0"/>
    <x v="1"/>
    <s v="na"/>
    <n v="0"/>
    <s v="na"/>
    <n v="44502895915.492958"/>
    <n v="3"/>
    <n v="1940000000"/>
    <n v="7"/>
    <n v="4400000000"/>
    <n v="10"/>
    <n v="6340000000"/>
    <n v="4.3592668748655986E-2"/>
    <n v="9.8869970357776463E-2"/>
    <n v="0.14246263910643245"/>
    <n v="1.4449252586341732E-3"/>
    <n v="5.5336167215836209E-3"/>
    <n v="2.958704143585819E-3"/>
    <n v="372941176.47058821"/>
    <n v="8.3801552415548493E-3"/>
    <x v="2"/>
    <n v="1"/>
    <n v="250000000"/>
    <n v="0"/>
    <n v="0"/>
    <n v="0"/>
    <n v="0"/>
    <n v="1"/>
    <n v="250000000"/>
    <n v="5.6176119521463902E-3"/>
    <n v="6.2719156412293659E-3"/>
    <n v="3086738000"/>
    <n v="206890000"/>
    <n v="-2879848000"/>
    <x v="132"/>
    <n v="19336709000"/>
    <n v="8312917000"/>
    <n v="-11023792000"/>
    <n v="27649626000"/>
    <n v="0.15963098994766897"/>
    <n v="2.4887774050913778E-2"/>
    <n v="7.7391107861860368E-3"/>
    <n v="4.0179395226687068E-3"/>
    <n v="0.11912016459101472"/>
    <n v="7.4009296074896036E-2"/>
    <n v="72"/>
    <n v="4727412211.0386553"/>
    <n v="56"/>
    <n v="282307787.39558607"/>
    <n v="15"/>
    <n v="1692278229.7153194"/>
    <n v="1"/>
    <n v="2752826193.9277501"/>
    <n v="0.10622706935781417"/>
    <n v="6.3435824026297849E-3"/>
    <n v="3.8026249638423652E-2"/>
    <n v="6.1857237316760738E-2"/>
    <n v="278083071.23756796"/>
    <n v="6.2486511386949514E-3"/>
  </r>
  <r>
    <n v="145"/>
    <s v="OMN"/>
    <s v="Oman"/>
    <x v="5"/>
    <s v="High income"/>
    <x v="1"/>
    <x v="0"/>
    <x v="0"/>
    <n v="2018"/>
    <n v="0"/>
    <s v="na"/>
    <n v="76331518668.577118"/>
    <n v="3"/>
    <n v="1030000000"/>
    <n v="9"/>
    <n v="5590000000"/>
    <n v="12"/>
    <n v="6620000000"/>
    <n v="1.3493770567727655E-2"/>
    <n v="7.3233182013201545E-2"/>
    <n v="8.6726952580929204E-2"/>
    <n v="7.6715103937793731E-4"/>
    <n v="7.030208516739191E-3"/>
    <n v="3.0893724653845616E-3"/>
    <n v="389411764.70588237"/>
    <n v="5.1015854459370126E-3"/>
    <x v="2"/>
    <n v="3"/>
    <n v="477100000"/>
    <n v="1"/>
    <n v="46000000"/>
    <n v="0"/>
    <n v="0"/>
    <n v="4"/>
    <n v="523100000"/>
    <n v="6.8530013436682883E-3"/>
    <n v="1.3123356287708325E-2"/>
    <n v="3020370000"/>
    <n v="19460465000"/>
    <n v="16440095000"/>
    <x v="133"/>
    <n v="31690640000"/>
    <n v="42022781000"/>
    <n v="10332141000"/>
    <n v="73713421000"/>
    <n v="9.5307952127189607E-2"/>
    <n v="0.46309322079374043"/>
    <n v="1.2683511648499167E-2"/>
    <n v="2.031116064702097E-2"/>
    <n v="0.30497614538877527"/>
    <n v="0.29451575695237064"/>
    <n v="10"/>
    <n v="5408010964.3148966"/>
    <n v="0"/>
    <n v="0"/>
    <n v="10"/>
    <n v="5408010964.3148966"/>
    <n v="0"/>
    <n v="0"/>
    <n v="7.0848989495360004E-2"/>
    <n v="0"/>
    <n v="7.0848989495360004E-2"/>
    <n v="0"/>
    <n v="318118292.01852334"/>
    <n v="4.1675876173741183E-3"/>
  </r>
  <r>
    <n v="198"/>
    <s v="TKM"/>
    <s v="Turkmenistan"/>
    <x v="0"/>
    <s v="Upper middle income"/>
    <x v="3"/>
    <x v="0"/>
    <x v="1"/>
    <s v="na"/>
    <n v="0"/>
    <s v="na"/>
    <n v="45231428571.428574"/>
    <n v="3"/>
    <n v="6200000000"/>
    <n v="1"/>
    <n v="600000000"/>
    <n v="4"/>
    <n v="6800000000"/>
    <n v="0.13707283178573684"/>
    <n v="1.3265112753458404E-2"/>
    <n v="0.15033794453919525"/>
    <n v="4.6178023729545742E-3"/>
    <n v="7.5458409839776648E-4"/>
    <n v="3.173373529398039E-3"/>
    <n v="400000000"/>
    <n v="8.8434085023056021E-3"/>
    <x v="0"/>
    <s v="na"/>
    <s v="na"/>
    <s v="na"/>
    <s v="na"/>
    <s v="na"/>
    <s v="na"/>
    <n v="0"/>
    <s v="na"/>
    <s v="na"/>
    <s v="na"/>
    <n v="431024000"/>
    <n v="8685698000"/>
    <n v="8254674000"/>
    <x v="134"/>
    <n v="3078798000"/>
    <n v="10962729000"/>
    <n v="7883931000"/>
    <n v="14041527000"/>
    <n v="0.13999749252792812"/>
    <n v="0.7922934152618385"/>
    <n v="1.2322240982313999E-3"/>
    <n v="5.2986914371220594E-3"/>
    <n v="0.64926855889676383"/>
    <n v="0.20155724211989134"/>
    <n v="38"/>
    <n v="9634636425.0091076"/>
    <n v="27"/>
    <n v="375606001.45091975"/>
    <n v="8"/>
    <n v="8985435792.6473618"/>
    <n v="3"/>
    <n v="273594630.91082501"/>
    <n v="0.21300756419387198"/>
    <n v="8.3040932668701859E-3"/>
    <n v="0.19865469821404691"/>
    <n v="6.0487727129548826E-3"/>
    <n v="566743319.11818278"/>
    <n v="1.2529856717286587E-2"/>
  </r>
  <r>
    <n v="183"/>
    <s v="SDN"/>
    <s v="Sudan"/>
    <x v="3"/>
    <s v="Low income"/>
    <x v="1"/>
    <x v="0"/>
    <x v="0"/>
    <n v="2018"/>
    <n v="0"/>
    <s v="na"/>
    <n v="32250448249.459461"/>
    <n v="18"/>
    <n v="5390000000"/>
    <n v="1"/>
    <n v="1450000000"/>
    <n v="19"/>
    <n v="6840000000"/>
    <n v="0.16712945997860168"/>
    <n v="4.4960615393130322E-2"/>
    <n v="0.21209007537173202"/>
    <n v="4.0145088371330894E-3"/>
    <n v="1.8235782377946021E-3"/>
    <n v="3.1920404325121452E-3"/>
    <n v="402352941.17647058"/>
    <n v="1.2475886786572471E-2"/>
    <x v="3"/>
    <n v="0"/>
    <n v="0"/>
    <n v="0"/>
    <n v="0"/>
    <n v="0"/>
    <n v="0"/>
    <n v="0"/>
    <n v="0"/>
    <n v="0"/>
    <n v="0"/>
    <n v="2292123000"/>
    <n v="740420000"/>
    <n v="-1551703000"/>
    <x v="135"/>
    <n v="8154317000"/>
    <n v="4193398000"/>
    <n v="-3960919000"/>
    <n v="12347715000"/>
    <n v="0.28109319272233346"/>
    <n v="0.17656802430868712"/>
    <n v="3.2635937505539419E-3"/>
    <n v="2.0268239847071627E-3"/>
    <n v="0.24559548062131334"/>
    <n v="9.4031034128365248E-2"/>
    <n v="285"/>
    <n v="20177493061.799458"/>
    <n v="210"/>
    <n v="3907103924.7161674"/>
    <n v="46"/>
    <n v="12873324230.182573"/>
    <n v="29"/>
    <n v="3397064906.9007163"/>
    <n v="0.62565000355111799"/>
    <n v="0.12114882542079561"/>
    <n v="0.39916729623745117"/>
    <n v="0.10533388189287116"/>
    <n v="1186911356.5764387"/>
    <n v="3.6802941385359882E-2"/>
  </r>
  <r>
    <n v="139"/>
    <s v="NER"/>
    <s v="Niger"/>
    <x v="3"/>
    <s v="Low income"/>
    <x v="1"/>
    <x v="0"/>
    <x v="0"/>
    <s v="na"/>
    <n v="0"/>
    <s v="na"/>
    <n v="12911689659.350994"/>
    <n v="5"/>
    <n v="5740000000"/>
    <n v="4"/>
    <n v="1730000000"/>
    <n v="9"/>
    <n v="7470000000"/>
    <n v="0.44455839254492435"/>
    <n v="0.13398711134193714"/>
    <n v="0.57854550388686155"/>
    <n v="4.2751912291547189E-3"/>
    <n v="2.1757174837135598E-3"/>
    <n v="3.4860441565593165E-3"/>
    <n v="439411764.70588237"/>
    <n v="3.4032088463933033E-2"/>
    <x v="0"/>
    <s v="na"/>
    <s v="na"/>
    <s v="na"/>
    <s v="na"/>
    <s v="na"/>
    <s v="na"/>
    <n v="0"/>
    <s v="na"/>
    <s v="na"/>
    <s v="na"/>
    <n v="565338000"/>
    <n v="280000"/>
    <n v="-565058000"/>
    <x v="136"/>
    <n v="2772522000"/>
    <n v="854318000"/>
    <n v="-1918204000"/>
    <n v="3626840000"/>
    <n v="0.2039074892823213"/>
    <n v="3.2774681090647745E-4"/>
    <n v="1.10964357560214E-3"/>
    <n v="4.1292341269945132E-4"/>
    <n v="0.15595339193347377"/>
    <n v="4.3806660082661153E-2"/>
    <n v="115"/>
    <n v="3214830315.2802434"/>
    <n v="107"/>
    <n v="1892117308.0012741"/>
    <n v="4"/>
    <n v="1309496212.231102"/>
    <n v="4"/>
    <n v="13216795.047867401"/>
    <n v="0.24898602739820164"/>
    <n v="0.146542966716285"/>
    <n v="0.10141943051448185"/>
    <n v="1.023630167434782E-3"/>
    <n v="189107665.60472021"/>
    <n v="1.4646236905776567E-2"/>
  </r>
  <r>
    <n v="144"/>
    <s v="NOR"/>
    <s v="Norway"/>
    <x v="0"/>
    <s v="High income"/>
    <x v="1"/>
    <x v="0"/>
    <x v="1"/>
    <s v="na"/>
    <n v="0"/>
    <s v="na"/>
    <n v="405509999999.99994"/>
    <n v="11"/>
    <n v="7470000000"/>
    <n v="0"/>
    <n v="0"/>
    <n v="11"/>
    <n v="7470000000"/>
    <n v="1.8421247318191909E-2"/>
    <n v="0"/>
    <n v="1.8421247318191909E-2"/>
    <n v="5.5637070525759143E-3"/>
    <n v="0"/>
    <n v="3.4860441565593165E-3"/>
    <n v="439411764.70588237"/>
    <n v="1.0836027834230536E-3"/>
    <x v="3"/>
    <n v="0"/>
    <n v="0"/>
    <n v="0"/>
    <n v="0"/>
    <n v="0"/>
    <n v="0"/>
    <n v="0"/>
    <n v="0"/>
    <n v="0"/>
    <n v="0"/>
    <n v="8749234000"/>
    <n v="4248228000"/>
    <n v="-4501006000"/>
    <x v="137"/>
    <n v="85927067000"/>
    <n v="102793716000"/>
    <n v="16866649000"/>
    <n v="188720783000"/>
    <n v="0.10182162973164206"/>
    <n v="4.1327701393731112E-2"/>
    <n v="3.4390500009336147E-2"/>
    <n v="4.9683995906416797E-2"/>
    <n v="6.8871386571133508E-2"/>
    <n v="3.2052136815368309E-2"/>
    <s v="na"/>
    <s v="na"/>
    <s v="na"/>
    <s v="na"/>
    <s v="na"/>
    <s v="na"/>
    <s v="na"/>
    <s v="na"/>
    <n v="0"/>
    <n v="0"/>
    <n v="0"/>
    <n v="0"/>
    <n v="0"/>
    <n v="0"/>
  </r>
  <r>
    <n v="207"/>
    <s v="UZB"/>
    <s v="Uzbekistan"/>
    <x v="0"/>
    <s v="Lower middle income"/>
    <x v="3"/>
    <x v="0"/>
    <x v="0"/>
    <n v="2015"/>
    <n v="0"/>
    <s v="na"/>
    <n v="57726542784.920425"/>
    <n v="7"/>
    <n v="4010000000"/>
    <n v="16"/>
    <n v="3690000000"/>
    <n v="23"/>
    <n v="7700000000"/>
    <n v="6.9465445296812561E-2"/>
    <n v="6.392206811601954E-2"/>
    <n v="0.13338751341283211"/>
    <n v="2.986675405733523E-3"/>
    <n v="4.6406922051462638E-3"/>
    <n v="3.5933788494654268E-3"/>
    <n v="452941176.47058821"/>
    <n v="7.8463243184018882E-3"/>
    <x v="2"/>
    <n v="7"/>
    <n v="1132600000"/>
    <n v="3"/>
    <n v="801300000"/>
    <n v="0"/>
    <n v="0"/>
    <n v="10"/>
    <n v="1933900000"/>
    <n v="3.3501053531048833E-2"/>
    <n v="4.8517030634293884E-2"/>
    <n v="5052269000"/>
    <n v="1767642000"/>
    <n v="-3284627000"/>
    <x v="138"/>
    <n v="21855139000"/>
    <n v="14344696000"/>
    <n v="-7510443000"/>
    <n v="36199835000"/>
    <n v="0.23117075576595508"/>
    <n v="0.12322617363240043"/>
    <n v="8.7470593868116397E-3"/>
    <n v="6.9333208787081251E-3"/>
    <n v="0.18839619020362938"/>
    <n v="0.11814168441387289"/>
    <n v="149"/>
    <n v="12695736545.016287"/>
    <n v="64"/>
    <n v="2542801902.4255037"/>
    <n v="56"/>
    <n v="8886742719.4394569"/>
    <n v="29"/>
    <n v="1266191923.151324"/>
    <n v="0.21992892580313542"/>
    <n v="4.4049093878695697E-2"/>
    <n v="0.15394552125787256"/>
    <n v="2.1934310666567133E-2"/>
    <n v="746808032.05978155"/>
    <n v="1.2936995635478553E-2"/>
  </r>
  <r>
    <n v="201"/>
    <s v="UGA"/>
    <s v="Uganda"/>
    <x v="3"/>
    <s v="Low income"/>
    <x v="1"/>
    <x v="0"/>
    <x v="0"/>
    <n v="2018"/>
    <n v="0"/>
    <s v="na"/>
    <n v="35170037380.862961"/>
    <n v="7"/>
    <n v="5150000000"/>
    <n v="10"/>
    <n v="2640000000"/>
    <n v="17"/>
    <n v="7790000000"/>
    <n v="0.14643146221966385"/>
    <n v="7.5063895196099531E-2"/>
    <n v="0.22149535741576337"/>
    <n v="3.8357551968896866E-3"/>
    <n v="3.3201700329501724E-3"/>
    <n v="3.6353793814721653E-3"/>
    <n v="458235294.11764705"/>
    <n v="1.3029138671515493E-2"/>
    <x v="0"/>
    <s v="na"/>
    <s v="na"/>
    <s v="na"/>
    <s v="na"/>
    <s v="na"/>
    <s v="na"/>
    <n v="0"/>
    <s v="na"/>
    <s v="na"/>
    <s v="na"/>
    <n v="1256568000"/>
    <n v="40627000"/>
    <n v="-1215941000"/>
    <x v="139"/>
    <n v="7696029000"/>
    <n v="3563785000"/>
    <n v="-4132244000"/>
    <n v="11259814000"/>
    <n v="0.16327485252459417"/>
    <n v="1.139995819051935E-2"/>
    <n v="3.0801736244104689E-3"/>
    <n v="1.7225087898500488E-3"/>
    <n v="0.11520572187071651"/>
    <n v="3.6883526336706184E-2"/>
    <n v="144"/>
    <n v="3764362664.242372"/>
    <n v="128"/>
    <n v="928849483.01561439"/>
    <n v="11"/>
    <n v="2465643586.7059298"/>
    <n v="5"/>
    <n v="369869594.52082771"/>
    <n v="0.10703322898060584"/>
    <n v="2.6410250093195191E-2"/>
    <n v="7.0106368099783656E-2"/>
    <n v="1.0516610787626985E-2"/>
    <n v="221433097.89661011"/>
    <n v="6.2960722929768136E-3"/>
  </r>
  <r>
    <n v="157"/>
    <s v="QAT"/>
    <s v="Qatar"/>
    <x v="5"/>
    <s v="High income"/>
    <x v="1"/>
    <x v="0"/>
    <x v="0"/>
    <n v="2019"/>
    <n v="0"/>
    <s v="na"/>
    <n v="175837550996.18515"/>
    <n v="10"/>
    <n v="3970000000"/>
    <n v="10"/>
    <n v="3830000000"/>
    <n v="20"/>
    <n v="7800000000"/>
    <n v="2.2577657488451544E-2"/>
    <n v="2.1781468055609425E-2"/>
    <n v="4.4359125544060969E-2"/>
    <n v="2.9568831323596224E-3"/>
    <n v="4.8167618281057421E-3"/>
    <n v="3.6400461072506919E-3"/>
    <n v="458823529.41176468"/>
    <n v="2.6093603261212331E-3"/>
    <x v="2"/>
    <n v="0"/>
    <n v="0"/>
    <n v="0"/>
    <n v="0"/>
    <n v="0"/>
    <n v="0"/>
    <n v="0"/>
    <n v="0"/>
    <n v="0"/>
    <n v="0"/>
    <n v="3485373000"/>
    <n v="9018816000"/>
    <n v="5533443000"/>
    <x v="140"/>
    <n v="29178065000"/>
    <n v="72934956000"/>
    <n v="43756891000"/>
    <n v="102113021000"/>
    <n v="0.11945182108546266"/>
    <n v="0.12365560349415992"/>
    <n v="1.167790638838994E-2"/>
    <n v="3.5252155446337689E-2"/>
    <n v="0.12245440275437547"/>
    <n v="7.111216534329054E-2"/>
    <s v="na"/>
    <s v="na"/>
    <s v="na"/>
    <s v="na"/>
    <s v="na"/>
    <s v="na"/>
    <s v="na"/>
    <s v="na"/>
    <n v="0"/>
    <n v="0"/>
    <n v="0"/>
    <n v="0"/>
    <n v="0"/>
    <n v="0"/>
  </r>
  <r>
    <n v="127"/>
    <s v="MNG"/>
    <s v="Mongolia"/>
    <x v="4"/>
    <s v="Lower middle income"/>
    <x v="3"/>
    <x v="0"/>
    <x v="0"/>
    <n v="2013"/>
    <n v="0"/>
    <s v="na"/>
    <n v="13996719329.423601"/>
    <n v="6"/>
    <n v="2230000000"/>
    <n v="14"/>
    <n v="5630000000"/>
    <n v="20"/>
    <n v="7860000000"/>
    <n v="0.15932304903136424"/>
    <n v="0.40223711481909447"/>
    <n v="0.5615601638504587"/>
    <n v="1.6609192405949518E-3"/>
    <n v="7.0805141232990415E-3"/>
    <n v="3.6680464619218509E-3"/>
    <n v="462352941.17647058"/>
    <n v="3.3032950814732863E-2"/>
    <x v="2"/>
    <n v="2"/>
    <n v="121000000"/>
    <n v="0"/>
    <n v="0"/>
    <n v="0"/>
    <n v="0"/>
    <n v="2"/>
    <n v="121000000"/>
    <n v="8.6448829295045163E-3"/>
    <n v="3.0356071703550131E-3"/>
    <n v="2036805"/>
    <n v="6772663"/>
    <n v="4735858"/>
    <x v="141"/>
    <n v="6127356000"/>
    <n v="7619754000"/>
    <n v="1492398000"/>
    <n v="13747110000"/>
    <n v="3.3241172864772344E-4"/>
    <n v="8.8882961313449223E-4"/>
    <n v="2.4523452729418292E-3"/>
    <n v="3.6829082678935653E-3"/>
    <n v="6.4082327121845969E-4"/>
    <n v="6.293952027373248E-4"/>
    <n v="139"/>
    <n v="5225733735.4564066"/>
    <n v="80"/>
    <n v="804804606.9130677"/>
    <n v="50"/>
    <n v="4326680144.5949039"/>
    <n v="9"/>
    <n v="94248983.948433891"/>
    <n v="0.3733541848246526"/>
    <n v="5.7499517420573319E-2"/>
    <n v="0.30912101920193902"/>
    <n v="6.7336482021401771E-3"/>
    <n v="307396102.08567095"/>
    <n v="2.1962010872038387E-2"/>
  </r>
  <r>
    <n v="91"/>
    <s v="IRL"/>
    <s v="Ireland"/>
    <x v="0"/>
    <s v="High income"/>
    <x v="3"/>
    <x v="0"/>
    <x v="1"/>
    <s v="na"/>
    <n v="0"/>
    <s v="na"/>
    <n v="399122063504.14838"/>
    <n v="6"/>
    <n v="7930000000"/>
    <n v="0"/>
    <n v="0"/>
    <n v="6"/>
    <n v="7930000000"/>
    <n v="1.9868608441180744E-2"/>
    <n v="0"/>
    <n v="1.9868608441180744E-2"/>
    <n v="5.9063181963757696E-3"/>
    <n v="0"/>
    <n v="3.7007135423715366E-3"/>
    <n v="466470588.2352941"/>
    <n v="1.1687416730106321E-3"/>
    <x v="3"/>
    <n v="0"/>
    <n v="0"/>
    <n v="0"/>
    <n v="0"/>
    <n v="0"/>
    <n v="0"/>
    <n v="0"/>
    <n v="0"/>
    <n v="0"/>
    <n v="0"/>
    <n v="5706890000"/>
    <n v="9212614000"/>
    <n v="3505724000"/>
    <x v="142"/>
    <n v="101473370000"/>
    <n v="170743383000"/>
    <n v="69270013000"/>
    <n v="272216753000"/>
    <n v="5.6240272694205388E-2"/>
    <n v="5.3955906449387851E-2"/>
    <n v="4.0612580572922032E-2"/>
    <n v="8.2526577227928569E-2"/>
    <n v="5.4807442361932808E-2"/>
    <n v="3.7380804932235799E-2"/>
    <s v="na"/>
    <s v="na"/>
    <s v="na"/>
    <s v="na"/>
    <s v="na"/>
    <s v="na"/>
    <s v="na"/>
    <s v="na"/>
    <n v="0"/>
    <n v="0"/>
    <n v="0"/>
    <n v="0"/>
    <n v="0"/>
    <n v="0"/>
  </r>
  <r>
    <n v="38"/>
    <s v="TCD"/>
    <s v="Chad"/>
    <x v="3"/>
    <s v="Low income"/>
    <x v="1"/>
    <x v="0"/>
    <x v="0"/>
    <n v="2018"/>
    <n v="1"/>
    <n v="2006"/>
    <n v="11314951342.780731"/>
    <n v="5"/>
    <n v="7730000000"/>
    <n v="3"/>
    <n v="550000000"/>
    <n v="8"/>
    <n v="8280000000"/>
    <n v="0.6831668794521123"/>
    <n v="4.8608251448727269E-2"/>
    <n v="0.73177513090083957"/>
    <n v="5.7573568295062674E-3"/>
    <n v="6.9170209019795261E-4"/>
    <n v="3.8640489446199653E-3"/>
    <n v="487058823.52941179"/>
    <n v="4.3045595935343503E-2"/>
    <x v="0"/>
    <s v="na"/>
    <s v="na"/>
    <s v="na"/>
    <s v="na"/>
    <s v="na"/>
    <s v="na"/>
    <n v="0"/>
    <s v="na"/>
    <s v="na"/>
    <s v="na"/>
    <n v="278769000"/>
    <n v="439827000"/>
    <n v="161058000"/>
    <x v="143"/>
    <n v="1006326000"/>
    <n v="1319682000"/>
    <n v="313356000"/>
    <n v="2326008000"/>
    <n v="0.27701659303247655"/>
    <n v="0.3332825635266678"/>
    <n v="4.0276080076601708E-4"/>
    <n v="6.3785100526740309E-4"/>
    <n v="0.3089396081182868"/>
    <n v="6.3508536469181129E-2"/>
    <n v="96"/>
    <n v="4127853844.9958119"/>
    <n v="85"/>
    <n v="2946617135.621397"/>
    <n v="6"/>
    <n v="736995321.85174417"/>
    <n v="5"/>
    <n v="444241387.52267027"/>
    <n v="0.3648141048020947"/>
    <n v="0.26041801209347881"/>
    <n v="6.5134643492918656E-2"/>
    <n v="3.9261449215697179E-2"/>
    <n v="242814932.05857718"/>
    <n v="2.145965322365263E-2"/>
  </r>
  <r>
    <n v="180"/>
    <s v="ESP"/>
    <s v="Spain"/>
    <x v="0"/>
    <s v="High income"/>
    <x v="2"/>
    <x v="0"/>
    <x v="1"/>
    <s v="na"/>
    <n v="0"/>
    <s v="na"/>
    <n v="1393046093137.2527"/>
    <n v="17"/>
    <n v="8510000000"/>
    <n v="0"/>
    <n v="0"/>
    <n v="17"/>
    <n v="8510000000"/>
    <n v="6.1089148750525478E-3"/>
    <n v="0"/>
    <n v="6.1089148750525478E-3"/>
    <n v="6.3383061602973268E-3"/>
    <n v="0"/>
    <n v="3.9713836375260755E-3"/>
    <n v="500588235.29411763"/>
    <n v="3.5934793382662046E-4"/>
    <x v="3"/>
    <n v="0"/>
    <n v="0"/>
    <n v="0"/>
    <n v="0"/>
    <n v="0"/>
    <n v="0"/>
    <n v="0"/>
    <n v="0"/>
    <n v="0"/>
    <n v="0"/>
    <n v="32639038000"/>
    <n v="7613577000"/>
    <n v="-25025461000"/>
    <x v="144"/>
    <n v="375485170000"/>
    <n v="337215114000"/>
    <n v="-38270056000"/>
    <n v="712700284000"/>
    <n v="8.692497229650907E-2"/>
    <n v="2.257780474216823E-2"/>
    <n v="0.1502800362357368"/>
    <n v="0.16298850742547216"/>
    <n v="5.6479021972720304E-2"/>
    <n v="2.8895393482169601E-2"/>
    <s v="na"/>
    <s v="na"/>
    <s v="na"/>
    <s v="na"/>
    <s v="na"/>
    <s v="na"/>
    <s v="na"/>
    <s v="na"/>
    <n v="0"/>
    <n v="0"/>
    <n v="0"/>
    <n v="0"/>
    <n v="0"/>
    <n v="0"/>
  </r>
  <r>
    <n v="202"/>
    <s v="UKR"/>
    <s v="Ukraine"/>
    <x v="0"/>
    <s v="Lower middle income"/>
    <x v="3"/>
    <x v="0"/>
    <x v="0"/>
    <n v="2017"/>
    <n v="0"/>
    <s v="na"/>
    <n v="153929501862.34137"/>
    <n v="6"/>
    <n v="6020000000"/>
    <n v="9"/>
    <n v="3130000000"/>
    <n v="15"/>
    <n v="9150000000"/>
    <n v="3.9108812327500846E-2"/>
    <n v="2.0333983818119208E-2"/>
    <n v="5.944279614562005E-2"/>
    <n v="4.4837371427720223E-3"/>
    <n v="3.9364137133083479E-3"/>
    <n v="4.2700540873517731E-3"/>
    <n v="538235294.11764705"/>
    <n v="3.4966350673894149E-3"/>
    <x v="0"/>
    <s v="na"/>
    <s v="na"/>
    <s v="na"/>
    <s v="na"/>
    <s v="na"/>
    <s v="na"/>
    <n v="0"/>
    <s v="na"/>
    <s v="na"/>
    <s v="na"/>
    <n v="9203749000"/>
    <n v="3590068000"/>
    <n v="-5613681000"/>
    <x v="145"/>
    <n v="60684881000"/>
    <n v="49853049000"/>
    <n v="-10831832000"/>
    <n v="110537930000"/>
    <n v="0.15166461313485974"/>
    <n v="7.2013007669801704E-2"/>
    <n v="2.4287846349940731E-2"/>
    <n v="2.4095818098826157E-2"/>
    <n v="0.1157414201622918"/>
    <n v="8.3114782060695988E-2"/>
    <n v="70"/>
    <n v="31397707013.803066"/>
    <n v="32"/>
    <n v="1843879105.019238"/>
    <n v="29"/>
    <n v="6769559487.0643797"/>
    <n v="9"/>
    <n v="22784268421.719448"/>
    <n v="0.20397458988649186"/>
    <n v="1.197872456358764E-2"/>
    <n v="4.3978310883630183E-2"/>
    <n v="0.14801755443927403"/>
    <n v="1846923941.9884157"/>
    <n v="1.1998505287440698E-2"/>
  </r>
  <r>
    <n v="155"/>
    <s v="PRT"/>
    <s v="Portugal"/>
    <x v="0"/>
    <s v="High income"/>
    <x v="2"/>
    <x v="0"/>
    <x v="0"/>
    <n v="2018"/>
    <n v="0"/>
    <s v="na"/>
    <n v="239510770948.27414"/>
    <n v="4"/>
    <n v="4590000000"/>
    <n v="8"/>
    <n v="4630000000"/>
    <n v="12"/>
    <n v="9220000000"/>
    <n v="1.9164065072427485E-2"/>
    <n v="1.9331072175455176E-2"/>
    <n v="3.8495137247882658E-2"/>
    <n v="3.4186633696550802E-3"/>
    <n v="5.8228739593027641E-3"/>
    <n v="4.3027211678014592E-3"/>
    <n v="542352941.17647064"/>
    <n v="2.264419838110745E-3"/>
    <x v="3"/>
    <n v="0"/>
    <n v="0"/>
    <n v="0"/>
    <n v="0"/>
    <n v="0"/>
    <n v="0"/>
    <n v="0"/>
    <n v="0"/>
    <n v="0"/>
    <n v="0"/>
    <n v="3306270000"/>
    <n v="673894000"/>
    <n v="-2632376000"/>
    <x v="146"/>
    <n v="89541380000"/>
    <n v="67064074000"/>
    <n v="-22477306000"/>
    <n v="156605454000"/>
    <n v="3.6924492340859615E-2"/>
    <n v="1.0048509728174284E-2"/>
    <n v="3.5837052715019017E-2"/>
    <n v="3.2414541547302694E-2"/>
    <n v="2.5415232345611667E-2"/>
    <n v="1.6617891480377619E-2"/>
    <s v="na"/>
    <s v="na"/>
    <s v="na"/>
    <s v="na"/>
    <s v="na"/>
    <s v="na"/>
    <s v="na"/>
    <s v="na"/>
    <n v="0"/>
    <n v="0"/>
    <n v="0"/>
    <n v="0"/>
    <n v="0"/>
    <n v="0"/>
  </r>
  <r>
    <n v="100"/>
    <s v="KOR"/>
    <s v="Korea Republic"/>
    <x v="4"/>
    <s v="Low income"/>
    <x v="3"/>
    <x v="2"/>
    <x v="0"/>
    <n v="2018"/>
    <n v="0"/>
    <s v="na"/>
    <n v="1646739219509.8928"/>
    <n v="4"/>
    <n v="2120000000"/>
    <n v="14"/>
    <n v="7240000000"/>
    <n v="18"/>
    <n v="9360000000"/>
    <n v="1.2873926696365199E-3"/>
    <n v="4.39656741894736E-3"/>
    <n v="5.6839600885838799E-3"/>
    <n v="1.5789904888167253E-3"/>
    <n v="9.1053147873330475E-3"/>
    <n v="4.3680553287008305E-3"/>
    <n v="550588235.29411769"/>
    <n v="3.3435059344611063E-4"/>
    <x v="2"/>
    <n v="0"/>
    <n v="0"/>
    <n v="0"/>
    <n v="0"/>
    <n v="0"/>
    <n v="0"/>
    <n v="0"/>
    <n v="0"/>
    <n v="0"/>
    <n v="0"/>
    <n v="107219763000"/>
    <n v="136213398000"/>
    <n v="28993635000"/>
    <x v="147"/>
    <n v="503259397000"/>
    <n v="542333337000"/>
    <n v="39073940000"/>
    <n v="1045592734000"/>
    <n v="0.21305069242452715"/>
    <n v="0.25116176474322099"/>
    <n v="0.20141898125333429"/>
    <n v="0.26212971321536199"/>
    <n v="0.23281833651303854"/>
    <n v="0.14782739010275789"/>
    <s v="na"/>
    <s v="na"/>
    <s v="na"/>
    <s v="na"/>
    <s v="na"/>
    <s v="na"/>
    <s v="na"/>
    <s v="na"/>
    <n v="0"/>
    <n v="0"/>
    <n v="0"/>
    <n v="0"/>
    <n v="0"/>
    <n v="0"/>
  </r>
  <r>
    <n v="131"/>
    <s v="MMR"/>
    <s v="Myanmar"/>
    <x v="4"/>
    <s v="Lower middle income"/>
    <x v="4"/>
    <x v="2"/>
    <x v="0"/>
    <n v="2016"/>
    <n v="0"/>
    <s v="na"/>
    <n v="79844294296.064682"/>
    <n v="7"/>
    <n v="4180000000"/>
    <n v="16"/>
    <n v="5700000000"/>
    <n v="23"/>
    <n v="9880000000"/>
    <n v="5.2351893605577543E-2"/>
    <n v="7.1388945825787559E-2"/>
    <n v="0.1237408394313651"/>
    <n v="3.1132925675726002E-3"/>
    <n v="7.1685489347787807E-3"/>
    <n v="4.61072506918421E-3"/>
    <n v="581176470.58823526"/>
    <n v="7.2788729077273582E-3"/>
    <x v="2"/>
    <n v="1"/>
    <n v="20000000"/>
    <n v="0"/>
    <n v="0"/>
    <n v="0"/>
    <n v="0"/>
    <n v="1"/>
    <n v="20000000"/>
    <n v="2.5048752921328965E-4"/>
    <n v="5.0175325129834928E-4"/>
    <n v="6447069000"/>
    <n v="5753615000"/>
    <n v="-693454000"/>
    <x v="148"/>
    <n v="18610892000"/>
    <n v="18105886000"/>
    <n v="-505006000"/>
    <n v="36716778000"/>
    <n v="0.34641375598762275"/>
    <n v="0.31777594313804913"/>
    <n v="7.4486178086324521E-3"/>
    <n v="8.7512427890635777E-3"/>
    <n v="0.33229179314154417"/>
    <n v="0.15280595949360579"/>
    <n v="280"/>
    <n v="17089617367.982758"/>
    <n v="182"/>
    <n v="3050070955.9996686"/>
    <n v="81"/>
    <n v="7760284650.3226576"/>
    <n v="17"/>
    <n v="6279261761.6604366"/>
    <n v="0.21403680148532617"/>
    <n v="3.8200236884678669E-2"/>
    <n v="9.7192726402557009E-2"/>
    <n v="7.8643838198090565E-2"/>
    <n v="1005271609.8813387"/>
    <n v="1.2590400087372128E-2"/>
  </r>
  <r>
    <n v="34"/>
    <s v="CMR"/>
    <s v="Cameroon"/>
    <x v="3"/>
    <s v="Lower middle income"/>
    <x v="1"/>
    <x v="0"/>
    <x v="0"/>
    <n v="2015"/>
    <n v="0"/>
    <s v="na"/>
    <n v="39007354359.279823"/>
    <n v="15"/>
    <n v="5970000000"/>
    <n v="10"/>
    <n v="3990000000"/>
    <n v="25"/>
    <n v="9960000000"/>
    <n v="0.15304806229648182"/>
    <n v="0.10228840344438232"/>
    <n v="0.25533646574086416"/>
    <n v="4.4464968010546465E-3"/>
    <n v="5.017984254345147E-3"/>
    <n v="4.6480588754124223E-3"/>
    <n v="585882352.94117641"/>
    <n v="1.5019792102403772E-2"/>
    <x v="0"/>
    <s v="na"/>
    <s v="na"/>
    <s v="na"/>
    <s v="na"/>
    <s v="na"/>
    <s v="na"/>
    <n v="0"/>
    <s v="na"/>
    <s v="na"/>
    <s v="na"/>
    <n v="1676311000"/>
    <n v="1015043000"/>
    <n v="-661268000"/>
    <x v="149"/>
    <n v="6165015000"/>
    <n v="5721600000"/>
    <n v="-443415000"/>
    <n v="11886615000"/>
    <n v="0.27190704321076264"/>
    <n v="0.17740544602908279"/>
    <n v="2.4674174950607528E-3"/>
    <n v="2.7654604001100063E-3"/>
    <n v="0.22641887534844865"/>
    <n v="6.8996066106178477E-2"/>
    <n v="132"/>
    <n v="6758834345.7368317"/>
    <n v="103"/>
    <n v="1578225644.3265741"/>
    <n v="18"/>
    <n v="4176630992.847837"/>
    <n v="11"/>
    <n v="1003977708.5624185"/>
    <n v="0.17327077051891651"/>
    <n v="4.0459694594773644E-2"/>
    <n v="0.10707291128689991"/>
    <n v="2.5738164637242895E-2"/>
    <n v="397578490.92569596"/>
    <n v="1.0192398265818617E-2"/>
  </r>
  <r>
    <n v="191"/>
    <s v="THA"/>
    <s v="Thailand"/>
    <x v="4"/>
    <s v="Upper middle income"/>
    <x v="4"/>
    <x v="2"/>
    <x v="0"/>
    <n v="2014"/>
    <n v="0"/>
    <s v="na"/>
    <n v="544263968873.60052"/>
    <n v="8"/>
    <n v="1780000000"/>
    <n v="29"/>
    <n v="8360000000"/>
    <n v="37"/>
    <n v="10140000000"/>
    <n v="3.2704718698977221E-3"/>
    <n v="1.5360193726036492E-2"/>
    <n v="1.8630665595934216E-2"/>
    <n v="1.3257561651385712E-3"/>
    <n v="1.0513871771008879E-2"/>
    <n v="4.7320599394258993E-3"/>
    <n v="596470588.2352941"/>
    <n v="1.0959215056431891E-3"/>
    <x v="2"/>
    <n v="0"/>
    <n v="0"/>
    <n v="1"/>
    <n v="500000000"/>
    <n v="0"/>
    <n v="0"/>
    <n v="1"/>
    <n v="500000000"/>
    <n v="9.1867187356677591E-4"/>
    <n v="1.2543831282458732E-2"/>
    <n v="50953351000"/>
    <n v="29002027000"/>
    <n v="-21951324000"/>
    <x v="150"/>
    <n v="240139196000"/>
    <n v="245380465000"/>
    <n v="5241269000"/>
    <n v="485519661000"/>
    <n v="0.21218256681429049"/>
    <n v="0.11819207775973528"/>
    <n v="9.6110658848392594E-2"/>
    <n v="0.11860143297645404"/>
    <n v="0.16468000046655165"/>
    <n v="0.14690551381799954"/>
    <n v="55"/>
    <n v="2707817429.782577"/>
    <n v="23"/>
    <n v="17890173.653132062"/>
    <n v="27"/>
    <n v="2677493910.3410997"/>
    <n v="5"/>
    <n v="12433345.7883453"/>
    <n v="4.9751914229902638E-3"/>
    <n v="3.2870398696715605E-5"/>
    <n v="4.9194766941533822E-3"/>
    <n v="2.2844330140165517E-5"/>
    <n v="159283378.22250453"/>
    <n v="2.9265831899942724E-4"/>
  </r>
  <r>
    <n v="216"/>
    <s v="ZWE"/>
    <s v="Zimbabwe"/>
    <x v="3"/>
    <s v="Lower middle income"/>
    <x v="1"/>
    <x v="0"/>
    <x v="0"/>
    <n v="2018"/>
    <n v="0"/>
    <s v="na"/>
    <n v="16932434838.692844"/>
    <n v="9"/>
    <n v="1690000000"/>
    <n v="15"/>
    <n v="8580000000"/>
    <n v="24"/>
    <n v="10270000000"/>
    <n v="9.9808445512994226E-2"/>
    <n v="0.50671980029673991"/>
    <n v="0.60652824580973419"/>
    <n v="1.2587235500472953E-3"/>
    <n v="1.0790552607088061E-2"/>
    <n v="4.7927273745467444E-3"/>
    <n v="604117647.05882359"/>
    <n v="3.5678132106454957E-2"/>
    <x v="0"/>
    <s v="na"/>
    <s v="na"/>
    <s v="na"/>
    <s v="na"/>
    <s v="na"/>
    <s v="na"/>
    <n v="0"/>
    <s v="na"/>
    <s v="na"/>
    <s v="na"/>
    <n v="411593000"/>
    <n v="3247000"/>
    <n v="-408346000"/>
    <x v="151"/>
    <n v="4793889000"/>
    <n v="4279384000"/>
    <n v="-514505000"/>
    <n v="9073273000"/>
    <n v="8.5857849441236547E-2"/>
    <n v="7.5875406366897661E-4"/>
    <n v="1.9186531724544539E-3"/>
    <n v="2.0683841912864168E-3"/>
    <n v="4.5721097557628876E-2"/>
    <n v="2.4499725169592028E-2"/>
    <n v="204"/>
    <n v="17281064864.699394"/>
    <n v="141"/>
    <n v="8254176990.2777405"/>
    <n v="52"/>
    <n v="8899474794.6103668"/>
    <n v="11"/>
    <n v="127413079.81127936"/>
    <n v="1.0205894798549517"/>
    <n v="0.48747726295192106"/>
    <n v="0.52558742315510909"/>
    <n v="7.524793747921219E-3"/>
    <n v="1016533227.3352585"/>
    <n v="6.0034675285585398E-2"/>
  </r>
  <r>
    <n v="130"/>
    <s v="MOZ"/>
    <s v="Mozambique"/>
    <x v="3"/>
    <s v="Low income"/>
    <x v="1"/>
    <x v="0"/>
    <x v="0"/>
    <n v="2018"/>
    <n v="0"/>
    <s v="na"/>
    <n v="15291448211.603004"/>
    <n v="9"/>
    <n v="7360000000"/>
    <n v="7"/>
    <n v="3050000000"/>
    <n v="16"/>
    <n v="10410000000"/>
    <n v="0.48131477791719574"/>
    <n v="0.19945789030535965"/>
    <n v="0.68077266822255533"/>
    <n v="5.4817783007976885E-3"/>
    <n v="3.8358025001886458E-3"/>
    <n v="4.8580615354461157E-3"/>
    <n v="612352941.17647064"/>
    <n v="4.0045451071915025E-2"/>
    <x v="0"/>
    <s v="na"/>
    <s v="na"/>
    <s v="na"/>
    <s v="na"/>
    <s v="na"/>
    <s v="na"/>
    <n v="0"/>
    <s v="na"/>
    <s v="na"/>
    <s v="na"/>
    <n v="861515000"/>
    <n v="323799000"/>
    <n v="-537716000"/>
    <x v="152"/>
    <n v="7638740000"/>
    <n v="4722313000"/>
    <n v="-2916427000"/>
    <n v="12361053000"/>
    <n v="0.11278234368495328"/>
    <n v="6.8567881883305912E-2"/>
    <n v="3.0572449079556779E-3"/>
    <n v="2.2824681205300414E-3"/>
    <n v="9.5891021582061017E-2"/>
    <n v="7.7514829439149863E-2"/>
    <n v="117"/>
    <n v="9474383767.6672211"/>
    <n v="85"/>
    <n v="1791185758.9066896"/>
    <n v="17"/>
    <n v="3154804544.1743064"/>
    <n v="15"/>
    <n v="4528393464.5862246"/>
    <n v="0.61958708139090113"/>
    <n v="0.11713643692345341"/>
    <n v="0.2063116913792685"/>
    <n v="0.29613895308817922"/>
    <n v="557316692.21571887"/>
    <n v="3.6446298905347126E-2"/>
  </r>
  <r>
    <n v="74"/>
    <s v="GRC"/>
    <s v="Greece"/>
    <x v="0"/>
    <s v="High income"/>
    <x v="2"/>
    <x v="0"/>
    <x v="0"/>
    <n v="2018"/>
    <n v="0"/>
    <s v="na"/>
    <n v="205326724570.22711"/>
    <n v="3"/>
    <n v="6040000000"/>
    <n v="8"/>
    <n v="4500000000"/>
    <n v="11"/>
    <n v="10540000000"/>
    <n v="2.9416531202367483E-2"/>
    <n v="2.1916289803088358E-2"/>
    <n v="5.1332821005455838E-2"/>
    <n v="4.4986332794589726E-3"/>
    <n v="5.6593807379832486E-3"/>
    <n v="4.9187289705669608E-3"/>
    <n v="620000000"/>
    <n v="3.0195777062032845E-3"/>
    <x v="3"/>
    <n v="0"/>
    <n v="0"/>
    <n v="0"/>
    <n v="0"/>
    <n v="0"/>
    <n v="0"/>
    <n v="0"/>
    <n v="0"/>
    <n v="0"/>
    <n v="0"/>
    <n v="4546496000"/>
    <n v="999093000"/>
    <n v="-3547403000"/>
    <x v="153"/>
    <n v="62198045000"/>
    <n v="37885527000"/>
    <n v="-24312518000"/>
    <n v="100083572000"/>
    <n v="7.3097088501736671E-2"/>
    <n v="2.6371363396898242E-2"/>
    <n v="2.4893458392489874E-2"/>
    <n v="1.8311473129159404E-2"/>
    <n v="5.5409583103208988E-2"/>
    <n v="2.7008607922848656E-2"/>
    <s v="na"/>
    <s v="na"/>
    <s v="na"/>
    <s v="na"/>
    <s v="na"/>
    <s v="na"/>
    <s v="na"/>
    <s v="na"/>
    <n v="0"/>
    <n v="0"/>
    <n v="0"/>
    <n v="0"/>
    <n v="0"/>
    <n v="0"/>
  </r>
  <r>
    <n v="169"/>
    <s v="SRB"/>
    <s v="Serbia"/>
    <x v="0"/>
    <s v="Upper middle income"/>
    <x v="3"/>
    <x v="0"/>
    <x v="0"/>
    <n v="2015"/>
    <n v="0"/>
    <s v="na"/>
    <n v="51475016532.129341"/>
    <n v="3"/>
    <n v="930000000"/>
    <n v="24"/>
    <n v="9730000000"/>
    <n v="27"/>
    <n v="10660000000"/>
    <n v="1.8067017024064842E-2"/>
    <n v="0.18902373725177518"/>
    <n v="0.20709075427584001"/>
    <n v="6.9267035594318611E-4"/>
    <n v="1.2236838795683779E-2"/>
    <n v="4.9747296799092788E-3"/>
    <n v="627058823.52941179"/>
    <n v="1.2181809075049413E-2"/>
    <x v="3"/>
    <n v="0"/>
    <n v="0"/>
    <n v="0"/>
    <n v="0"/>
    <n v="0"/>
    <n v="0"/>
    <n v="0"/>
    <n v="0"/>
    <n v="0"/>
    <n v="0"/>
    <n v="2506052000"/>
    <n v="318351000"/>
    <n v="-2187701000"/>
    <x v="154"/>
    <n v="26548364000"/>
    <n v="19557555000"/>
    <n v="-6990809000"/>
    <n v="46105919000"/>
    <n v="9.439572246335029E-2"/>
    <n v="1.6277648202957885E-2"/>
    <n v="1.0625423912000385E-2"/>
    <n v="9.4528879815914176E-3"/>
    <n v="6.1259011017652638E-2"/>
    <n v="5.4869394713784742E-2"/>
    <n v="66"/>
    <n v="4251444743.7936091"/>
    <n v="38"/>
    <n v="1195786657.3237548"/>
    <n v="24"/>
    <n v="2571020557.8682885"/>
    <n v="4"/>
    <n v="484637528.60156596"/>
    <n v="8.2592392003215193E-2"/>
    <n v="2.3230427844105235E-2"/>
    <n v="4.9946959342179631E-2"/>
    <n v="9.4150048169303266E-3"/>
    <n v="250084984.92903584"/>
    <n v="4.8583760001891293E-3"/>
  </r>
  <r>
    <n v="43"/>
    <s v="COG"/>
    <s v="Congo"/>
    <x v="3"/>
    <s v="Lower middle income"/>
    <x v="1"/>
    <x v="0"/>
    <x v="0"/>
    <s v="na"/>
    <n v="0"/>
    <s v="na"/>
    <n v="12693562947.785587"/>
    <n v="10"/>
    <n v="4280000000"/>
    <n v="12"/>
    <n v="6710000000"/>
    <n v="22"/>
    <n v="10990000000"/>
    <n v="0.33717877459666695"/>
    <n v="0.5286143872765503"/>
    <n v="0.86579316187321731"/>
    <n v="3.1877732510073513E-3"/>
    <n v="8.438765500415021E-3"/>
    <n v="5.1287316306006542E-3"/>
    <n v="646470588.2352941"/>
    <n v="5.0929009521953957E-2"/>
    <x v="0"/>
    <s v="na"/>
    <s v="na"/>
    <s v="na"/>
    <s v="na"/>
    <s v="na"/>
    <s v="na"/>
    <n v="0"/>
    <s v="na"/>
    <s v="na"/>
    <s v="na"/>
    <n v="256304000"/>
    <n v="3333674000"/>
    <n v="3077370000"/>
    <x v="155"/>
    <n v="2302133000"/>
    <n v="5577729000"/>
    <n v="3275596000"/>
    <n v="7879862000"/>
    <n v="0.11133327223057921"/>
    <n v="0.59767586413753693"/>
    <n v="9.2138027890551692E-4"/>
    <n v="2.6959222371443631E-3"/>
    <n v="0.45558894305509412"/>
    <n v="0.28281878104415731"/>
    <n v="168"/>
    <n v="14102108181.011784"/>
    <n v="142"/>
    <n v="8393094901.1244373"/>
    <n v="10"/>
    <n v="2265789246.255024"/>
    <n v="16"/>
    <n v="3443224033.6323285"/>
    <n v="1.1109653167530806"/>
    <n v="0.66120875089595132"/>
    <n v="0.17849907512770435"/>
    <n v="0.27125749072942557"/>
    <n v="829535775.35363436"/>
    <n v="6.535090098547533E-2"/>
  </r>
  <r>
    <n v="103"/>
    <s v="KWT"/>
    <s v="Kuwait"/>
    <x v="5"/>
    <s v="High income"/>
    <x v="1"/>
    <x v="0"/>
    <x v="0"/>
    <n v="2018"/>
    <n v="0"/>
    <s v="na"/>
    <n v="136196760180.97563"/>
    <n v="7"/>
    <n v="2690000000"/>
    <n v="20"/>
    <n v="8420000000"/>
    <n v="27"/>
    <n v="11110000000"/>
    <n v="1.975083692464916E-2"/>
    <n v="6.1822322269719676E-2"/>
    <n v="8.1573159194368833E-2"/>
    <n v="2.0035303843948071E-3"/>
    <n v="1.0589330180848655E-2"/>
    <n v="5.1847323399429723E-3"/>
    <n v="653529411.7647059"/>
    <n v="4.7984211290805203E-3"/>
    <x v="1"/>
    <n v="0"/>
    <n v="0"/>
    <n v="0"/>
    <n v="0"/>
    <n v="0"/>
    <n v="0"/>
    <n v="0"/>
    <n v="0"/>
    <n v="0"/>
    <n v="0"/>
    <n v="5988380000"/>
    <n v="910739000"/>
    <n v="-5077641000"/>
    <x v="156"/>
    <n v="33530893000"/>
    <n v="64482097000"/>
    <n v="30951204000"/>
    <n v="98012990000"/>
    <n v="0.17859291728377172"/>
    <n v="1.4123904810353794E-2"/>
    <n v="1.3420034178864141E-2"/>
    <n v="3.1166576791378679E-2"/>
    <n v="7.0389843223842063E-2"/>
    <n v="5.065552947685821E-2"/>
    <s v="na"/>
    <s v="na"/>
    <s v="na"/>
    <s v="na"/>
    <s v="na"/>
    <s v="na"/>
    <s v="na"/>
    <s v="na"/>
    <n v="0"/>
    <n v="0"/>
    <n v="0"/>
    <n v="0"/>
    <n v="0"/>
    <n v="0"/>
  </r>
  <r>
    <n v="95"/>
    <s v="JPN"/>
    <s v="Japan"/>
    <x v="4"/>
    <s v="High income"/>
    <x v="1"/>
    <x v="0"/>
    <x v="1"/>
    <s v="na"/>
    <n v="0"/>
    <s v="na"/>
    <n v="5148781948478.1729"/>
    <n v="26"/>
    <n v="11800000000"/>
    <n v="0"/>
    <n v="0"/>
    <n v="26"/>
    <n v="11800000000"/>
    <n v="2.2918041816643118E-3"/>
    <n v="0"/>
    <n v="2.2918041816643118E-3"/>
    <n v="8.7887206453006409E-3"/>
    <n v="0"/>
    <n v="5.5067364186613035E-3"/>
    <n v="694117647.05882359"/>
    <n v="1.34812010686136E-4"/>
    <x v="0"/>
    <s v="na"/>
    <s v="na"/>
    <s v="na"/>
    <s v="na"/>
    <s v="na"/>
    <s v="na"/>
    <n v="0"/>
    <s v="na"/>
    <s v="na"/>
    <s v="na"/>
    <n v="169236468000"/>
    <n v="134719884000"/>
    <n v="-34516584000"/>
    <x v="157"/>
    <n v="720964445000"/>
    <n v="705842013000"/>
    <n v="-15122432000"/>
    <n v="1426806458000"/>
    <n v="0.23473621920426327"/>
    <n v="0.19086407654796259"/>
    <n v="0.28855084454940749"/>
    <n v="0.34115948959826486"/>
    <n v="0.21303264384299556"/>
    <n v="5.90346134370364E-2"/>
    <s v="na"/>
    <s v="na"/>
    <s v="na"/>
    <s v="na"/>
    <s v="na"/>
    <s v="na"/>
    <s v="na"/>
    <s v="na"/>
    <n v="0"/>
    <n v="0"/>
    <n v="0"/>
    <n v="0"/>
    <n v="0"/>
    <n v="0"/>
  </r>
  <r>
    <n v="73"/>
    <s v="GHA"/>
    <s v="Ghana"/>
    <x v="3"/>
    <s v="Lower middle income"/>
    <x v="1"/>
    <x v="0"/>
    <x v="0"/>
    <n v="2018"/>
    <n v="0"/>
    <s v="na"/>
    <n v="67234292582.760582"/>
    <n v="12"/>
    <n v="4550000000"/>
    <n v="19"/>
    <n v="7970000000"/>
    <n v="31"/>
    <n v="12520000000"/>
    <n v="6.7673798967978691E-2"/>
    <n v="0.11854069841204179"/>
    <n v="0.18621449738002047"/>
    <n v="3.3888710962811795E-3"/>
    <n v="1.0023392107050331E-2"/>
    <n v="5.8427406747152133E-3"/>
    <n v="736470588.2352941"/>
    <n v="1.0953793963530616E-2"/>
    <x v="3"/>
    <n v="0"/>
    <n v="0"/>
    <n v="0"/>
    <n v="0"/>
    <n v="0"/>
    <n v="0"/>
    <n v="0"/>
    <n v="0"/>
    <n v="0"/>
    <n v="0"/>
    <n v="1895911"/>
    <n v="2808597"/>
    <n v="912686"/>
    <x v="158"/>
    <n v="10439795000"/>
    <n v="16768275000"/>
    <n v="6328480000"/>
    <n v="27208070000"/>
    <n v="1.8160423648165506E-4"/>
    <n v="1.6749468863076257E-4"/>
    <n v="4.1783082162570187E-3"/>
    <n v="8.1047260365377898E-3"/>
    <n v="1.7290855249931363E-4"/>
    <n v="6.9971852447307131E-5"/>
    <n v="156"/>
    <n v="33441115748.742939"/>
    <n v="118"/>
    <n v="5949626326.3930635"/>
    <n v="27"/>
    <n v="12773336941.599604"/>
    <n v="11"/>
    <n v="14718152480.750273"/>
    <n v="0.49738183394402979"/>
    <n v="8.8490948559762139E-2"/>
    <n v="0.18998246952441039"/>
    <n v="0.21890841585985729"/>
    <n v="1967124455.8084083"/>
    <n v="2.9257754937884108E-2"/>
  </r>
  <r>
    <n v="92"/>
    <s v="ISR"/>
    <s v="Israel"/>
    <x v="5"/>
    <s v="High income"/>
    <x v="1"/>
    <x v="0"/>
    <x v="1"/>
    <s v="na"/>
    <n v="0"/>
    <s v="na"/>
    <n v="394652208893.13806"/>
    <n v="3"/>
    <n v="1820000000"/>
    <n v="15"/>
    <n v="10960000000"/>
    <n v="18"/>
    <n v="12780000000"/>
    <n v="4.6116554246699035E-3"/>
    <n v="2.7771287612297878E-2"/>
    <n v="3.238294303696778E-2"/>
    <n v="1.3555484385124718E-3"/>
    <n v="1.3783736197399201E-2"/>
    <n v="5.9640755449569026E-3"/>
    <n v="751764705.88235295"/>
    <n v="1.9048790021745756E-3"/>
    <x v="2"/>
    <n v="0"/>
    <n v="0"/>
    <n v="0"/>
    <n v="0"/>
    <n v="0"/>
    <n v="0"/>
    <n v="0"/>
    <n v="0"/>
    <n v="0"/>
    <n v="0"/>
    <n v="10230484000"/>
    <n v="4721776000"/>
    <n v="-5508708000"/>
    <x v="159"/>
    <n v="76491065000"/>
    <n v="58448249000"/>
    <n v="-18042816000"/>
    <n v="134939314000"/>
    <n v="0.13374743834459621"/>
    <n v="8.0785585210602293E-2"/>
    <n v="3.0613938813908677E-2"/>
    <n v="2.8250195411295663E-2"/>
    <n v="0.11080729223212148"/>
    <n v="3.7887181835205938E-2"/>
    <n v="15"/>
    <n v="2654539877.4793816"/>
    <n v="0"/>
    <n v="0"/>
    <n v="15"/>
    <n v="2654539877.4793816"/>
    <n v="0"/>
    <n v="0"/>
    <n v="6.726276497791412E-3"/>
    <n v="0"/>
    <n v="6.726276497791412E-3"/>
    <n v="0"/>
    <n v="156149404.55761069"/>
    <n v="3.9566332339949488E-4"/>
  </r>
  <r>
    <n v="79"/>
    <s v="GIN"/>
    <s v="Guinea"/>
    <x v="3"/>
    <s v="Low income"/>
    <x v="1"/>
    <x v="0"/>
    <x v="0"/>
    <n v="2018"/>
    <n v="0"/>
    <s v="na"/>
    <n v="13513809258.208292"/>
    <n v="2"/>
    <n v="1800000000"/>
    <n v="16"/>
    <n v="11010000000"/>
    <n v="18"/>
    <n v="12810000000"/>
    <n v="0.13319708496748831"/>
    <n v="0.81472216971780342"/>
    <n v="0.94791925468529181"/>
    <n v="1.3406523018255215E-3"/>
    <n v="1.3846618205599013E-2"/>
    <n v="5.9780757222924821E-3"/>
    <n v="753529411.7647059"/>
    <n v="5.575995615795834E-2"/>
    <x v="3"/>
    <n v="0"/>
    <n v="0"/>
    <n v="0"/>
    <n v="0"/>
    <n v="0"/>
    <n v="0"/>
    <n v="0"/>
    <n v="0"/>
    <n v="0"/>
    <n v="0"/>
    <n v="1718196000"/>
    <n v="2504860000"/>
    <n v="786664000"/>
    <x v="160"/>
    <n v="4499351000"/>
    <n v="6696489000"/>
    <n v="2197138000"/>
    <n v="11195840000"/>
    <n v="0.38187640839756665"/>
    <n v="0.3740557178545354"/>
    <n v="1.8007705372686186E-3"/>
    <n v="3.2366602260333224E-3"/>
    <n v="0.37719867379312316"/>
    <n v="0.31249930491914518"/>
    <n v="101"/>
    <n v="22998381265.191792"/>
    <n v="89"/>
    <n v="22130339937.752663"/>
    <n v="7"/>
    <n v="579789711.17455518"/>
    <n v="5"/>
    <n v="288251616.2645728"/>
    <n v="1.7018429686080234"/>
    <n v="1.6376093161379119"/>
    <n v="4.2903499679218186E-2"/>
    <n v="2.1330152790893411E-2"/>
    <n v="1352845956.7759876"/>
    <n v="0.10010840991811902"/>
  </r>
  <r>
    <n v="57"/>
    <s v="ECU"/>
    <s v="Ecuador"/>
    <x v="1"/>
    <s v="Upper middle income"/>
    <x v="2"/>
    <x v="0"/>
    <x v="0"/>
    <n v="2018"/>
    <n v="0"/>
    <s v="na"/>
    <n v="108108009000"/>
    <n v="14"/>
    <n v="8310000000"/>
    <n v="13"/>
    <n v="5690000000"/>
    <n v="27"/>
    <n v="14000000000"/>
    <n v="7.6867570468345234E-2"/>
    <n v="5.263254825088861E-2"/>
    <n v="0.12950011871923384"/>
    <n v="6.1893447934278246E-3"/>
    <n v="7.1559725331388187E-3"/>
    <n v="6.5334160899371396E-3"/>
    <n v="823529411.7647059"/>
    <n v="7.6176540423078731E-3"/>
    <x v="3"/>
    <n v="1"/>
    <n v="50000000"/>
    <n v="0"/>
    <n v="0"/>
    <n v="0"/>
    <n v="0"/>
    <n v="1"/>
    <n v="50000000"/>
    <n v="4.625004239972637E-4"/>
    <n v="1.2543831282458731E-3"/>
    <n v="4496520000"/>
    <n v="2896831000"/>
    <n v="-1599689000"/>
    <x v="161"/>
    <n v="22393118000"/>
    <n v="22329379000"/>
    <n v="-63739000"/>
    <n v="44722497000"/>
    <n v="0.20079919196603171"/>
    <n v="0.1297318210237732"/>
    <n v="8.9623741584018597E-3"/>
    <n v="1.0792612797739789E-2"/>
    <n v="0.16531614949853984"/>
    <n v="6.8388559445211869E-2"/>
    <n v="122"/>
    <n v="33929188045.953293"/>
    <n v="80"/>
    <n v="6998072030.8370457"/>
    <n v="34"/>
    <n v="26758269325.671894"/>
    <n v="8"/>
    <n v="172846689.44435728"/>
    <n v="0.31384527714272575"/>
    <n v="6.4732225628510512E-2"/>
    <n v="0.24751421817112454"/>
    <n v="1.5988333430907722E-3"/>
    <n v="1995834590.9384289"/>
    <n v="1.8461486890748575E-2"/>
  </r>
  <r>
    <n v="178"/>
    <s v="ZAF"/>
    <s v="South Africa"/>
    <x v="3"/>
    <s v="Upper middle income"/>
    <x v="2"/>
    <x v="0"/>
    <x v="0"/>
    <n v="2015"/>
    <n v="0"/>
    <s v="na"/>
    <n v="351431649241.43854"/>
    <n v="12"/>
    <n v="9470000000"/>
    <n v="9"/>
    <n v="4910000000"/>
    <n v="21"/>
    <n v="14380000000"/>
    <n v="2.6946918470322448E-2"/>
    <n v="1.3971422353672991E-2"/>
    <n v="4.0918340823995439E-2"/>
    <n v="7.053320721270938E-3"/>
    <n v="6.1750132052217216E-3"/>
    <n v="6.7107516695211469E-3"/>
    <n v="845882352.94117641"/>
    <n v="2.4069612249409079E-3"/>
    <x v="1"/>
    <n v="0"/>
    <n v="0"/>
    <n v="0"/>
    <n v="0"/>
    <n v="0"/>
    <n v="0"/>
    <n v="0"/>
    <n v="0"/>
    <n v="0"/>
    <n v="0"/>
    <n v="16289345000"/>
    <n v="9659694000"/>
    <n v="-6629651000"/>
    <x v="162"/>
    <n v="88216179000"/>
    <n v="90419473000"/>
    <n v="2203294000"/>
    <n v="178635652000"/>
    <n v="0.1846525794321697"/>
    <n v="0.10683200951635717"/>
    <n v="3.5306668907052287E-2"/>
    <n v="4.3703067669937763E-2"/>
    <n v="0.1452623746126557"/>
    <n v="7.3838082187562576E-2"/>
    <n v="105"/>
    <n v="17600242592.929501"/>
    <n v="23"/>
    <n v="14242439.259523757"/>
    <n v="70"/>
    <n v="6556835451.6622343"/>
    <n v="12"/>
    <n v="11029164702.007742"/>
    <n v="5.0081552503650241E-2"/>
    <n v="4.0526911250782078E-5"/>
    <n v="1.8657498451875618E-2"/>
    <n v="3.1383527140523844E-2"/>
    <n v="1035308387.8193824"/>
    <n v="2.9459736766853086E-3"/>
  </r>
  <r>
    <n v="181"/>
    <s v="LKA"/>
    <s v="Sri Lanka"/>
    <x v="6"/>
    <s v="Lower middle income"/>
    <x v="3"/>
    <x v="2"/>
    <x v="0"/>
    <n v="2017"/>
    <n v="0"/>
    <s v="na"/>
    <n v="83975584254.403229"/>
    <n v="21"/>
    <n v="5960000000"/>
    <n v="21"/>
    <n v="8860000000"/>
    <n v="42"/>
    <n v="14820000000"/>
    <n v="7.0973010225737002E-2"/>
    <n v="0.1055068574832265"/>
    <n v="0.17647986770896351"/>
    <n v="4.4390487327111714E-3"/>
    <n v="1.1142691853007017E-2"/>
    <n v="6.9160876037763141E-3"/>
    <n v="871764705.88235295"/>
    <n v="1.0381168688762559E-2"/>
    <x v="2"/>
    <n v="3"/>
    <n v="460000000"/>
    <n v="2"/>
    <n v="102000000"/>
    <n v="0"/>
    <n v="0"/>
    <n v="5"/>
    <n v="562000000"/>
    <n v="6.6924214340376171E-3"/>
    <n v="1.4099266361483615E-2"/>
    <n v="4032819000"/>
    <n v="256587000"/>
    <n v="-3776232000"/>
    <x v="163"/>
    <n v="19474314000"/>
    <n v="11974156000"/>
    <n v="-7500158000"/>
    <n v="31448470000"/>
    <n v="0.20708400819664302"/>
    <n v="2.1428399630003151E-2"/>
    <n v="7.7941842911828348E-3"/>
    <n v="5.7875514266533187E-3"/>
    <n v="0.13639474352806352"/>
    <n v="5.1079204010123773E-2"/>
    <n v="174"/>
    <n v="15644917570.613316"/>
    <n v="117"/>
    <n v="6130186630.0136003"/>
    <n v="47"/>
    <n v="8665415491.7066727"/>
    <n v="10"/>
    <n v="849315448.89303958"/>
    <n v="0.18630317025502541"/>
    <n v="7.2999630600273743E-2"/>
    <n v="0.10318970172871771"/>
    <n v="1.0113837926033912E-2"/>
    <n v="920289268.85960674"/>
    <n v="1.0959010015001493E-2"/>
  </r>
  <r>
    <n v="190"/>
    <s v="TZA"/>
    <s v="Tanzania"/>
    <x v="3"/>
    <s v="Lower middle income"/>
    <x v="0"/>
    <x v="0"/>
    <x v="0"/>
    <n v="2018"/>
    <n v="0"/>
    <s v="na"/>
    <n v="61136873747.332352"/>
    <n v="6"/>
    <n v="1400000000"/>
    <n v="24"/>
    <n v="13550000000"/>
    <n v="30"/>
    <n v="14950000000"/>
    <n v="2.2899437183948053E-2"/>
    <n v="0.22163383845892579"/>
    <n v="0.24453327564287386"/>
    <n v="1.0427295680865167E-3"/>
    <n v="1.7041024222149558E-2"/>
    <n v="6.9767550388971592E-3"/>
    <n v="879411764.70588231"/>
    <n v="1.4384310331933756E-2"/>
    <x v="0"/>
    <s v="na"/>
    <s v="na"/>
    <s v="na"/>
    <s v="na"/>
    <s v="na"/>
    <s v="na"/>
    <n v="0"/>
    <s v="na"/>
    <s v="na"/>
    <s v="na"/>
    <n v="1992547000"/>
    <n v="230712000"/>
    <n v="-1761835000"/>
    <x v="164"/>
    <n v="9077091000"/>
    <n v="4932713000"/>
    <n v="-4144378000"/>
    <n v="14009804000"/>
    <n v="0.21951382882467521"/>
    <n v="4.6771827187188877E-2"/>
    <n v="3.632914621887944E-3"/>
    <n v="2.3841622040352054E-3"/>
    <n v="0.15869308378618288"/>
    <n v="3.6365271295819401E-2"/>
    <n v="204"/>
    <n v="14476993314.021706"/>
    <n v="174"/>
    <n v="10042915638.938545"/>
    <n v="22"/>
    <n v="2193990114.9791784"/>
    <n v="8"/>
    <n v="2240087560.1039782"/>
    <n v="0.23679642786205429"/>
    <n v="0.16426936844111625"/>
    <n v="3.58865277286919E-2"/>
    <n v="3.6640531692246077E-2"/>
    <n v="851587842.00127685"/>
    <n v="1.392920163894437E-2"/>
  </r>
  <r>
    <n v="39"/>
    <s v="CHL"/>
    <s v="Chile"/>
    <x v="1"/>
    <s v="High income"/>
    <x v="3"/>
    <x v="2"/>
    <x v="0"/>
    <n v="2018"/>
    <n v="0"/>
    <s v="na"/>
    <n v="279385487344.5257"/>
    <n v="2"/>
    <n v="2100000000"/>
    <n v="11"/>
    <n v="13110000000"/>
    <n v="13"/>
    <n v="15210000000"/>
    <n v="7.5164963647892484E-3"/>
    <n v="4.6924413020184311E-2"/>
    <n v="5.4440909384973556E-2"/>
    <n v="1.5640943521297752E-3"/>
    <n v="1.6487662549991195E-2"/>
    <n v="7.0980899091388494E-3"/>
    <n v="894705882.35294116"/>
    <n v="3.2024064344102093E-3"/>
    <x v="3"/>
    <n v="0"/>
    <n v="0"/>
    <n v="0"/>
    <n v="0"/>
    <n v="0"/>
    <n v="0"/>
    <n v="0"/>
    <n v="0"/>
    <n v="0"/>
    <n v="0"/>
    <n v="14642138000"/>
    <n v="21677089000"/>
    <n v="7034951000"/>
    <x v="165"/>
    <n v="64119106000"/>
    <n v="69145962000"/>
    <n v="5026856000"/>
    <n v="133265068000"/>
    <n v="0.22835842408657414"/>
    <n v="0.31349754017450793"/>
    <n v="2.5662322624041445E-2"/>
    <n v="3.3420794836848317E-2"/>
    <n v="0.27253373704803124"/>
    <n v="0.12999682748450264"/>
    <n v="32"/>
    <n v="1502672359.4791894"/>
    <n v="8"/>
    <n v="6355155.097238021"/>
    <n v="21"/>
    <n v="1215003113.1098843"/>
    <n v="3"/>
    <n v="281314091.27206707"/>
    <n v="5.3784911083307671E-3"/>
    <n v="2.2746904850505452E-5"/>
    <n v="4.3488411823324122E-3"/>
    <n v="1.0069030211478491E-3"/>
    <n v="88392491.734069958"/>
    <n v="3.1638182990180978E-4"/>
  </r>
  <r>
    <n v="185"/>
    <s v="SWE"/>
    <s v="Sweden"/>
    <x v="0"/>
    <s v="High income"/>
    <x v="1"/>
    <x v="0"/>
    <x v="1"/>
    <s v="na"/>
    <n v="0"/>
    <s v="na"/>
    <n v="533879529188.45374"/>
    <n v="16"/>
    <n v="15340000000"/>
    <n v="0"/>
    <n v="0"/>
    <n v="16"/>
    <n v="15340000000"/>
    <n v="2.8733073963930062E-2"/>
    <n v="0"/>
    <n v="2.8733073963930062E-2"/>
    <n v="1.1425336838890833E-2"/>
    <n v="0"/>
    <n v="7.1587573442596936E-3"/>
    <n v="902352941.17647064"/>
    <n v="1.6901808214076508E-3"/>
    <x v="3"/>
    <n v="0"/>
    <n v="0"/>
    <n v="0"/>
    <n v="0"/>
    <n v="0"/>
    <n v="0"/>
    <n v="0"/>
    <n v="0"/>
    <n v="0"/>
    <n v="0"/>
    <n v="9665818000"/>
    <n v="7538779000"/>
    <n v="-2127039000"/>
    <x v="166"/>
    <n v="158959381000"/>
    <n v="160567911000"/>
    <n v="1608530000"/>
    <n v="319527292000"/>
    <n v="6.0806842220906737E-2"/>
    <n v="4.6950719811008811E-2"/>
    <n v="6.3620146533857225E-2"/>
    <n v="7.7608396147736292E-2"/>
    <n v="5.3843904513796587E-2"/>
    <n v="3.2225616565880653E-2"/>
    <s v="na"/>
    <s v="na"/>
    <s v="na"/>
    <s v="na"/>
    <s v="na"/>
    <s v="na"/>
    <s v="na"/>
    <s v="na"/>
    <n v="0"/>
    <n v="0"/>
    <n v="0"/>
    <n v="0"/>
    <n v="0"/>
    <n v="0"/>
  </r>
  <r>
    <n v="197"/>
    <s v="TUR"/>
    <s v="Turkey"/>
    <x v="0"/>
    <s v="Upper middle income"/>
    <x v="3"/>
    <x v="0"/>
    <x v="0"/>
    <n v="2015"/>
    <n v="0"/>
    <s v="na"/>
    <n v="761428183369.17065"/>
    <n v="15"/>
    <n v="10000000000"/>
    <n v="13"/>
    <n v="6310000000"/>
    <n v="28"/>
    <n v="16310000000"/>
    <n v="1.313321494845641E-2"/>
    <n v="8.2870586324759951E-3"/>
    <n v="2.1420273580932403E-2"/>
    <n v="7.4480683434751194E-3"/>
    <n v="7.93570943481651E-3"/>
    <n v="7.6114297447767675E-3"/>
    <n v="959411764.70588231"/>
    <n v="1.2600160929960237E-3"/>
    <x v="2"/>
    <n v="12"/>
    <n v="2704600000"/>
    <n v="3"/>
    <n v="567000000"/>
    <n v="0"/>
    <n v="0"/>
    <n v="15"/>
    <n v="3271600000"/>
    <n v="4.2966626025369992E-3"/>
    <n v="8.2076796847383976E-2"/>
    <n v="19127972000"/>
    <n v="2726571000"/>
    <n v="-16401401000"/>
    <x v="167"/>
    <n v="210346890000"/>
    <n v="180870841000"/>
    <n v="-29476049000"/>
    <n v="391217731000"/>
    <n v="9.0935368714032336E-2"/>
    <n v="1.5074685255651574E-2"/>
    <n v="8.4186915428043504E-2"/>
    <n v="8.742155137026239E-2"/>
    <n v="5.5862864252438499E-2"/>
    <n v="2.8702041081928337E-2"/>
    <n v="59"/>
    <n v="9626239800.4556942"/>
    <n v="9"/>
    <n v="2263951.8206853508"/>
    <n v="37"/>
    <n v="6908789199.9155893"/>
    <n v="13"/>
    <n v="2715186648.719419"/>
    <n v="1.2642347644477076E-2"/>
    <n v="2.9732965894009953E-6"/>
    <n v="9.0734613596065612E-3"/>
    <n v="3.5659129882811137E-3"/>
    <n v="566249400.02680552"/>
    <n v="7.4366750849865155E-4"/>
  </r>
  <r>
    <n v="66"/>
    <s v="FIN"/>
    <s v="Finland"/>
    <x v="0"/>
    <s v="High income"/>
    <x v="1"/>
    <x v="0"/>
    <x v="1"/>
    <s v="na"/>
    <n v="0"/>
    <s v="na"/>
    <n v="268782471380.39172"/>
    <n v="8"/>
    <n v="16330000000"/>
    <n v="0"/>
    <n v="0"/>
    <n v="8"/>
    <n v="16330000000"/>
    <n v="6.0755449996920112E-2"/>
    <n v="0"/>
    <n v="6.0755449996920112E-2"/>
    <n v="1.216269560489487E-2"/>
    <n v="0"/>
    <n v="7.6207631963338199E-3"/>
    <n v="960588235.29411769"/>
    <n v="3.5738499998188302E-3"/>
    <x v="3"/>
    <n v="0"/>
    <n v="0"/>
    <n v="0"/>
    <n v="0"/>
    <n v="0"/>
    <n v="0"/>
    <n v="0"/>
    <n v="0"/>
    <n v="0"/>
    <n v="0"/>
    <n v="5494261000"/>
    <n v="3842829000"/>
    <n v="-1651432000"/>
    <x v="168"/>
    <n v="73719857000"/>
    <n v="72839176000"/>
    <n v="-880681000"/>
    <n v="146559033000"/>
    <n v="7.4528915594613804E-2"/>
    <n v="5.2757722025850481E-2"/>
    <n v="2.9504821139150011E-2"/>
    <n v="3.5205861438171698E-2"/>
    <n v="6.370873093847447E-2"/>
    <n v="3.4738463234032013E-2"/>
    <s v="na"/>
    <s v="na"/>
    <s v="na"/>
    <s v="na"/>
    <s v="na"/>
    <s v="na"/>
    <s v="na"/>
    <s v="na"/>
    <n v="0"/>
    <n v="0"/>
    <n v="0"/>
    <n v="0"/>
    <n v="0"/>
    <n v="0"/>
  </r>
  <r>
    <n v="44"/>
    <s v="COD"/>
    <s v="Congo, Democratic Republic of the"/>
    <x v="3"/>
    <s v="Low income"/>
    <x v="0"/>
    <x v="0"/>
    <x v="0"/>
    <n v="2021"/>
    <n v="0"/>
    <s v="na"/>
    <n v="50400746171.423866"/>
    <n v="28"/>
    <n v="16340000000"/>
    <n v="0"/>
    <n v="0"/>
    <n v="28"/>
    <n v="16340000000"/>
    <n v="0.32420154940611629"/>
    <n v="0"/>
    <n v="0.32420154940611629"/>
    <n v="1.2170143673238345E-2"/>
    <n v="0"/>
    <n v="7.625429922112347E-3"/>
    <n v="961176470.58823526"/>
    <n v="1.9070679376830369E-2"/>
    <x v="0"/>
    <s v="na"/>
    <s v="na"/>
    <s v="na"/>
    <s v="na"/>
    <s v="na"/>
    <s v="na"/>
    <n v="0"/>
    <s v="na"/>
    <s v="na"/>
    <s v="na"/>
    <n v="2055303000"/>
    <n v="3565623000"/>
    <n v="1510320000"/>
    <x v="169"/>
    <n v="8824802000"/>
    <n v="13382299000"/>
    <n v="4557497000"/>
    <n v="22207101000"/>
    <n v="0.23290074950123527"/>
    <n v="0.26644323221294042"/>
    <n v="3.5319412597126076E-3"/>
    <n v="6.4681588973244785E-3"/>
    <n v="0.25311390262060768"/>
    <n v="0.11152465840251674"/>
    <n v="249"/>
    <n v="13037513170.499128"/>
    <n v="154"/>
    <n v="1001809010.4741279"/>
    <n v="62"/>
    <n v="10544151469.910511"/>
    <n v="33"/>
    <n v="1491552690.11449"/>
    <n v="0.2586769871651447"/>
    <n v="1.9876868629419855E-2"/>
    <n v="0.20920625726546915"/>
    <n v="2.959386127025572E-2"/>
    <n v="766912539.44112515"/>
    <n v="1.5216293362655571E-2"/>
  </r>
  <r>
    <n v="98"/>
    <s v="KEN"/>
    <s v="Kenya"/>
    <x v="3"/>
    <s v="Lower middle income"/>
    <x v="1"/>
    <x v="0"/>
    <x v="0"/>
    <n v="2017"/>
    <n v="0"/>
    <s v="na"/>
    <n v="95503088538.09198"/>
    <n v="10"/>
    <n v="7340000000"/>
    <n v="32"/>
    <n v="9220000000"/>
    <n v="42"/>
    <n v="16560000000"/>
    <n v="7.6856153160663451E-2"/>
    <n v="9.6541380400724394E-2"/>
    <n v="0.17339753356138785"/>
    <n v="5.4668821641107382E-3"/>
    <n v="1.1595442312045677E-2"/>
    <n v="7.7280978892399306E-3"/>
    <n v="974117647.05882359"/>
    <n v="1.0199854915375757E-2"/>
    <x v="1"/>
    <n v="0"/>
    <n v="0"/>
    <n v="0"/>
    <n v="0"/>
    <n v="0"/>
    <n v="0"/>
    <n v="0"/>
    <n v="0"/>
    <n v="0"/>
    <n v="0"/>
    <n v="3590419000"/>
    <n v="148552000"/>
    <n v="-3441867000"/>
    <x v="170"/>
    <n v="17220379000"/>
    <n v="5836027000"/>
    <n v="-11384352000"/>
    <n v="23056406000"/>
    <n v="0.20849825662954341"/>
    <n v="2.5454303072963851E-2"/>
    <n v="6.8920942473257212E-3"/>
    <n v="2.8207671914277123E-3"/>
    <n v="0.1621662543589838"/>
    <n v="3.9150262648403135E-2"/>
    <n v="191"/>
    <n v="15971557294.632847"/>
    <n v="133"/>
    <n v="2806509408.8657408"/>
    <n v="36"/>
    <n v="7976308103.5065899"/>
    <n v="22"/>
    <n v="5188739782.2605143"/>
    <n v="0.16723602910771304"/>
    <n v="2.9386582694091067E-2"/>
    <n v="8.351884976290784E-2"/>
    <n v="5.4330596650714123E-2"/>
    <n v="939503370.27252042"/>
    <n v="9.8374134769242966E-3"/>
  </r>
  <r>
    <n v="215"/>
    <s v="ZMB"/>
    <s v="Zambia"/>
    <x v="3"/>
    <s v="Lower middle income"/>
    <x v="1"/>
    <x v="0"/>
    <x v="0"/>
    <n v="2018"/>
    <n v="0"/>
    <s v="na"/>
    <n v="23308688906.12878"/>
    <n v="19"/>
    <n v="5820000000"/>
    <n v="30"/>
    <n v="10800000000"/>
    <n v="49"/>
    <n v="16620000000"/>
    <n v="0.24969229386684597"/>
    <n v="0.46334652470136367"/>
    <n v="0.71303881856820961"/>
    <n v="4.3347757759025201E-3"/>
    <n v="1.3582513771159795E-2"/>
    <n v="7.7560982439110896E-3"/>
    <n v="977647058.82352936"/>
    <n v="4.1943459915777033E-2"/>
    <x v="0"/>
    <s v="na"/>
    <s v="na"/>
    <s v="na"/>
    <s v="na"/>
    <s v="na"/>
    <s v="na"/>
    <n v="0"/>
    <s v="na"/>
    <s v="na"/>
    <s v="na"/>
    <n v="1019957000"/>
    <n v="1506024000"/>
    <n v="486067000"/>
    <x v="171"/>
    <n v="7226897000"/>
    <n v="6962507000"/>
    <n v="-264390000"/>
    <n v="14189404000"/>
    <n v="0.14113346295097329"/>
    <n v="0.21630484536676228"/>
    <n v="2.8924134155070289E-3"/>
    <n v="3.3652365411753218E-3"/>
    <n v="0.17801882305979871"/>
    <n v="0.10837078868626623"/>
    <n v="167"/>
    <n v="9911112078.2602673"/>
    <n v="116"/>
    <n v="2841730205.5317831"/>
    <n v="36"/>
    <n v="4926950738.8012905"/>
    <n v="15"/>
    <n v="2142431133.9271944"/>
    <n v="0.42521104975811153"/>
    <n v="0.12191720508074477"/>
    <n v="0.21137828724059204"/>
    <n v="9.191555743677475E-2"/>
    <n v="583006592.83883929"/>
    <n v="2.5012414691653623E-2"/>
  </r>
  <r>
    <n v="153"/>
    <s v="PHL"/>
    <s v="Philippines"/>
    <x v="4"/>
    <s v="Lower middle income"/>
    <x v="1"/>
    <x v="2"/>
    <x v="0"/>
    <n v="2017"/>
    <n v="0"/>
    <s v="na"/>
    <n v="376823278560.84857"/>
    <n v="6"/>
    <n v="3820000000"/>
    <n v="23"/>
    <n v="13860000000"/>
    <n v="29"/>
    <n v="17680000000"/>
    <n v="1.0137377962925279E-2"/>
    <n v="3.6781167163912137E-2"/>
    <n v="4.6918545126837415E-2"/>
    <n v="2.8451621072074955E-3"/>
    <n v="1.7430892672988405E-2"/>
    <n v="8.2507711764349019E-3"/>
    <n v="1040000000"/>
    <n v="2.7599144192257305E-3"/>
    <x v="2"/>
    <n v="3"/>
    <n v="1257600000"/>
    <n v="0"/>
    <n v="0"/>
    <n v="0"/>
    <n v="0"/>
    <n v="3"/>
    <n v="1257600000"/>
    <n v="3.3373734361714217E-3"/>
    <n v="3.1550244441640202E-2"/>
    <n v="25749016000"/>
    <n v="9628984000"/>
    <n v="-16120032000"/>
    <x v="172"/>
    <n v="112908749000"/>
    <n v="70334023000"/>
    <n v="-42574726000"/>
    <n v="183242772000"/>
    <n v="0.22805155692584991"/>
    <n v="0.13690364334768679"/>
    <n v="4.5189350330538246E-2"/>
    <n v="3.3995028556160239E-2"/>
    <n v="0.19306627821587419"/>
    <n v="9.3884858003238356E-2"/>
    <n v="92"/>
    <n v="31484642653.510399"/>
    <n v="55"/>
    <n v="10910181587.909098"/>
    <n v="32"/>
    <n v="17148159172.128071"/>
    <n v="5"/>
    <n v="3426301893.4732318"/>
    <n v="8.3552806964993093E-2"/>
    <n v="2.8953045654655188E-2"/>
    <n v="4.5507165156090601E-2"/>
    <n v="9.0925961542473021E-3"/>
    <n v="1852037803.1476705"/>
    <n v="4.91487099794077E-3"/>
  </r>
  <r>
    <n v="33"/>
    <s v="KHM"/>
    <s v="Cambodia"/>
    <x v="4"/>
    <s v="Lower middle income"/>
    <x v="4"/>
    <x v="2"/>
    <x v="0"/>
    <n v="2013"/>
    <n v="0"/>
    <s v="na"/>
    <n v="27089389786.968418"/>
    <n v="15"/>
    <n v="5690000000"/>
    <n v="32"/>
    <n v="12530000000"/>
    <n v="47"/>
    <n v="18220000000"/>
    <n v="0.21004533674424897"/>
    <n v="0.46254271870042873"/>
    <n v="0.6725880554446777"/>
    <n v="4.2379508874373431E-3"/>
    <n v="1.5758231254873356E-2"/>
    <n v="8.5027743684753347E-3"/>
    <n v="1071764705.8823529"/>
    <n v="3.9564003261451632E-2"/>
    <x v="2"/>
    <n v="2"/>
    <n v="135000000"/>
    <n v="1"/>
    <n v="50000000"/>
    <n v="0"/>
    <n v="0"/>
    <n v="3"/>
    <n v="185000000"/>
    <n v="6.8292420558323476E-3"/>
    <n v="4.641217574509731E-3"/>
    <n v="7585748000"/>
    <n v="1012148000"/>
    <n v="-6573600000"/>
    <x v="173"/>
    <n v="20279485000"/>
    <n v="14824722000"/>
    <n v="-5454763000"/>
    <n v="35104207000"/>
    <n v="0.37406018939830077"/>
    <n v="6.827433256421267E-2"/>
    <n v="8.1164370370262039E-3"/>
    <n v="7.1653351568861179E-3"/>
    <n v="0.24492494589038857"/>
    <n v="0.31738979975606874"/>
    <n v="308"/>
    <n v="14819153501.184505"/>
    <n v="199"/>
    <n v="3733341709.0953841"/>
    <n v="97"/>
    <n v="10598719750.883251"/>
    <n v="12"/>
    <n v="487092041.20587224"/>
    <n v="0.5470464125520238"/>
    <n v="0.13781564437052546"/>
    <n v="0.39124985222006942"/>
    <n v="1.7980915961429002E-2"/>
    <n v="871714911.83438265"/>
    <n v="3.2179200738354341E-2"/>
  </r>
  <r>
    <n v="210"/>
    <s v="VEN"/>
    <s v="Venezuela"/>
    <x v="1"/>
    <s v="na"/>
    <x v="2"/>
    <x v="0"/>
    <x v="0"/>
    <n v="2018"/>
    <n v="0"/>
    <s v="na"/>
    <s v="na"/>
    <n v="18"/>
    <n v="11630000000"/>
    <n v="10"/>
    <n v="8140000000"/>
    <n v="28"/>
    <n v="19770000000"/>
    <n v="0"/>
    <n v="0"/>
    <n v="0"/>
    <n v="8.662103483461565E-3"/>
    <n v="1.0237190934929698E-2"/>
    <n v="9.2261168641469462E-3"/>
    <n v="1162941176.4705882"/>
    <n v="0"/>
    <x v="1"/>
    <n v="0"/>
    <n v="0"/>
    <n v="0"/>
    <n v="0"/>
    <n v="0"/>
    <n v="0"/>
    <n v="0"/>
    <n v="0"/>
    <s v="na"/>
    <n v="0"/>
    <n v="1539866000"/>
    <n v="4788365000"/>
    <n v="3248499000"/>
    <x v="174"/>
    <n v="6177724000"/>
    <n v="17015898000"/>
    <n v="10838174000"/>
    <n v="23193622000"/>
    <n v="0.24926105471853388"/>
    <n v="0.28140536573503205"/>
    <n v="2.4725040048169701E-3"/>
    <n v="8.2244113694265684E-3"/>
    <n v="0.27284358605137221"/>
    <s v="na"/>
    <n v="84"/>
    <n v="173012228093.00427"/>
    <n v="9"/>
    <n v="92644565.738441646"/>
    <n v="63"/>
    <n v="166305580599.91101"/>
    <n v="12"/>
    <n v="6614002927.354825"/>
    <n v="0"/>
    <n v="0"/>
    <n v="0"/>
    <n v="0"/>
    <n v="10177189887.82378"/>
    <n v="0"/>
  </r>
  <r>
    <n v="135"/>
    <s v="NLD"/>
    <s v="Netherlands"/>
    <x v="0"/>
    <s v="High income"/>
    <x v="1"/>
    <x v="0"/>
    <x v="1"/>
    <s v="na"/>
    <n v="0"/>
    <s v="na"/>
    <n v="910194347568.62598"/>
    <n v="23"/>
    <n v="20330000000"/>
    <n v="0"/>
    <n v="0"/>
    <n v="23"/>
    <n v="20330000000"/>
    <n v="2.2335889092595335E-2"/>
    <n v="0"/>
    <n v="2.2335889092595335E-2"/>
    <n v="1.5141922942284919E-2"/>
    <n v="0"/>
    <n v="9.4874535077444314E-3"/>
    <n v="1195882352.9411764"/>
    <n v="1.313875828976196E-3"/>
    <x v="3"/>
    <n v="0"/>
    <n v="0"/>
    <n v="0"/>
    <n v="0"/>
    <n v="0"/>
    <n v="0"/>
    <n v="0"/>
    <n v="0"/>
    <n v="0"/>
    <n v="0"/>
    <n v="48168518000"/>
    <n v="14317292000"/>
    <n v="-33851226000"/>
    <x v="175"/>
    <n v="514857688000"/>
    <n v="576784455000"/>
    <n v="61926767000"/>
    <n v="1091642143000"/>
    <n v="9.3556955878650497E-2"/>
    <n v="2.4822603792260662E-2"/>
    <n v="0.20606095311004605"/>
    <n v="0.27878120974928899"/>
    <n v="5.7240195791891484E-2"/>
    <n v="6.8651063552434069E-2"/>
    <s v="na"/>
    <s v="na"/>
    <s v="na"/>
    <s v="na"/>
    <s v="na"/>
    <s v="na"/>
    <s v="na"/>
    <s v="na"/>
    <n v="0"/>
    <n v="0"/>
    <n v="0"/>
    <n v="0"/>
    <n v="0"/>
    <n v="0"/>
  </r>
  <r>
    <n v="7"/>
    <s v="ARG"/>
    <s v="Argentina"/>
    <x v="1"/>
    <s v="Upper middle income"/>
    <x v="2"/>
    <x v="0"/>
    <x v="1"/>
    <s v="na"/>
    <n v="0"/>
    <s v="na"/>
    <n v="445445177459.45306"/>
    <n v="31"/>
    <n v="22810000000"/>
    <n v="0"/>
    <n v="0"/>
    <n v="31"/>
    <n v="22810000000"/>
    <n v="5.1207199346268141E-2"/>
    <n v="0"/>
    <n v="5.1207199346268141E-2"/>
    <n v="1.6989043891466746E-2"/>
    <n v="0"/>
    <n v="1.064480150081901E-2"/>
    <n v="1341764705.8823528"/>
    <n v="3.0121881968393021E-3"/>
    <x v="3"/>
    <n v="0"/>
    <n v="0"/>
    <n v="0"/>
    <n v="0"/>
    <n v="0"/>
    <n v="0"/>
    <n v="0"/>
    <n v="0"/>
    <n v="0"/>
    <n v="0"/>
    <n v="9258744000"/>
    <n v="6325086000"/>
    <n v="-2933658000"/>
    <x v="176"/>
    <n v="49125030000"/>
    <n v="65115327000"/>
    <n v="15990297000"/>
    <n v="114240357000"/>
    <n v="0.18847304520730063"/>
    <n v="9.713666952789779E-2"/>
    <n v="1.9661259294159759E-2"/>
    <n v="3.1472640215798708E-2"/>
    <n v="0.13641265144155668"/>
    <n v="3.498484390128688E-2"/>
    <n v="67"/>
    <n v="34167061581.110947"/>
    <n v="2"/>
    <n v="502647697.70549798"/>
    <n v="55"/>
    <n v="16417355731.435488"/>
    <n v="10"/>
    <n v="17247058151.969959"/>
    <n v="7.6703179897420773E-2"/>
    <n v="1.1284165215847506E-3"/>
    <n v="3.6856063466822221E-2"/>
    <n v="3.8718699909013797E-2"/>
    <n v="2009827151.8300557"/>
    <n v="4.5119517586718096E-3"/>
  </r>
  <r>
    <n v="3"/>
    <s v="DZA"/>
    <s v="Algeria"/>
    <x v="5"/>
    <s v="Lower middle income"/>
    <x v="2"/>
    <x v="0"/>
    <x v="0"/>
    <n v="2018"/>
    <n v="0"/>
    <s v="na"/>
    <n v="171157803367.47278"/>
    <n v="21"/>
    <n v="16220000000"/>
    <n v="19"/>
    <n v="8390000000"/>
    <n v="40"/>
    <n v="24610000000"/>
    <n v="9.4766348252179583E-2"/>
    <n v="4.9019091358556512E-2"/>
    <n v="0.14378543961073609"/>
    <n v="1.2080766853116645E-2"/>
    <n v="1.0551600975928768E-2"/>
    <n v="1.1484812140953786E-2"/>
    <n v="1447647058.8235295"/>
    <n v="8.4579670359256533E-3"/>
    <x v="3"/>
    <n v="0"/>
    <n v="0"/>
    <n v="0"/>
    <n v="0"/>
    <n v="0"/>
    <n v="0"/>
    <n v="0"/>
    <n v="0"/>
    <n v="0"/>
    <n v="0"/>
    <n v="6945571000"/>
    <n v="1141660000"/>
    <n v="-5803911000"/>
    <x v="177"/>
    <n v="42521470000"/>
    <n v="36767788000"/>
    <n v="-5753682000"/>
    <n v="79289258000"/>
    <n v="0.16334268311984509"/>
    <n v="3.1050548920702001E-2"/>
    <n v="1.7018323393163025E-2"/>
    <n v="1.7771228627244111E-2"/>
    <n v="0.10199655292523989"/>
    <n v="4.7250144842282522E-2"/>
    <n v="40"/>
    <n v="3648671293.308445"/>
    <n v="34"/>
    <n v="300781939.017712"/>
    <n v="5"/>
    <n v="3347889354.2907329"/>
    <n v="1"/>
    <n v="0"/>
    <n v="2.1317586586892635E-2"/>
    <n v="1.7573369901922526E-3"/>
    <n v="1.9560249596700382E-2"/>
    <n v="0"/>
    <n v="214627723.13579088"/>
    <n v="1.2539756815819199E-3"/>
  </r>
  <r>
    <n v="58"/>
    <s v="EGY"/>
    <s v="Egypt"/>
    <x v="5"/>
    <s v="Lower middle income"/>
    <x v="1"/>
    <x v="0"/>
    <x v="0"/>
    <n v="2016"/>
    <n v="0"/>
    <s v="na"/>
    <n v="303080865603.64465"/>
    <n v="14"/>
    <n v="8700000000"/>
    <n v="19"/>
    <n v="16000000000"/>
    <n v="33"/>
    <n v="24700000000"/>
    <n v="2.870521034929821E-2"/>
    <n v="5.2791191446985214E-2"/>
    <n v="8.1496401796283424E-2"/>
    <n v="6.4798194588233538E-3"/>
    <n v="2.0122242623940439E-2"/>
    <n v="1.1526812672960525E-2"/>
    <n v="1452941176.4705882"/>
    <n v="4.7939059880166713E-3"/>
    <x v="3"/>
    <n v="3"/>
    <n v="660000000"/>
    <n v="2"/>
    <n v="649000000"/>
    <n v="0"/>
    <n v="0"/>
    <n v="5"/>
    <n v="1309000000"/>
    <n v="4.318979350256478E-3"/>
    <n v="3.2839750297476961E-2"/>
    <n v="12040871000"/>
    <n v="556922000"/>
    <n v="-11483949000"/>
    <x v="178"/>
    <n v="78657518000"/>
    <n v="30632553000"/>
    <n v="-48024965000"/>
    <n v="109290071000"/>
    <n v="0.15307972214429649"/>
    <n v="1.8180724277209282E-2"/>
    <n v="3.1481016028550787E-2"/>
    <n v="1.4805843169003595E-2"/>
    <n v="0.11526932762263463"/>
    <n v="4.1565781379530632E-2"/>
    <n v="71"/>
    <n v="6470899582.0142622"/>
    <n v="48"/>
    <n v="956566800.48591578"/>
    <n v="16"/>
    <n v="2572561247.8118019"/>
    <n v="7"/>
    <n v="2941771533.7165456"/>
    <n v="2.1350406166770718E-2"/>
    <n v="3.1561438185176306E-3"/>
    <n v="8.4880358338954992E-3"/>
    <n v="9.7062265143575913E-3"/>
    <n v="380641151.88319188"/>
    <n v="1.2559062451041598E-3"/>
  </r>
  <r>
    <n v="5"/>
    <s v="AGO"/>
    <s v="Angola"/>
    <x v="3"/>
    <s v="Lower middle income"/>
    <x v="3"/>
    <x v="0"/>
    <x v="0"/>
    <n v="2018"/>
    <n v="0"/>
    <s v="na"/>
    <n v="89417190341.253281"/>
    <n v="21"/>
    <n v="15070000000"/>
    <n v="20"/>
    <n v="9780000000"/>
    <n v="41"/>
    <n v="24850000000"/>
    <n v="0.16853582563360128"/>
    <n v="0.10937494191749307"/>
    <n v="0.27791076755109434"/>
    <n v="1.1224238993617006E-2"/>
    <n v="1.2299720803883593E-2"/>
    <n v="1.1596813559638422E-2"/>
    <n v="1461764705.8823528"/>
    <n v="1.6347692208887901E-2"/>
    <x v="0"/>
    <s v="na"/>
    <s v="na"/>
    <s v="na"/>
    <s v="na"/>
    <s v="na"/>
    <s v="na"/>
    <n v="0"/>
    <s v="na"/>
    <s v="na"/>
    <s v="na"/>
    <n v="2030002"/>
    <n v="21357868"/>
    <n v="19327866"/>
    <x v="179"/>
    <n v="14160146000"/>
    <n v="34819241000"/>
    <n v="20659095000"/>
    <n v="48979387000"/>
    <n v="1.4336024501442288E-4"/>
    <n v="6.133926928504846E-4"/>
    <n v="5.6673003995958704E-3"/>
    <n v="1.6829423963119886E-2"/>
    <n v="4.7750434279628692E-4"/>
    <n v="2.6155899006379126E-4"/>
    <n v="350"/>
    <n v="88449059776.888641"/>
    <n v="78"/>
    <n v="310799325.71688968"/>
    <n v="199"/>
    <n v="72542723598.448303"/>
    <n v="73"/>
    <n v="15595536852.723465"/>
    <n v="0.98917288095644862"/>
    <n v="3.4758341716033558E-3"/>
    <n v="0.81128386299765209"/>
    <n v="0.17441318378719342"/>
    <n v="5202885869.2287436"/>
    <n v="5.8186640056261688E-2"/>
  </r>
  <r>
    <n v="64"/>
    <s v="ETH"/>
    <s v="Ethiopia"/>
    <x v="3"/>
    <s v="Low income"/>
    <x v="0"/>
    <x v="0"/>
    <x v="0"/>
    <n v="2018"/>
    <n v="0"/>
    <s v="na"/>
    <n v="95912590628.141235"/>
    <n v="21"/>
    <n v="13780000000"/>
    <n v="39"/>
    <n v="11220000000"/>
    <n v="60"/>
    <n v="25000000000"/>
    <n v="0.14367248251510453"/>
    <n v="0.11698151333958438"/>
    <n v="0.2606539958546889"/>
    <n v="1.0263438177308714E-2"/>
    <n v="1.4110722640038232E-2"/>
    <n v="1.166681444631632E-2"/>
    <n v="1470588235.2941177"/>
    <n v="1.533258799145229E-2"/>
    <x v="3"/>
    <n v="0"/>
    <n v="0"/>
    <n v="0"/>
    <n v="0"/>
    <n v="0"/>
    <n v="0"/>
    <n v="0"/>
    <n v="0"/>
    <n v="0"/>
    <n v="0"/>
    <n v="4283703000"/>
    <n v="124363000"/>
    <n v="-4159340000"/>
    <x v="180"/>
    <n v="15575890000"/>
    <n v="2678468000"/>
    <n v="-12897422000"/>
    <n v="18254358000"/>
    <n v="0.27502139524611435"/>
    <n v="4.6430646175350983E-2"/>
    <n v="6.2339221376009335E-3"/>
    <n v="1.2946024166250434E-3"/>
    <n v="0.24148019886538874"/>
    <n v="4.5959200675647807E-2"/>
    <n v="218"/>
    <n v="24549040327.122738"/>
    <n v="155"/>
    <n v="9669275552.7825241"/>
    <n v="48"/>
    <n v="12633865805.844887"/>
    <n v="15"/>
    <n v="2245898968.4953279"/>
    <n v="0.25595221822649766"/>
    <n v="0.10081341239411283"/>
    <n v="0.13172270421541557"/>
    <n v="2.3416101616969252E-2"/>
    <n v="1444061195.7131023"/>
    <n v="1.5056012836852803E-2"/>
  </r>
  <r>
    <n v="90"/>
    <s v="IRN"/>
    <s v="Iraq"/>
    <x v="5"/>
    <s v="Upper middle income"/>
    <x v="1"/>
    <x v="0"/>
    <x v="0"/>
    <n v="2015"/>
    <n v="0"/>
    <s v="na"/>
    <n v="222434137055.83755"/>
    <n v="11"/>
    <n v="13760000000"/>
    <n v="28"/>
    <n v="11370000000"/>
    <n v="39"/>
    <n v="25130000000"/>
    <n v="6.1861008306228787E-2"/>
    <n v="5.1116254683271897E-2"/>
    <n v="0.11297726298950068"/>
    <n v="1.0248542040621764E-2"/>
    <n v="1.4299368664637675E-2"/>
    <n v="1.1727481881437164E-2"/>
    <n v="1478235294.1176472"/>
    <n v="6.6457213523235708E-3"/>
    <x v="0"/>
    <s v="na"/>
    <s v="na"/>
    <s v="na"/>
    <s v="na"/>
    <s v="na"/>
    <s v="na"/>
    <n v="0"/>
    <s v="na"/>
    <s v="na"/>
    <s v="na"/>
    <n v="9473787000"/>
    <n v="23806377000"/>
    <n v="14332590000"/>
    <x v="181"/>
    <n v="51027496000"/>
    <n v="91224183000"/>
    <n v="40196687000"/>
    <n v="142251679000"/>
    <n v="0.18566043295559712"/>
    <n v="0.26096563671060774"/>
    <n v="2.0422681268341208E-2"/>
    <n v="4.4092013705762108E-2"/>
    <n v="0.233952697317548"/>
    <n v="0.14961805971196632"/>
    <n v="20"/>
    <n v="8213165570.2614946"/>
    <n v="19"/>
    <n v="8213165570.2614946"/>
    <n v="1"/>
    <n v="0"/>
    <n v="0"/>
    <n v="0"/>
    <n v="3.6924033689126355E-2"/>
    <n v="3.6924033689126355E-2"/>
    <n v="0"/>
    <n v="0"/>
    <n v="483127386.48597026"/>
    <n v="2.172001981713315E-3"/>
  </r>
  <r>
    <n v="89"/>
    <s v="IRQ"/>
    <s v="Iran"/>
    <x v="5"/>
    <s v="Lower middle income"/>
    <x v="1"/>
    <x v="0"/>
    <x v="0"/>
    <n v="2018"/>
    <n v="0"/>
    <s v="na"/>
    <n v="258245497664.39365"/>
    <n v="17"/>
    <n v="14680000000"/>
    <n v="17"/>
    <n v="11880000000"/>
    <n v="34"/>
    <n v="26560000000"/>
    <n v="5.6845134311218806E-2"/>
    <n v="4.6002738121068081E-2"/>
    <n v="0.10284787243228689"/>
    <n v="1.0933764328221476E-2"/>
    <n v="1.4940765148275775E-2"/>
    <n v="1.2394823667766458E-2"/>
    <n v="1562352941.1764705"/>
    <n v="6.0498748489580525E-3"/>
    <x v="2"/>
    <n v="0"/>
    <n v="0"/>
    <n v="0"/>
    <n v="0"/>
    <n v="0"/>
    <n v="0"/>
    <n v="0"/>
    <n v="0"/>
    <n v="0"/>
    <n v="0"/>
    <n v="9608726000"/>
    <n v="13401559000"/>
    <n v="3792833000"/>
    <x v="182"/>
    <n v="35276061000"/>
    <n v="30798216000"/>
    <n v="-4477845000"/>
    <n v="66074277000"/>
    <n v="0.27238659100855961"/>
    <n v="0.43514075620483994"/>
    <n v="1.4118500939288924E-2"/>
    <n v="1.4885914209667646E-2"/>
    <n v="0.34824875949834455"/>
    <n v="8.9102366577958003E-2"/>
    <n v="77"/>
    <n v="89177687080.527771"/>
    <n v="10"/>
    <n v="6566530.3152619414"/>
    <n v="41"/>
    <n v="28422188032.474449"/>
    <n v="26"/>
    <n v="60748932517.738075"/>
    <n v="0.34532136237441713"/>
    <n v="2.5427472597394757E-5"/>
    <n v="0.1100587940139459"/>
    <n v="0.2352371408878739"/>
    <n v="5245746298.8545752"/>
    <n v="2.0313021316142186E-2"/>
  </r>
  <r>
    <n v="152"/>
    <s v="PER"/>
    <s v="Peru"/>
    <x v="1"/>
    <s v="Upper middle income"/>
    <x v="2"/>
    <x v="2"/>
    <x v="0"/>
    <n v="2019"/>
    <n v="0"/>
    <s v="na"/>
    <n v="228470919605.66925"/>
    <n v="8"/>
    <n v="5790000000"/>
    <n v="15"/>
    <n v="21480000000"/>
    <n v="23"/>
    <n v="27270000000"/>
    <n v="2.534239372780258E-2"/>
    <n v="9.4016341497961911E-2"/>
    <n v="0.11935873522576448"/>
    <n v="4.3124315708720946E-3"/>
    <n v="2.7014110722640039E-2"/>
    <n v="1.2726161198041841E-2"/>
    <n v="1604117647.0588236"/>
    <n v="7.0211020721037938E-3"/>
    <x v="1"/>
    <n v="0"/>
    <n v="0"/>
    <n v="0"/>
    <n v="0"/>
    <n v="0"/>
    <n v="0"/>
    <n v="0"/>
    <n v="0"/>
    <n v="0"/>
    <n v="0"/>
    <n v="10255204000"/>
    <n v="13159187000"/>
    <n v="2903983000"/>
    <x v="183"/>
    <n v="42364042000"/>
    <n v="45135222000"/>
    <n v="2771180000"/>
    <n v="87499264000"/>
    <n v="0.24207331302334181"/>
    <n v="0.29155028859722903"/>
    <n v="1.6955316149642543E-2"/>
    <n v="2.1815518227624082E-2"/>
    <n v="0.26759529085867512"/>
    <n v="0.10248302515003752"/>
    <n v="97"/>
    <n v="11259526051.707972"/>
    <n v="69"/>
    <n v="184206605.39112389"/>
    <n v="25"/>
    <n v="10913683461.076916"/>
    <n v="3"/>
    <n v="161635985.2399314"/>
    <n v="4.9282097131404808E-2"/>
    <n v="8.0625843196611795E-4"/>
    <n v="4.7768370171194882E-2"/>
    <n v="7.0746852824380454E-4"/>
    <n v="662325061.86517477"/>
    <n v="2.898946890082636E-3"/>
  </r>
  <r>
    <n v="93"/>
    <s v="ITA"/>
    <s v="Italy"/>
    <x v="0"/>
    <s v="High income"/>
    <x v="2"/>
    <x v="0"/>
    <x v="0"/>
    <n v="2019"/>
    <n v="0"/>
    <s v="na"/>
    <n v="2004913357799.9968"/>
    <n v="7"/>
    <n v="3550000000"/>
    <n v="25"/>
    <n v="23780000000"/>
    <n v="32"/>
    <n v="27330000000"/>
    <n v="1.7706500813059751E-3"/>
    <n v="1.1860861671396081E-2"/>
    <n v="1.3631511752702056E-2"/>
    <n v="2.6440642619336677E-3"/>
    <n v="2.9906683099831476E-2"/>
    <n v="1.2754161552713E-2"/>
    <n v="1607647058.8235295"/>
    <n v="8.0185363251188569E-4"/>
    <x v="3"/>
    <n v="0"/>
    <n v="0"/>
    <n v="0"/>
    <n v="0"/>
    <n v="0"/>
    <n v="0"/>
    <n v="0"/>
    <n v="0"/>
    <n v="0"/>
    <n v="0"/>
    <n v="35449437000"/>
    <n v="14519418000"/>
    <n v="-20930019000"/>
    <x v="184"/>
    <n v="474957328000"/>
    <n v="537748429000"/>
    <n v="62791101000"/>
    <n v="1012705757000"/>
    <n v="7.4637098766902277E-2"/>
    <n v="2.7000391292635463E-2"/>
    <n v="0.19009167382634237"/>
    <n v="0.25991365800141003"/>
    <n v="4.9341928447238004E-2"/>
    <n v="2.4923199202399011E-2"/>
    <s v="na"/>
    <s v="na"/>
    <s v="na"/>
    <s v="na"/>
    <s v="na"/>
    <s v="na"/>
    <s v="na"/>
    <s v="na"/>
    <n v="0"/>
    <n v="0"/>
    <n v="0"/>
    <n v="0"/>
    <n v="0"/>
    <n v="0"/>
  </r>
  <r>
    <n v="15"/>
    <s v="BGD"/>
    <s v="Bangladesh"/>
    <x v="6"/>
    <s v="Lower middle income"/>
    <x v="0"/>
    <x v="2"/>
    <x v="0"/>
    <n v="2019"/>
    <n v="0"/>
    <s v="na"/>
    <n v="302563398919.92755"/>
    <n v="15"/>
    <n v="3590000000"/>
    <n v="46"/>
    <n v="25260000000"/>
    <n v="61"/>
    <n v="28850000000"/>
    <n v="1.1865281831230624E-2"/>
    <n v="8.3486634834787063E-2"/>
    <n v="9.5351916666017694E-2"/>
    <n v="2.6738565353075679E-3"/>
    <n v="3.1767990542545969E-2"/>
    <n v="1.3463503871049033E-2"/>
    <n v="1697058823.5294118"/>
    <n v="5.6089362744716296E-3"/>
    <x v="2"/>
    <n v="14"/>
    <n v="2639000000"/>
    <n v="5"/>
    <n v="1634400000"/>
    <n v="0"/>
    <n v="0"/>
    <n v="19"/>
    <n v="4273400000"/>
    <n v="1.4123981999326171E-2"/>
    <n v="0.10720961720491828"/>
    <n v="17335124000"/>
    <n v="1036436000"/>
    <n v="-16298688000"/>
    <x v="185"/>
    <n v="58004860000"/>
    <n v="47632799000"/>
    <n v="-10372061000"/>
    <n v="105637659000"/>
    <n v="0.29885640617010367"/>
    <n v="2.1758872494559895E-2"/>
    <n v="2.321522435266575E-2"/>
    <n v="2.3022689349290325E-2"/>
    <n v="0.17391108600768973"/>
    <n v="6.0719703921828218E-2"/>
    <n v="120"/>
    <n v="13120697227.954836"/>
    <n v="79"/>
    <n v="4313536700.984539"/>
    <n v="35"/>
    <n v="8051891621.6969776"/>
    <n v="6"/>
    <n v="755268905.27331805"/>
    <n v="4.3365117111958368E-2"/>
    <n v="1.4256637505999536E-2"/>
    <n v="2.6612246062941294E-2"/>
    <n v="2.4962335430175333E-3"/>
    <n v="771805719.29146099"/>
    <n v="2.5508892418799043E-3"/>
  </r>
  <r>
    <n v="211"/>
    <s v="VNM"/>
    <s v="Vietnam"/>
    <x v="4"/>
    <s v="Lower middle income"/>
    <x v="4"/>
    <x v="2"/>
    <x v="0"/>
    <n v="2017"/>
    <n v="0"/>
    <s v="na"/>
    <n v="261921244843.1723"/>
    <n v="28"/>
    <n v="15620000000"/>
    <n v="30"/>
    <n v="13290000000"/>
    <n v="58"/>
    <n v="28910000000"/>
    <n v="5.9636246801410157E-2"/>
    <n v="5.0740443021174197E-2"/>
    <n v="0.11037668982258435"/>
    <n v="1.1633882752508137E-2"/>
    <n v="1.6714037779510527E-2"/>
    <n v="1.3491504225720192E-2"/>
    <n v="1700588235.2941177"/>
    <n v="6.4927464601520204E-3"/>
    <x v="2"/>
    <n v="1"/>
    <n v="100000000"/>
    <n v="1"/>
    <n v="47500000"/>
    <n v="0"/>
    <n v="0"/>
    <n v="2"/>
    <n v="147500000"/>
    <n v="5.6314637664583848E-4"/>
    <n v="3.7004302283253259E-3"/>
    <n v="75586138000"/>
    <n v="41434238000"/>
    <n v="-34151900000"/>
    <x v="186"/>
    <n v="253442016000"/>
    <n v="264610323000"/>
    <n v="11168307000"/>
    <n v="518052339000"/>
    <n v="0.29823838680323628"/>
    <n v="0.15658587136829125"/>
    <n v="0.101434832561132"/>
    <n v="0.12789593290632309"/>
    <n v="0.22588523820949297"/>
    <n v="0.44677695415683827"/>
    <n v="111"/>
    <n v="20984102031.97514"/>
    <n v="54"/>
    <n v="1423612922.7701159"/>
    <n v="44"/>
    <n v="16354113571.873787"/>
    <n v="13"/>
    <n v="3206375537.3312359"/>
    <n v="8.0116074755751707E-2"/>
    <n v="5.4352709098588661E-3"/>
    <n v="6.2439049500035627E-2"/>
    <n v="1.2241754345857213E-2"/>
    <n v="1234358943.0573611"/>
    <n v="4.7127102797501009E-3"/>
  </r>
  <r>
    <n v="105"/>
    <s v="LAO"/>
    <s v="Laos"/>
    <x v="4"/>
    <s v="Lower middle income"/>
    <x v="4"/>
    <x v="2"/>
    <x v="0"/>
    <n v="2018"/>
    <n v="0"/>
    <s v="na"/>
    <n v="18245925331.239628"/>
    <n v="17"/>
    <n v="7700000000"/>
    <n v="36"/>
    <n v="22110000000"/>
    <n v="53"/>
    <n v="29810000000"/>
    <n v="0.42201203064316511"/>
    <n v="1.211777402275374"/>
    <n v="1.6337894329185392"/>
    <n v="5.735012624475842E-3"/>
    <n v="2.7806424025957694E-2"/>
    <n v="1.3911509545787581E-2"/>
    <n v="1753529411.7647059"/>
    <n v="9.6105260759914074E-2"/>
    <x v="2"/>
    <n v="2"/>
    <n v="70000000"/>
    <n v="0"/>
    <n v="0"/>
    <n v="0"/>
    <n v="0"/>
    <n v="2"/>
    <n v="70000000"/>
    <n v="3.8364730058469553E-3"/>
    <n v="1.7561363795442224E-3"/>
    <n v="1681038"/>
    <n v="1672285"/>
    <n v="-8753"/>
    <x v="187"/>
    <n v="5797445000"/>
    <n v="5809346000"/>
    <n v="11901000"/>
    <n v="11606791000"/>
    <n v="2.8996187113461186E-4"/>
    <n v="2.8786114650427089E-4"/>
    <n v="2.3203053390222872E-3"/>
    <n v="2.8078712796311286E-3"/>
    <n v="2.8891043183253666E-4"/>
    <n v="1.8378475956265329E-4"/>
    <n v="240"/>
    <n v="15505734362.315592"/>
    <n v="148"/>
    <n v="2178454652.0293546"/>
    <n v="63"/>
    <n v="12583814821.697277"/>
    <n v="29"/>
    <n v="743464888.58896065"/>
    <n v="0.84981901881224742"/>
    <n v="0.11939403524246202"/>
    <n v="0.68967808391454888"/>
    <n v="4.0746899655236597E-2"/>
    <n v="912102021.31268191"/>
    <n v="4.9989354047779266E-2"/>
  </r>
  <r>
    <n v="67"/>
    <s v="FRA"/>
    <s v="France"/>
    <x v="0"/>
    <s v="High income"/>
    <x v="2"/>
    <x v="0"/>
    <x v="1"/>
    <s v="na"/>
    <n v="0"/>
    <s v="na"/>
    <n v="2728870246705.8779"/>
    <n v="44"/>
    <n v="33980000000"/>
    <n v="0"/>
    <n v="0"/>
    <n v="44"/>
    <n v="33980000000"/>
    <n v="1.2452039462491314E-2"/>
    <n v="0"/>
    <n v="1.2452039462491314E-2"/>
    <n v="2.5308536231128456E-2"/>
    <n v="0"/>
    <n v="1.5857534195433141E-2"/>
    <n v="1998823529.4117646"/>
    <n v="7.3247290955831253E-4"/>
    <x v="3"/>
    <n v="0"/>
    <n v="0"/>
    <n v="0"/>
    <n v="0"/>
    <n v="0"/>
    <n v="0"/>
    <n v="0"/>
    <n v="0"/>
    <n v="0"/>
    <n v="0"/>
    <n v="59613001000"/>
    <n v="23438669000"/>
    <n v="-36174332000"/>
    <x v="188"/>
    <n v="643953084000"/>
    <n v="556550374000"/>
    <n v="-87402710000"/>
    <n v="1200503458000"/>
    <n v="9.2573515806005521E-2"/>
    <n v="4.211419144603791E-2"/>
    <n v="0.25772866821247414"/>
    <n v="0.26900133178890762"/>
    <n v="6.9180700352468288E-2"/>
    <n v="3.0434451802996056E-2"/>
    <s v="na"/>
    <s v="na"/>
    <s v="na"/>
    <s v="na"/>
    <s v="na"/>
    <s v="na"/>
    <s v="na"/>
    <s v="na"/>
    <n v="0"/>
    <n v="0"/>
    <n v="0"/>
    <n v="0"/>
    <n v="0"/>
    <n v="0"/>
  </r>
  <r>
    <n v="87"/>
    <s v="IND"/>
    <s v="India"/>
    <x v="6"/>
    <s v="Lower middle income"/>
    <x v="2"/>
    <x v="2"/>
    <x v="1"/>
    <s v="na"/>
    <n v="0"/>
    <s v="na"/>
    <n v="2870504096717.4771"/>
    <n v="71"/>
    <n v="34560000000"/>
    <n v="0"/>
    <n v="0"/>
    <n v="71"/>
    <n v="34560000000"/>
    <n v="1.203969715267802E-2"/>
    <n v="0"/>
    <n v="1.203969715267802E-2"/>
    <n v="2.5740524195050015E-2"/>
    <n v="0"/>
    <n v="1.6128204290587679E-2"/>
    <n v="2032941176.4705882"/>
    <n v="7.0821747956929533E-4"/>
    <x v="2"/>
    <n v="27"/>
    <n v="6674670000"/>
    <n v="16"/>
    <n v="5207850000"/>
    <n v="1"/>
    <n v="35000000"/>
    <n v="44"/>
    <n v="11882520000"/>
    <n v="4.1395237908171184E-3"/>
    <n v="0.29810465218088306"/>
    <n v="68402093000"/>
    <n v="17278833000"/>
    <n v="-51123260000"/>
    <x v="189"/>
    <n v="478883729000"/>
    <n v="323250726000"/>
    <n v="-155633003000"/>
    <n v="802134455000"/>
    <n v="0.14283653600600826"/>
    <n v="5.3453346304317348E-2"/>
    <n v="0.19166313318532593"/>
    <n v="0.15623900343606861"/>
    <n v="0.10681616462915809"/>
    <n v="2.9848738449103476E-2"/>
    <n v="55"/>
    <n v="39265828068.341133"/>
    <n v="7"/>
    <n v="1318426.1142835901"/>
    <n v="40"/>
    <n v="37901803538.01329"/>
    <n v="8"/>
    <n v="1362706104.213562"/>
    <n v="1.3679070555322668E-2"/>
    <n v="4.5930124809480572E-7"/>
    <n v="1.3203884147511004E-2"/>
    <n v="4.7472710656357002E-4"/>
    <n v="2309754592.2553606"/>
    <n v="8.0465120913662748E-4"/>
  </r>
  <r>
    <n v="97"/>
    <s v="KAZ"/>
    <s v="Kazakhstan"/>
    <x v="0"/>
    <s v="Upper middle income"/>
    <x v="2"/>
    <x v="0"/>
    <x v="0"/>
    <n v="2015"/>
    <n v="0"/>
    <s v="na"/>
    <n v="181667190075.54071"/>
    <n v="19"/>
    <n v="22190000000"/>
    <n v="27"/>
    <n v="12490000000"/>
    <n v="46"/>
    <n v="34680000000"/>
    <n v="0.12214643706864718"/>
    <n v="6.8752095492897847E-2"/>
    <n v="0.19089853256154504"/>
    <n v="1.652726365417129E-2"/>
    <n v="1.5707925648313505E-2"/>
    <n v="1.6184204999930001E-2"/>
    <n v="2040000000"/>
    <n v="1.1229325444796767E-2"/>
    <x v="2"/>
    <n v="2"/>
    <n v="796700000"/>
    <n v="0"/>
    <n v="0"/>
    <n v="0"/>
    <n v="0"/>
    <n v="2"/>
    <n v="796700000"/>
    <n v="4.3854919518968548E-3"/>
    <n v="1.9987340765469742E-2"/>
    <n v="6537806000"/>
    <n v="7823406000"/>
    <n v="1285600000"/>
    <x v="190"/>
    <n v="38356664000"/>
    <n v="57722942000"/>
    <n v="19366278000"/>
    <n v="96079606000"/>
    <n v="0.17044772193953051"/>
    <n v="0.13553373630886659"/>
    <n v="1.535144745077943E-2"/>
    <n v="2.7899627775245857E-2"/>
    <n v="0.14947201178156372"/>
    <n v="7.905231535770621E-2"/>
    <n v="124"/>
    <n v="83520871989.101364"/>
    <n v="52"/>
    <n v="27212651292.361855"/>
    <n v="59"/>
    <n v="50505760818.666328"/>
    <n v="13"/>
    <n v="5802459878.0731754"/>
    <n v="0.45974659460726935"/>
    <n v="0.14979397920475521"/>
    <n v="0.27801256130875951"/>
    <n v="3.1940054093754632E-2"/>
    <n v="4912992469.9471388"/>
    <n v="2.7043917329839372E-2"/>
  </r>
  <r>
    <n v="203"/>
    <s v="ARE"/>
    <s v="United Arab Emirates"/>
    <x v="5"/>
    <s v="High income"/>
    <x v="3"/>
    <x v="0"/>
    <x v="0"/>
    <n v="2018"/>
    <n v="0"/>
    <s v="na"/>
    <n v="421142267937.37238"/>
    <n v="15"/>
    <n v="7630000000"/>
    <n v="58"/>
    <n v="28530000000"/>
    <n v="73"/>
    <n v="36160000000"/>
    <n v="1.8117393054298339E-2"/>
    <n v="6.7744328157160097E-2"/>
    <n v="8.5861721211458436E-2"/>
    <n v="5.6828761460715168E-3"/>
    <n v="3.5880473878813796E-2"/>
    <n v="1.6874880415151925E-2"/>
    <n v="2127058823.5294118"/>
    <n v="5.0506894830269671E-3"/>
    <x v="2"/>
    <n v="0"/>
    <n v="0"/>
    <n v="0"/>
    <n v="0"/>
    <n v="0"/>
    <n v="0"/>
    <n v="0"/>
    <n v="0"/>
    <n v="0"/>
    <n v="0"/>
    <n v="40777643"/>
    <n v="9367965"/>
    <n v="-31409678"/>
    <x v="191"/>
    <n v="267937296000"/>
    <n v="315942728000"/>
    <n v="48005432000"/>
    <n v="583880024000"/>
    <n v="1.5219099247758326E-4"/>
    <n v="2.9650832792707925E-5"/>
    <n v="0.10723626329046587"/>
    <n v="0.15270677834639385"/>
    <n v="8.5883410870038598E-5"/>
    <n v="1.1907047052198784E-4"/>
    <s v="na"/>
    <s v="na"/>
    <s v="na"/>
    <s v="na"/>
    <s v="na"/>
    <s v="na"/>
    <s v="na"/>
    <s v="na"/>
    <n v="0"/>
    <n v="0"/>
    <n v="0"/>
    <n v="0"/>
    <n v="0"/>
    <n v="0"/>
  </r>
  <r>
    <n v="140"/>
    <s v="NGA"/>
    <s v="Nigeria"/>
    <x v="3"/>
    <s v="Lower middle income"/>
    <x v="3"/>
    <x v="0"/>
    <x v="0"/>
    <n v="2018"/>
    <n v="0"/>
    <s v="na"/>
    <n v="448120428858.76923"/>
    <n v="19"/>
    <n v="13670000000"/>
    <n v="33"/>
    <n v="26480000000"/>
    <n v="52"/>
    <n v="40150000000"/>
    <n v="3.0505192621575999E-2"/>
    <n v="5.9091258275006033E-2"/>
    <n v="8.9596450896582039E-2"/>
    <n v="1.0181509425530489E-2"/>
    <n v="3.3302311542621428E-2"/>
    <n v="1.873690400078401E-2"/>
    <n v="2361764705.8823528"/>
    <n v="5.2703794645048256E-3"/>
    <x v="0"/>
    <s v="na"/>
    <s v="na"/>
    <s v="na"/>
    <s v="na"/>
    <s v="na"/>
    <s v="na"/>
    <n v="0"/>
    <s v="na"/>
    <s v="na"/>
    <s v="na"/>
    <n v="12064658000"/>
    <n v="1665243000"/>
    <n v="-10399415000"/>
    <x v="192"/>
    <n v="47387304000"/>
    <n v="53624701000"/>
    <n v="6237397000"/>
    <n v="101012005000"/>
    <n v="0.25459684307003411"/>
    <n v="3.1053655665138347E-2"/>
    <n v="1.8965771037598833E-2"/>
    <n v="2.5918796679816742E-2"/>
    <n v="0.13592345781078199"/>
    <n v="3.0638864277993338E-2"/>
    <n v="104"/>
    <n v="61819759640.81562"/>
    <n v="52"/>
    <n v="5425238555.5450525"/>
    <n v="39"/>
    <n v="43009874223.82708"/>
    <n v="13"/>
    <n v="13384646861.443499"/>
    <n v="0.13795345103603587"/>
    <n v="1.2106653047176487E-2"/>
    <n v="9.5978383162223971E-2"/>
    <n v="2.986841482663545E-2"/>
    <n v="3636456449.4597425"/>
    <n v="8.1149088844726987E-3"/>
  </r>
  <r>
    <n v="167"/>
    <s v="SAU"/>
    <s v="Saudi Arabia"/>
    <x v="5"/>
    <s v="High income"/>
    <x v="1"/>
    <x v="0"/>
    <x v="0"/>
    <n v="2018"/>
    <n v="0"/>
    <s v="na"/>
    <n v="792966838160"/>
    <n v="29"/>
    <n v="16650000000"/>
    <n v="48"/>
    <n v="26150000000"/>
    <n v="77"/>
    <n v="42800000000"/>
    <n v="2.0997094958768583E-2"/>
    <n v="3.2977419409717629E-2"/>
    <n v="5.3974514368486208E-2"/>
    <n v="1.2401033791886075E-2"/>
    <n v="3.2887290288502652E-2"/>
    <n v="1.9973586332093538E-2"/>
    <n v="2517647058.8235292"/>
    <n v="3.1749714334403652E-3"/>
    <x v="2"/>
    <n v="0"/>
    <n v="0"/>
    <n v="0"/>
    <n v="0"/>
    <n v="0"/>
    <n v="0"/>
    <n v="0"/>
    <n v="0"/>
    <n v="0"/>
    <n v="0"/>
    <n v="27066620000"/>
    <n v="9339878000"/>
    <n v="-17726742000"/>
    <x v="193"/>
    <n v="144334893000"/>
    <n v="251800458000"/>
    <n v="107465565000"/>
    <n v="396135351000"/>
    <n v="0.18752651862221562"/>
    <n v="3.7092378918548274E-2"/>
    <n v="5.7767003022039971E-2"/>
    <n v="0.12170445248331986"/>
    <n v="9.1904188576191981E-2"/>
    <n v="4.5911753490823937E-2"/>
    <s v="na"/>
    <s v="na"/>
    <s v="na"/>
    <s v="na"/>
    <s v="na"/>
    <s v="na"/>
    <s v="na"/>
    <s v="na"/>
    <n v="0"/>
    <n v="0"/>
    <n v="0"/>
    <n v="0"/>
    <n v="0"/>
    <n v="0"/>
  </r>
  <r>
    <n v="117"/>
    <s v="MYS"/>
    <s v="Malaysia"/>
    <x v="4"/>
    <s v="Upper middle income"/>
    <x v="2"/>
    <x v="2"/>
    <x v="0"/>
    <n v="2017"/>
    <n v="0"/>
    <s v="na"/>
    <n v="364681367531.68378"/>
    <n v="30"/>
    <n v="13210000000"/>
    <n v="61"/>
    <n v="30610000000"/>
    <n v="91"/>
    <n v="43820000000"/>
    <n v="3.6223402608723372E-2"/>
    <n v="8.3936287195535378E-2"/>
    <n v="0.12015968980425874"/>
    <n v="9.8388982817306323E-3"/>
    <n v="3.849636541992605E-2"/>
    <n v="2.0449592361503247E-2"/>
    <n v="2577647058.8235292"/>
    <n v="7.0682170473093378E-3"/>
    <x v="2"/>
    <n v="0"/>
    <n v="0"/>
    <n v="0"/>
    <n v="0"/>
    <n v="0"/>
    <n v="0"/>
    <n v="0"/>
    <n v="0"/>
    <n v="0"/>
    <n v="0"/>
    <n v="42395009000"/>
    <n v="33706910000"/>
    <n v="-8688099000"/>
    <x v="194"/>
    <n v="204988314000"/>
    <n v="238161125000"/>
    <n v="33172811000"/>
    <n v="443149439000"/>
    <n v="0.20681671151263775"/>
    <n v="0.14152985715028008"/>
    <n v="8.204225816913778E-2"/>
    <n v="0.1151120595695521"/>
    <n v="0.17172969725907744"/>
    <n v="0.2086805792001101"/>
    <n v="39"/>
    <n v="26661440552.418114"/>
    <n v="12"/>
    <n v="3803445.9413302299"/>
    <n v="22"/>
    <n v="26032408950.268303"/>
    <n v="5"/>
    <n v="625228156.20847774"/>
    <n v="7.3108864137682458E-2"/>
    <n v="1.0429504438555621E-5"/>
    <n v="7.1383984124186409E-2"/>
    <n v="1.7144505090574925E-3"/>
    <n v="1568320032.4951832"/>
    <n v="4.3005214198636741E-3"/>
  </r>
  <r>
    <n v="72"/>
    <s v="DEU"/>
    <s v="Germany"/>
    <x v="0"/>
    <s v="High income"/>
    <x v="3"/>
    <x v="0"/>
    <x v="1"/>
    <s v="na"/>
    <n v="0"/>
    <s v="na"/>
    <n v="3888326788627.4448"/>
    <n v="72"/>
    <n v="48190000000"/>
    <n v="0"/>
    <n v="0"/>
    <n v="72"/>
    <n v="48190000000"/>
    <n v="1.2393505643853244E-2"/>
    <n v="0"/>
    <n v="1.2393505643853244E-2"/>
    <n v="3.5892241347206602E-2"/>
    <n v="0"/>
    <n v="2.2488951526719338E-2"/>
    <n v="2834705882.352941"/>
    <n v="7.2902974375607318E-4"/>
    <x v="3"/>
    <n v="0"/>
    <n v="0"/>
    <n v="0"/>
    <n v="0"/>
    <n v="0"/>
    <n v="0"/>
    <n v="0"/>
    <n v="0"/>
    <n v="0"/>
    <n v="0"/>
    <n v="123165529000"/>
    <n v="107451431000"/>
    <n v="-15714098000"/>
    <x v="195"/>
    <n v="1236217435000"/>
    <n v="1486877250000"/>
    <n v="250659815000"/>
    <n v="2723094685000"/>
    <n v="9.9630959338475919E-2"/>
    <n v="7.2266510903976774E-2"/>
    <n v="0.49477000896480033"/>
    <n v="0.71866263889462145"/>
    <n v="8.4689291661556754E-2"/>
    <n v="5.9310076682471013E-2"/>
    <s v="na"/>
    <s v="na"/>
    <s v="na"/>
    <s v="na"/>
    <s v="na"/>
    <s v="na"/>
    <s v="na"/>
    <s v="na"/>
    <n v="0"/>
    <n v="0"/>
    <n v="0"/>
    <n v="0"/>
    <n v="0"/>
    <n v="0"/>
  </r>
  <r>
    <n v="172"/>
    <s v="SGP"/>
    <s v="Singapore"/>
    <x v="4"/>
    <s v="High income"/>
    <x v="1"/>
    <x v="0"/>
    <x v="0"/>
    <n v="2018"/>
    <n v="0"/>
    <s v="na"/>
    <n v="374386306993.1095"/>
    <n v="20"/>
    <n v="11970000000"/>
    <n v="84"/>
    <n v="38730000000"/>
    <n v="104"/>
    <n v="50700000000"/>
    <n v="3.1972323176393057E-2"/>
    <n v="0.10344929629253993"/>
    <n v="0.135421619468933"/>
    <n v="8.9153378071397185E-3"/>
    <n v="4.8708403551575824E-2"/>
    <n v="2.3660299697129496E-2"/>
    <n v="2982352941.1764708"/>
    <n v="7.9659776158195889E-3"/>
    <x v="2"/>
    <n v="2"/>
    <n v="134000000"/>
    <n v="0"/>
    <n v="0"/>
    <n v="0"/>
    <n v="0"/>
    <n v="2"/>
    <n v="134000000"/>
    <n v="3.5791907315260398E-4"/>
    <n v="3.36174678369894E-3"/>
    <n v="49037427000"/>
    <n v="51626378000"/>
    <n v="2588951000"/>
    <x v="196"/>
    <n v="359008256000"/>
    <n v="390386234000"/>
    <n v="31377978000"/>
    <n v="749394490000"/>
    <n v="0.13659136295740229"/>
    <n v="0.13224436085008059"/>
    <n v="0.14368549820651683"/>
    <n v="0.18868807167139937"/>
    <n v="0.13432685500529901"/>
    <n v="0.26887683422100345"/>
    <s v="na"/>
    <s v="na"/>
    <s v="na"/>
    <s v="na"/>
    <s v="na"/>
    <s v="na"/>
    <s v="na"/>
    <s v="na"/>
    <n v="0"/>
    <n v="0"/>
    <n v="0"/>
    <n v="0"/>
    <n v="0"/>
    <n v="0"/>
  </r>
  <r>
    <n v="88"/>
    <s v="IDN"/>
    <s v="Indonesia"/>
    <x v="4"/>
    <s v="Lower middle income"/>
    <x v="1"/>
    <x v="2"/>
    <x v="0"/>
    <n v="2015"/>
    <n v="0"/>
    <s v="na"/>
    <n v="1119091259074.6206"/>
    <n v="42"/>
    <n v="15520000000"/>
    <n v="81"/>
    <n v="39550000000"/>
    <n v="123"/>
    <n v="55070000000"/>
    <n v="1.3868395337868628E-2"/>
    <n v="3.5341174975045374E-2"/>
    <n v="4.9209570312914001E-2"/>
    <n v="1.1559402069073386E-2"/>
    <n v="4.9739668486052768E-2"/>
    <n v="2.5699658862345591E-2"/>
    <n v="3239411764.7058825"/>
    <n v="2.8946806066420003E-3"/>
    <x v="2"/>
    <n v="10"/>
    <n v="2899900000"/>
    <n v="1"/>
    <n v="250000000"/>
    <n v="0"/>
    <n v="0"/>
    <n v="11"/>
    <n v="3149900000"/>
    <n v="2.8146944893526022E-3"/>
    <n v="7.9023628313233521E-2"/>
    <n v="44930621000"/>
    <n v="27961887000"/>
    <n v="-16968734000"/>
    <x v="197"/>
    <n v="171275737000"/>
    <n v="167682996000"/>
    <n v="-3592741000"/>
    <n v="338958733000"/>
    <n v="0.26232916457980271"/>
    <n v="0.16675445732136132"/>
    <n v="6.854950879328342E-2"/>
    <n v="8.1047379266254993E-2"/>
    <n v="0.21504832566151938"/>
    <n v="6.5135445754687604E-2"/>
    <n v="257"/>
    <n v="99427299972.997116"/>
    <n v="94"/>
    <n v="6537878994.209197"/>
    <n v="147"/>
    <n v="42066840342.080299"/>
    <n v="16"/>
    <n v="50822580636.707619"/>
    <n v="8.8846462848091404E-2"/>
    <n v="5.842132123894333E-3"/>
    <n v="3.7590178639108913E-2"/>
    <n v="4.5414152085088165E-2"/>
    <n v="5848664704.2939482"/>
    <n v="5.226262520475965E-3"/>
  </r>
  <r>
    <n v="35"/>
    <s v="CAN"/>
    <s v="Canada"/>
    <x v="2"/>
    <s v="High income"/>
    <x v="3"/>
    <x v="0"/>
    <x v="1"/>
    <s v="na"/>
    <n v="0"/>
    <s v="na"/>
    <n v="1741576393905.9792"/>
    <n v="71"/>
    <n v="57130000000"/>
    <n v="0"/>
    <n v="0"/>
    <n v="71"/>
    <n v="57130000000"/>
    <n v="3.2803614127927955E-2"/>
    <n v="0"/>
    <n v="3.2803614127927955E-2"/>
    <n v="4.2550814446273358E-2"/>
    <n v="0"/>
    <n v="2.6661004372722053E-2"/>
    <n v="3360588235.2941175"/>
    <n v="1.9296243604663501E-3"/>
    <x v="3"/>
    <n v="0"/>
    <n v="0"/>
    <n v="0"/>
    <n v="0"/>
    <n v="0"/>
    <n v="0"/>
    <n v="0"/>
    <n v="0"/>
    <n v="0"/>
    <n v="0"/>
    <n v="56516369000"/>
    <n v="17521099000"/>
    <n v="-38995270000"/>
    <x v="198"/>
    <n v="453157225000"/>
    <n v="446562311000"/>
    <n v="-6594914000"/>
    <n v="899719536000"/>
    <n v="0.12471691033945227"/>
    <n v="3.923550771842902E-2"/>
    <n v="0.18136664144015577"/>
    <n v="0.21584004251470026"/>
    <n v="8.2289496934964859E-2"/>
    <n v="4.2511754442163728E-2"/>
    <s v="na"/>
    <s v="na"/>
    <s v="na"/>
    <s v="na"/>
    <s v="na"/>
    <s v="na"/>
    <s v="na"/>
    <s v="na"/>
    <n v="0"/>
    <n v="0"/>
    <n v="0"/>
    <n v="0"/>
    <n v="0"/>
    <n v="0"/>
  </r>
  <r>
    <n v="159"/>
    <s v="RUS"/>
    <s v="Russia"/>
    <x v="0"/>
    <s v="Upper middle income"/>
    <x v="4"/>
    <x v="0"/>
    <x v="0"/>
    <s v="na"/>
    <n v="0"/>
    <s v="na"/>
    <n v="1687448525466.6135"/>
    <n v="32"/>
    <n v="20910000000"/>
    <n v="51"/>
    <n v="37190000000"/>
    <n v="83"/>
    <n v="58100000000"/>
    <n v="1.239148909399649E-2"/>
    <n v="2.2039190789370132E-2"/>
    <n v="3.4430679883366622E-2"/>
    <n v="1.5573910906206476E-2"/>
    <n v="4.6771637699021554E-2"/>
    <n v="2.7113676773239129E-2"/>
    <n v="3417647058.8235292"/>
    <n v="2.0253341107862718E-3"/>
    <x v="2"/>
    <n v="2"/>
    <n v="800000000"/>
    <n v="1"/>
    <n v="300000000"/>
    <n v="0"/>
    <n v="0"/>
    <n v="3"/>
    <n v="1100000000"/>
    <n v="6.5187173617389479E-4"/>
    <n v="2.7596428821409211E-2"/>
    <n v="54126998000"/>
    <n v="56791577000"/>
    <n v="2664579000"/>
    <x v="199"/>
    <n v="243780553000"/>
    <n v="422777167000"/>
    <n v="178996614000"/>
    <n v="666557720000"/>
    <n v="0.22203164827507796"/>
    <n v="0.13432981114611614"/>
    <n v="9.7568035345864529E-2"/>
    <n v="0.20434380477649519"/>
    <n v="0.16640505641431924"/>
    <n v="6.5731530962894871E-2"/>
    <n v="146"/>
    <n v="182518866954.12195"/>
    <n v="0"/>
    <n v="0"/>
    <n v="146"/>
    <n v="182518866954.12195"/>
    <n v="0"/>
    <n v="0"/>
    <n v="0.10816262789625053"/>
    <n v="0"/>
    <n v="0.10816262789625053"/>
    <n v="0"/>
    <n v="10736403938.477762"/>
    <n v="6.3625075233088545E-3"/>
  </r>
  <r>
    <n v="186"/>
    <s v="CHE"/>
    <s v="Switzerland"/>
    <x v="0"/>
    <s v="High income"/>
    <x v="1"/>
    <x v="2"/>
    <x v="1"/>
    <s v="na"/>
    <n v="0"/>
    <s v="na"/>
    <n v="731767398052.87915"/>
    <n v="18"/>
    <n v="61210000000"/>
    <n v="0"/>
    <n v="0"/>
    <n v="18"/>
    <n v="61210000000"/>
    <n v="8.3646798371819278E-2"/>
    <n v="0"/>
    <n v="8.3646798371819278E-2"/>
    <n v="4.5589626330411206E-2"/>
    <n v="0"/>
    <n v="2.856502849036088E-2"/>
    <n v="3600588235.2941175"/>
    <n v="4.9203999042246628E-3"/>
    <x v="3"/>
    <n v="0"/>
    <n v="0"/>
    <n v="0"/>
    <n v="0"/>
    <n v="0"/>
    <n v="0"/>
    <n v="0"/>
    <n v="0"/>
    <n v="0"/>
    <n v="0"/>
    <n v="15152336000"/>
    <n v="21559003000"/>
    <n v="6406667000"/>
    <x v="200"/>
    <n v="277207598000"/>
    <n v="314145207000"/>
    <n v="36937609000"/>
    <n v="591352805000"/>
    <n v="5.4660608545080355E-2"/>
    <n v="6.8627508934108933E-2"/>
    <n v="0.11094650654847847"/>
    <n v="0.1518379701207461"/>
    <n v="6.208026526567334E-2"/>
    <n v="5.016804396818339E-2"/>
    <s v="na"/>
    <s v="na"/>
    <s v="na"/>
    <s v="na"/>
    <s v="na"/>
    <s v="na"/>
    <s v="na"/>
    <s v="na"/>
    <n v="0"/>
    <n v="0"/>
    <n v="0"/>
    <n v="0"/>
    <n v="0"/>
    <n v="0"/>
  </r>
  <r>
    <n v="146"/>
    <s v="PAK"/>
    <s v="Pakistan"/>
    <x v="6"/>
    <s v="Lower middle income"/>
    <x v="4"/>
    <x v="2"/>
    <x v="0"/>
    <n v="2013"/>
    <n v="0"/>
    <s v="na"/>
    <n v="278221906022.84106"/>
    <n v="29"/>
    <n v="12980000000"/>
    <n v="70"/>
    <n v="51990000000"/>
    <n v="99"/>
    <n v="64970000000"/>
    <n v="4.6653407654156417E-2"/>
    <n v="0.18686522834665578"/>
    <n v="0.23351863600081219"/>
    <n v="9.6675927098307055E-3"/>
    <n v="6.5384712126166464E-2"/>
    <n v="3.0319717383086853E-2"/>
    <n v="3821764705.8823528"/>
    <n v="1.3736390352988952E-2"/>
    <x v="2"/>
    <n v="7"/>
    <n v="1511810000"/>
    <n v="4"/>
    <n v="996000000"/>
    <n v="0"/>
    <n v="0"/>
    <n v="11"/>
    <n v="2507810000"/>
    <n v="9.0137043335261936E-3"/>
    <n v="6.2915091056925665E-2"/>
    <n v="12423997000"/>
    <n v="2042893000"/>
    <n v="-10381104000"/>
    <x v="201"/>
    <n v="50134812000"/>
    <n v="23818817000"/>
    <n v="-26315995000"/>
    <n v="73953629000"/>
    <n v="0.24781177996638343"/>
    <n v="8.5768029537319171E-2"/>
    <n v="2.0065403286185314E-2"/>
    <n v="1.1512513141597985E-2"/>
    <n v="0.19562109656579529"/>
    <n v="5.1997666922791903E-2"/>
    <n v="280"/>
    <n v="46113985133.683899"/>
    <n v="169"/>
    <n v="6115792498.4730616"/>
    <n v="85"/>
    <n v="36075387988.240799"/>
    <n v="26"/>
    <n v="3922804646.9700336"/>
    <n v="0.16574534260396484"/>
    <n v="2.1981707285015063E-2"/>
    <n v="0.12966408182567454"/>
    <n v="1.4099553493275201E-2"/>
    <n v="2712587360.8049355"/>
    <n v="9.7497260355273434E-3"/>
  </r>
  <r>
    <n v="26"/>
    <s v="BRA"/>
    <s v="Brazil"/>
    <x v="1"/>
    <s v="Upper middle income"/>
    <x v="2"/>
    <x v="0"/>
    <x v="1"/>
    <s v="na"/>
    <n v="0"/>
    <s v="na"/>
    <n v="1877810514260.3599"/>
    <n v="83"/>
    <n v="70650000000"/>
    <n v="0"/>
    <n v="0"/>
    <n v="83"/>
    <n v="70650000000"/>
    <n v="3.76236044390389E-2"/>
    <n v="0"/>
    <n v="3.76236044390389E-2"/>
    <n v="5.2620602846651723E-2"/>
    <n v="0"/>
    <n v="3.2970417625289919E-2"/>
    <n v="4155882352.9411764"/>
    <n v="2.213153202296406E-3"/>
    <x v="3"/>
    <n v="0"/>
    <n v="0"/>
    <n v="0"/>
    <n v="0"/>
    <n v="0"/>
    <n v="0"/>
    <n v="0"/>
    <n v="0"/>
    <n v="0"/>
    <n v="0"/>
    <n v="35270401000"/>
    <n v="62871652000"/>
    <n v="27601251000"/>
    <x v="202"/>
    <n v="177341225000"/>
    <n v="223998669000"/>
    <n v="46657444000"/>
    <n v="401339894000"/>
    <n v="0.198884387992696"/>
    <n v="0.2806786856398687"/>
    <n v="7.0977092701397362E-2"/>
    <n v="0.10826682200727923"/>
    <n v="0.24453600169635764"/>
    <n v="5.2264087486301361E-2"/>
    <n v="134"/>
    <n v="86545385555.985641"/>
    <n v="3"/>
    <n v="106800.932812163"/>
    <n v="121"/>
    <n v="84174056309.357697"/>
    <n v="10"/>
    <n v="2371222445.6951041"/>
    <n v="4.6088455091047628E-2"/>
    <n v="5.6875244866881685E-8"/>
    <n v="4.4825639046180622E-2"/>
    <n v="1.2627591696221232E-3"/>
    <n v="5090905032.7050381"/>
    <n v="2.7110855935910368E-3"/>
  </r>
  <r>
    <n v="204"/>
    <s v="GBR"/>
    <s v="United Kingdom"/>
    <x v="0"/>
    <s v="High income"/>
    <x v="2"/>
    <x v="0"/>
    <x v="1"/>
    <s v="na"/>
    <n v="0"/>
    <s v="na"/>
    <n v="2830813507746.8687"/>
    <n v="128"/>
    <n v="99510000000"/>
    <n v="0"/>
    <n v="0"/>
    <n v="128"/>
    <n v="99510000000"/>
    <n v="3.5152439299755589E-2"/>
    <n v="0"/>
    <n v="3.5152439299755589E-2"/>
    <n v="7.4115728085920915E-2"/>
    <n v="0"/>
    <n v="4.643858822211748E-2"/>
    <n v="5853529411.7647057"/>
    <n v="2.0677905470444465E-3"/>
    <x v="3"/>
    <n v="0"/>
    <n v="0"/>
    <n v="0"/>
    <n v="0"/>
    <n v="0"/>
    <n v="0"/>
    <n v="0"/>
    <n v="0"/>
    <n v="0"/>
    <n v="0"/>
    <n v="65529528000"/>
    <n v="30154261000"/>
    <n v="-35375267000"/>
    <x v="203"/>
    <n v="692494170000"/>
    <n v="468322416000"/>
    <n v="-224171754000"/>
    <n v="1160816586000"/>
    <n v="9.462827391023379E-2"/>
    <n v="6.4387823366541572E-2"/>
    <n v="0.27715621621124603"/>
    <n v="0.22635750418271894"/>
    <n v="8.2427999525499548E-2"/>
    <n v="3.3800809816029759E-2"/>
    <s v="na"/>
    <s v="na"/>
    <s v="na"/>
    <s v="na"/>
    <s v="na"/>
    <s v="na"/>
    <s v="na"/>
    <s v="na"/>
    <n v="0"/>
    <n v="0"/>
    <n v="0"/>
    <n v="0"/>
    <n v="0"/>
    <n v="0"/>
  </r>
  <r>
    <n v="10"/>
    <s v="AUS"/>
    <s v="Australia"/>
    <x v="4"/>
    <s v="High income"/>
    <x v="3"/>
    <x v="2"/>
    <x v="1"/>
    <s v="na"/>
    <n v="0"/>
    <s v="na"/>
    <n v="1396567014733.2283"/>
    <n v="208"/>
    <n v="120810000000"/>
    <n v="0"/>
    <n v="0"/>
    <n v="208"/>
    <n v="120810000000"/>
    <n v="8.6504978798369436E-2"/>
    <n v="0"/>
    <n v="8.6504978798369436E-2"/>
    <n v="8.9980113657522925E-2"/>
    <n v="0"/>
    <n v="5.6378714130378982E-2"/>
    <n v="7106470588.2352943"/>
    <n v="5.0885281646099664E-3"/>
    <x v="2"/>
    <n v="0"/>
    <n v="0"/>
    <n v="0"/>
    <n v="0"/>
    <n v="0"/>
    <n v="0"/>
    <n v="0"/>
    <n v="0"/>
    <n v="0"/>
    <n v="0"/>
    <n v="54664941000"/>
    <n v="89293723000"/>
    <n v="34628782000"/>
    <x v="204"/>
    <n v="214273705000"/>
    <n v="272579608000"/>
    <n v="58305903000"/>
    <n v="486853313000"/>
    <n v="0.2551173556270005"/>
    <n v="0.3275876858697368"/>
    <n v="8.5758540481813375E-2"/>
    <n v="0.13174778240378718"/>
    <n v="0.2956920701903491"/>
    <n v="0.103080383885122"/>
    <s v="na"/>
    <s v="na"/>
    <s v="na"/>
    <s v="na"/>
    <s v="na"/>
    <s v="na"/>
    <s v="na"/>
    <s v="na"/>
    <n v="0"/>
    <n v="0"/>
    <n v="0"/>
    <n v="0"/>
    <n v="0"/>
    <n v="0"/>
  </r>
  <r>
    <n v="205"/>
    <s v="USA"/>
    <s v="United States"/>
    <x v="2"/>
    <s v="High income"/>
    <x v="0"/>
    <x v="0"/>
    <x v="1"/>
    <s v="na"/>
    <n v="0"/>
    <s v="na"/>
    <n v="21433224697000"/>
    <n v="298"/>
    <n v="191370000000"/>
    <n v="0"/>
    <n v="0"/>
    <n v="298"/>
    <n v="191370000000"/>
    <n v="8.9286611186783285E-3"/>
    <n v="0"/>
    <n v="8.9286611186783285E-3"/>
    <n v="0.14253368388908336"/>
    <n v="0"/>
    <n v="8.930713122366217E-2"/>
    <n v="11257058823.529411"/>
    <n v="5.2521535992225464E-4"/>
    <x v="0"/>
    <s v="na"/>
    <s v="na"/>
    <s v="na"/>
    <s v="na"/>
    <s v="na"/>
    <s v="na"/>
    <n v="0"/>
    <s v="na"/>
    <s v="na"/>
    <s v="na"/>
    <n v="470950852000"/>
    <n v="106448372000"/>
    <n v="-364502480000"/>
    <x v="205"/>
    <n v="2563536173000"/>
    <n v="1642820352000"/>
    <n v="-920715821000"/>
    <n v="4206356525000"/>
    <n v="0.18371141275875416"/>
    <n v="6.479611228970214E-2"/>
    <n v="1.0260013969927548"/>
    <n v="0.79403569420280717"/>
    <n v="0.13726825592844868"/>
    <n v="2.6939447150984161E-2"/>
    <s v="na"/>
    <s v="na"/>
    <s v="na"/>
    <s v="na"/>
    <s v="na"/>
    <s v="na"/>
    <s v="na"/>
    <s v="na"/>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n v="2"/>
    <s v="ALB"/>
    <s v="Albania"/>
    <s v="Europe &amp; Central Asia"/>
    <x v="0"/>
    <n v="1"/>
    <n v="0"/>
    <x v="0"/>
    <n v="2017"/>
    <n v="0"/>
    <s v="na"/>
    <n v="15286612572.689501"/>
    <n v="0"/>
    <n v="0"/>
    <n v="0"/>
    <n v="0"/>
    <n v="0"/>
    <n v="0"/>
    <n v="0"/>
    <n v="0"/>
    <n v="0"/>
    <n v="0"/>
    <n v="0"/>
    <n v="0"/>
    <n v="0"/>
    <n v="0"/>
    <n v="0"/>
    <s v="na"/>
    <s v="na"/>
    <s v="na"/>
    <s v="na"/>
    <s v="na"/>
    <s v="na"/>
    <n v="0"/>
    <s v="na"/>
    <s v="na"/>
    <s v="na"/>
    <n v="543620000"/>
    <n v="56526000"/>
    <n v="-487094000"/>
    <n v="600146000"/>
    <n v="5908003000"/>
    <n v="2719429000"/>
    <n v="-3188574000"/>
    <n v="8627432000"/>
    <n v="9.201417128596584E-2"/>
    <n v="2.0785981174724546E-2"/>
    <n v="2.364553851543169E-3"/>
    <n v="1.3144003793363317E-3"/>
    <n v="6.9562530310293955E-2"/>
    <n v="3.9259580704766386E-2"/>
    <n v="47"/>
    <n v="665510361.43426514"/>
    <n v="30"/>
    <n v="27696475.729804792"/>
    <n v="15"/>
    <n v="551351018.66711462"/>
    <n v="2"/>
    <n v="86462867.037345707"/>
    <n v="4.3535502602011479E-2"/>
    <n v="1.8118124992116498E-3"/>
    <n v="3.6067573247204422E-2"/>
    <n v="5.6561168555954036E-3"/>
    <n v="39147668.319662653"/>
    <n v="2.560911917765381E-3"/>
  </r>
  <r>
    <n v="4"/>
    <s v="AND"/>
    <s v="Andorra"/>
    <s v="Europe &amp; Central Asia"/>
    <x v="1"/>
    <n v="0"/>
    <n v="0"/>
    <x v="1"/>
    <s v="na"/>
    <n v="0"/>
    <s v="na"/>
    <n v="3155065487.5181909"/>
    <n v="0"/>
    <n v="0"/>
    <n v="0"/>
    <n v="0"/>
    <n v="0"/>
    <n v="0"/>
    <n v="0"/>
    <n v="0"/>
    <n v="0"/>
    <n v="0"/>
    <n v="0"/>
    <n v="0"/>
    <n v="0"/>
    <n v="0"/>
    <n v="0"/>
    <s v="na"/>
    <s v="na"/>
    <s v="na"/>
    <s v="na"/>
    <s v="na"/>
    <s v="na"/>
    <n v="0"/>
    <s v="na"/>
    <s v="na"/>
    <s v="na"/>
    <n v="2369000"/>
    <n v="200000"/>
    <n v="-2169000"/>
    <n v="2569000"/>
    <n v="1478950000"/>
    <n v="118238000"/>
    <n v="-1360712000"/>
    <n v="1597188000"/>
    <n v="1.6018120964197574E-3"/>
    <n v="1.6915035775300665E-3"/>
    <n v="5.9191860917128338E-4"/>
    <n v="5.7148788238990303E-5"/>
    <n v="1.6084518541336398E-3"/>
    <n v="8.1424617338792665E-4"/>
    <s v="na"/>
    <s v="na"/>
    <s v="na"/>
    <s v="na"/>
    <s v="na"/>
    <s v="na"/>
    <s v="na"/>
    <s v="na"/>
    <n v="0"/>
    <n v="0"/>
    <n v="0"/>
    <n v="0"/>
    <n v="0"/>
    <n v="0"/>
  </r>
  <r>
    <n v="8"/>
    <s v="ARM"/>
    <s v="Armenia"/>
    <s v="Europe &amp; Central Asia"/>
    <x v="0"/>
    <n v="0"/>
    <n v="0"/>
    <x v="0"/>
    <n v="2015"/>
    <n v="0"/>
    <s v="na"/>
    <n v="13672802157.832392"/>
    <n v="0"/>
    <n v="0"/>
    <n v="0"/>
    <n v="0"/>
    <n v="0"/>
    <n v="0"/>
    <n v="0"/>
    <n v="0"/>
    <n v="0"/>
    <n v="0"/>
    <n v="0"/>
    <n v="0"/>
    <n v="0"/>
    <n v="0"/>
    <n v="3"/>
    <n v="0"/>
    <n v="0"/>
    <n v="0"/>
    <n v="0"/>
    <n v="0"/>
    <n v="0"/>
    <n v="0"/>
    <n v="0"/>
    <n v="0"/>
    <n v="0"/>
    <n v="748024000"/>
    <n v="193682000"/>
    <n v="-554342000"/>
    <n v="941706000"/>
    <n v="5071644000"/>
    <n v="2620069000"/>
    <n v="-2451575000"/>
    <n v="7691713000"/>
    <n v="0.14749142487130407"/>
    <n v="7.3922480667493864E-2"/>
    <n v="2.0298187651319414E-3"/>
    <n v="1.2663760250726764E-3"/>
    <n v="0.12243124515956329"/>
    <n v="6.8874396713225955E-2"/>
    <n v="40"/>
    <n v="155275327.59466651"/>
    <n v="31"/>
    <n v="155275327.59466651"/>
    <n v="8"/>
    <n v="0"/>
    <n v="1"/>
    <n v="0"/>
    <n v="1.1356510962584058E-2"/>
    <n v="1.1356510962584058E-2"/>
    <n v="0"/>
    <n v="0"/>
    <n v="9133842.7996862661"/>
    <n v="6.6803005662259161E-4"/>
  </r>
  <r>
    <n v="9"/>
    <s v="ABW"/>
    <s v="Aruba"/>
    <s v="Latin America &amp; Caribbean"/>
    <x v="1"/>
    <n v="0"/>
    <n v="0"/>
    <x v="1"/>
    <s v="na"/>
    <n v="0"/>
    <s v="na"/>
    <s v="na"/>
    <n v="0"/>
    <n v="0"/>
    <n v="0"/>
    <n v="0"/>
    <n v="0"/>
    <n v="0"/>
    <n v="0"/>
    <n v="0"/>
    <n v="0"/>
    <n v="0"/>
    <n v="0"/>
    <n v="0"/>
    <n v="0"/>
    <n v="0"/>
    <n v="0"/>
    <s v="na"/>
    <s v="na"/>
    <s v="na"/>
    <s v="na"/>
    <s v="na"/>
    <s v="na"/>
    <n v="0"/>
    <s v="na"/>
    <s v="na"/>
    <s v="na"/>
    <n v="7527000"/>
    <n v="56000"/>
    <n v="-7471000"/>
    <n v="7583000"/>
    <n v="1320446000"/>
    <n v="83627000"/>
    <n v="-1236819000"/>
    <n v="1404073000"/>
    <n v="5.7003467010388912E-3"/>
    <n v="6.696401879775671E-4"/>
    <n v="5.2848071929800496E-4"/>
    <n v="4.0420014835011098E-5"/>
    <n v="5.4007163445205482E-3"/>
    <s v="na"/>
    <n v="0"/>
    <s v="na"/>
    <s v="na"/>
    <s v="na"/>
    <s v="na"/>
    <s v="na"/>
    <s v="na"/>
    <s v="na"/>
    <n v="0"/>
    <n v="0"/>
    <n v="0"/>
    <n v="0"/>
    <n v="0"/>
    <n v="0"/>
  </r>
  <r>
    <n v="19"/>
    <s v="BLZ"/>
    <s v="Belize"/>
    <s v="Latin America &amp; Caribbean"/>
    <x v="2"/>
    <n v="0"/>
    <n v="0"/>
    <x v="1"/>
    <s v="na"/>
    <n v="2"/>
    <s v="na"/>
    <n v="1982518540.6134"/>
    <n v="0"/>
    <n v="0"/>
    <n v="0"/>
    <n v="0"/>
    <n v="0"/>
    <n v="0"/>
    <n v="0"/>
    <n v="0"/>
    <n v="0"/>
    <n v="0"/>
    <n v="0"/>
    <n v="0"/>
    <n v="0"/>
    <n v="0"/>
    <n v="0"/>
    <s v="na"/>
    <s v="na"/>
    <s v="na"/>
    <s v="na"/>
    <s v="na"/>
    <s v="na"/>
    <n v="0"/>
    <s v="na"/>
    <s v="na"/>
    <s v="na"/>
    <n v="116803000"/>
    <n v="648000"/>
    <n v="-116155000"/>
    <n v="117451000"/>
    <n v="985894000"/>
    <n v="244906000"/>
    <n v="-740988000"/>
    <n v="1230800000"/>
    <n v="0.1184741970232094"/>
    <n v="2.6459131258523678E-3"/>
    <n v="3.9458332281031358E-4"/>
    <n v="1.1837210653477021E-4"/>
    <n v="9.542655183620409E-2"/>
    <n v="5.924332993307601E-2"/>
    <n v="0"/>
    <s v="na"/>
    <s v="na"/>
    <s v="na"/>
    <s v="na"/>
    <s v="na"/>
    <s v="na"/>
    <s v="na"/>
    <n v="0"/>
    <n v="0"/>
    <n v="0"/>
    <n v="0"/>
    <n v="0"/>
    <n v="0"/>
  </r>
  <r>
    <n v="21"/>
    <s v="BMU"/>
    <s v="Bermuda"/>
    <s v="North America"/>
    <x v="1"/>
    <n v="0"/>
    <n v="0"/>
    <x v="1"/>
    <s v="na"/>
    <n v="0"/>
    <s v="na"/>
    <n v="7484113000"/>
    <n v="0"/>
    <n v="0"/>
    <n v="0"/>
    <n v="0"/>
    <n v="0"/>
    <n v="0"/>
    <n v="0"/>
    <n v="0"/>
    <n v="0"/>
    <n v="0"/>
    <n v="0"/>
    <n v="0"/>
    <n v="0"/>
    <n v="0"/>
    <n v="0"/>
    <s v="na"/>
    <s v="na"/>
    <s v="na"/>
    <s v="na"/>
    <s v="na"/>
    <s v="na"/>
    <n v="0"/>
    <s v="na"/>
    <s v="na"/>
    <s v="na"/>
    <n v="25093000"/>
    <n v="79000"/>
    <n v="-25014000"/>
    <n v="25172000"/>
    <n v="1119092000"/>
    <n v="26833000"/>
    <n v="-1092259000"/>
    <n v="1145925000"/>
    <n v="2.2422642642427968E-2"/>
    <n v="2.9441359519994039E-3"/>
    <n v="4.4789301881382733E-4"/>
    <n v="1.2969379005199909E-5"/>
    <n v="2.1966533586403998E-2"/>
    <n v="3.3633912261880599E-3"/>
    <s v="na"/>
    <s v="na"/>
    <s v="na"/>
    <s v="na"/>
    <s v="na"/>
    <s v="na"/>
    <s v="na"/>
    <s v="na"/>
    <n v="0"/>
    <n v="0"/>
    <n v="0"/>
    <n v="0"/>
    <n v="0"/>
    <n v="0"/>
  </r>
  <r>
    <n v="27"/>
    <s v="VGB"/>
    <s v="British Virgin Islands"/>
    <s v="Latin America &amp; Caribbean"/>
    <x v="1"/>
    <n v="0"/>
    <n v="0"/>
    <x v="1"/>
    <s v="na"/>
    <n v="0"/>
    <s v="na"/>
    <s v="na"/>
    <n v="0"/>
    <n v="0"/>
    <n v="0"/>
    <n v="0"/>
    <n v="0"/>
    <n v="0"/>
    <n v="0"/>
    <n v="0"/>
    <n v="0"/>
    <n v="0"/>
    <n v="0"/>
    <n v="0"/>
    <n v="0"/>
    <n v="0"/>
    <n v="0"/>
    <s v="na"/>
    <s v="na"/>
    <s v="na"/>
    <s v="na"/>
    <s v="na"/>
    <s v="na"/>
    <n v="0"/>
    <s v="na"/>
    <s v="na"/>
    <s v="na"/>
    <n v="10403000"/>
    <n v="495000"/>
    <n v="-9908000"/>
    <n v="10898000"/>
    <n v="1822591000"/>
    <n v="411592000"/>
    <n v="-1410999000"/>
    <n v="2234183000"/>
    <n v="5.7078082795317215E-3"/>
    <n v="1.2026472817741841E-3"/>
    <n v="7.2945368660745711E-4"/>
    <n v="1.9893760084628036E-4"/>
    <n v="4.8778457270510066E-3"/>
    <s v="na"/>
    <n v="0"/>
    <s v="na"/>
    <s v="na"/>
    <s v="na"/>
    <s v="na"/>
    <s v="na"/>
    <s v="na"/>
    <s v="na"/>
    <n v="0"/>
    <n v="0"/>
    <n v="0"/>
    <n v="0"/>
    <n v="0"/>
    <n v="0"/>
  </r>
  <r>
    <n v="30"/>
    <s v="BFA"/>
    <s v="Burkina Faso"/>
    <s v="Sub-Saharan Africa"/>
    <x v="3"/>
    <n v="0"/>
    <n v="0"/>
    <x v="1"/>
    <s v="na"/>
    <n v="1"/>
    <n v="2018"/>
    <n v="15990803569.996128"/>
    <n v="0"/>
    <n v="0"/>
    <n v="0"/>
    <n v="0"/>
    <n v="0"/>
    <n v="0"/>
    <n v="0"/>
    <n v="0"/>
    <n v="0"/>
    <n v="0"/>
    <n v="0"/>
    <n v="0"/>
    <n v="0"/>
    <n v="0"/>
    <n v="0"/>
    <s v="na"/>
    <s v="na"/>
    <s v="na"/>
    <s v="na"/>
    <s v="na"/>
    <s v="na"/>
    <n v="0"/>
    <s v="na"/>
    <s v="na"/>
    <s v="na"/>
    <n v="520739000"/>
    <n v="13757000"/>
    <n v="-506982000"/>
    <n v="534496000"/>
    <n v="4259342000"/>
    <n v="3261124000"/>
    <n v="-998218000"/>
    <n v="7520466000"/>
    <n v="0.1222580858733579"/>
    <n v="4.2184841790744538E-3"/>
    <n v="1.7047119866289142E-3"/>
    <n v="1.5762215607257315E-3"/>
    <n v="7.1072191537066981E-2"/>
    <n v="3.3425212038930036E-2"/>
    <n v="0"/>
    <s v="na"/>
    <s v="na"/>
    <s v="na"/>
    <s v="na"/>
    <s v="na"/>
    <s v="na"/>
    <s v="na"/>
    <n v="0"/>
    <n v="0"/>
    <n v="0"/>
    <n v="0"/>
    <n v="0"/>
    <n v="0"/>
  </r>
  <r>
    <n v="31"/>
    <s v="BDI"/>
    <s v="Burundi"/>
    <s v="Sub-Saharan Africa"/>
    <x v="3"/>
    <n v="0"/>
    <n v="0"/>
    <x v="0"/>
    <n v="2018"/>
    <n v="0"/>
    <s v="na"/>
    <n v="3012308945.6267095"/>
    <n v="0"/>
    <n v="0"/>
    <n v="0"/>
    <n v="0"/>
    <n v="0"/>
    <n v="0"/>
    <n v="0"/>
    <n v="0"/>
    <n v="0"/>
    <n v="0"/>
    <n v="0"/>
    <n v="0"/>
    <n v="0"/>
    <n v="0"/>
    <n v="0"/>
    <s v="na"/>
    <s v="na"/>
    <s v="na"/>
    <s v="na"/>
    <s v="na"/>
    <s v="na"/>
    <n v="0"/>
    <s v="na"/>
    <s v="na"/>
    <s v="na"/>
    <n v="136273000"/>
    <n v="5550000"/>
    <n v="-130723000"/>
    <n v="141823000"/>
    <n v="887345000"/>
    <n v="180772000"/>
    <n v="-706573000"/>
    <n v="1068117000"/>
    <n v="0.1535738636043478"/>
    <n v="3.0701657336313144E-2"/>
    <n v="3.5514115977895976E-4"/>
    <n v="8.7373777867849226E-5"/>
    <n v="0.13277852519901845"/>
    <n v="4.7081160186407706E-2"/>
    <n v="113"/>
    <n v="585558908.34845948"/>
    <n v="110"/>
    <n v="568921147.99284697"/>
    <n v="3"/>
    <n v="16637760.3556125"/>
    <n v="0"/>
    <n v="0"/>
    <n v="0.19438872934948384"/>
    <n v="0.1888654710596038"/>
    <n v="5.5232582898800311E-3"/>
    <n v="0"/>
    <n v="34444641.667556442"/>
    <n v="1.1434631138204933E-2"/>
  </r>
  <r>
    <n v="36"/>
    <s v="CYM"/>
    <s v="Cayman Islands"/>
    <s v="Latin America &amp; Caribbean"/>
    <x v="1"/>
    <n v="0"/>
    <n v="0"/>
    <x v="1"/>
    <s v="na"/>
    <n v="0"/>
    <s v="na"/>
    <n v="5935769350.7740307"/>
    <n v="0"/>
    <n v="0"/>
    <n v="0"/>
    <n v="0"/>
    <n v="0"/>
    <n v="0"/>
    <n v="0"/>
    <n v="0"/>
    <n v="0"/>
    <n v="0"/>
    <n v="0"/>
    <n v="0"/>
    <n v="0"/>
    <n v="0"/>
    <n v="0"/>
    <s v="na"/>
    <s v="na"/>
    <s v="na"/>
    <s v="na"/>
    <s v="na"/>
    <s v="na"/>
    <n v="0"/>
    <s v="na"/>
    <s v="na"/>
    <s v="na"/>
    <n v="38326000"/>
    <n v="82000"/>
    <n v="-38244000"/>
    <n v="38408000"/>
    <n v="4477846000"/>
    <n v="1535610000"/>
    <n v="-2942236000"/>
    <n v="6013456000"/>
    <n v="8.5590259245181717E-3"/>
    <n v="5.33989750001628E-5"/>
    <n v="1.7921636136469759E-3"/>
    <n v="7.4221697514907149E-4"/>
    <n v="6.3870094002517024E-3"/>
    <n v="6.4706018260280874E-3"/>
    <n v="0"/>
    <s v="na"/>
    <s v="na"/>
    <s v="na"/>
    <s v="na"/>
    <s v="na"/>
    <s v="na"/>
    <s v="na"/>
    <n v="0"/>
    <n v="0"/>
    <n v="0"/>
    <n v="0"/>
    <n v="0"/>
    <n v="0"/>
  </r>
  <r>
    <n v="37"/>
    <s v="CAF"/>
    <s v="Central African Republic"/>
    <s v="Sub-Saharan Africa"/>
    <x v="3"/>
    <n v="0"/>
    <n v="0"/>
    <x v="1"/>
    <s v="na"/>
    <n v="0"/>
    <s v="na"/>
    <n v="2220307318.7488565"/>
    <n v="0"/>
    <n v="0"/>
    <n v="0"/>
    <n v="0"/>
    <n v="0"/>
    <n v="0"/>
    <n v="0"/>
    <n v="0"/>
    <n v="0"/>
    <n v="0"/>
    <n v="0"/>
    <n v="0"/>
    <n v="0"/>
    <n v="0"/>
    <n v="0"/>
    <s v="na"/>
    <s v="na"/>
    <s v="na"/>
    <s v="na"/>
    <s v="na"/>
    <s v="na"/>
    <n v="0"/>
    <s v="na"/>
    <s v="na"/>
    <s v="na"/>
    <n v="103158000"/>
    <n v="7442000"/>
    <n v="-95716000"/>
    <n v="110600000"/>
    <n v="567832000"/>
    <n v="125191000"/>
    <n v="-442641000"/>
    <n v="693023000"/>
    <n v="0.18166993054283662"/>
    <n v="5.9445167783626615E-2"/>
    <n v="2.2726280650660821E-4"/>
    <n v="6.0509429696268848E-5"/>
    <n v="0.15959066293615073"/>
    <n v="4.9812924123640287E-2"/>
    <n v="107"/>
    <n v="474603128.61500078"/>
    <n v="101"/>
    <n v="287310403.61804402"/>
    <n v="1"/>
    <n v="119460798.289351"/>
    <n v="5"/>
    <n v="67831926.707605794"/>
    <n v="0.21375560248229047"/>
    <n v="0.12940118748063376"/>
    <n v="5.3803722250786064E-2"/>
    <n v="3.0550692750870675E-2"/>
    <n v="27917831.095000047"/>
    <n v="1.2573858969546499E-2"/>
  </r>
  <r>
    <n v="40"/>
    <s v="CHN"/>
    <s v="China"/>
    <s v="East Asia &amp; Pacific"/>
    <x v="0"/>
    <n v="0"/>
    <s v="na"/>
    <x v="0"/>
    <n v="2013"/>
    <n v="0"/>
    <s v="na"/>
    <s v="na"/>
    <n v="0"/>
    <n v="0"/>
    <n v="0"/>
    <n v="0"/>
    <n v="0"/>
    <n v="0"/>
    <n v="0"/>
    <n v="0"/>
    <n v="0"/>
    <n v="0"/>
    <n v="0"/>
    <n v="0"/>
    <n v="0"/>
    <n v="0"/>
    <n v="1"/>
    <n v="7"/>
    <n v="1610000000"/>
    <n v="4"/>
    <n v="1500000000"/>
    <n v="0"/>
    <n v="0"/>
    <n v="11"/>
    <n v="3110000000"/>
    <s v="na"/>
    <n v="7.8022630576893306E-2"/>
    <s v="na"/>
    <s v="na"/>
    <s v="na"/>
    <s v="na"/>
    <n v="2068950255000"/>
    <n v="2498569866000"/>
    <n v="429619611000"/>
    <n v="4567520121000"/>
    <s v="na"/>
    <s v="na"/>
    <s v="na"/>
    <s v="na"/>
    <s v="na"/>
    <s v="na"/>
    <s v="na"/>
    <s v="na"/>
    <s v="na"/>
    <s v="na"/>
    <s v="na"/>
    <s v="na"/>
    <s v="na"/>
    <s v="na"/>
    <n v="0"/>
    <n v="0"/>
    <n v="0"/>
    <n v="0"/>
    <n v="0"/>
    <n v="0"/>
  </r>
  <r>
    <n v="42"/>
    <s v="COM"/>
    <s v="Comoros"/>
    <s v="Sub-Saharan Africa"/>
    <x v="2"/>
    <n v="0"/>
    <n v="0"/>
    <x v="0"/>
    <s v="na"/>
    <n v="0"/>
    <s v="na"/>
    <n v="1165839899.8026922"/>
    <n v="0"/>
    <n v="0"/>
    <n v="0"/>
    <n v="0"/>
    <n v="0"/>
    <n v="0"/>
    <n v="0"/>
    <n v="0"/>
    <n v="0"/>
    <n v="0"/>
    <n v="0"/>
    <n v="0"/>
    <n v="0"/>
    <n v="0"/>
    <n v="0"/>
    <s v="na"/>
    <s v="na"/>
    <s v="na"/>
    <s v="na"/>
    <s v="na"/>
    <s v="na"/>
    <n v="0"/>
    <s v="na"/>
    <s v="na"/>
    <s v="na"/>
    <n v="19759000"/>
    <n v="14000"/>
    <n v="-19745000"/>
    <n v="19773000"/>
    <n v="203688000"/>
    <n v="49638000"/>
    <n v="-154050000"/>
    <n v="253326000"/>
    <n v="9.7006205569302076E-2"/>
    <n v="2.8204198396389861E-4"/>
    <n v="8.1521834859109749E-5"/>
    <n v="2.3991876982078528E-5"/>
    <n v="7.80535752350726E-2"/>
    <n v="1.6960304758266036E-2"/>
    <n v="68"/>
    <n v="348572569.68054128"/>
    <n v="64"/>
    <n v="201306498.51118547"/>
    <n v="2"/>
    <n v="77587.527207982697"/>
    <n v="2"/>
    <n v="147188483.64214787"/>
    <n v="0.29898836859120537"/>
    <n v="0.17267079171441529"/>
    <n v="6.655075642986115E-5"/>
    <n v="0.12625102612036027"/>
    <n v="20504268.804737721"/>
    <n v="1.7587551093600315E-2"/>
  </r>
  <r>
    <n v="45"/>
    <s v="COK"/>
    <s v="Cook Islands"/>
    <s v="East Asia &amp; Pacific"/>
    <x v="0"/>
    <n v="0"/>
    <n v="0"/>
    <x v="0"/>
    <n v="2018"/>
    <n v="0"/>
    <s v="na"/>
    <s v="na"/>
    <n v="0"/>
    <n v="0"/>
    <n v="0"/>
    <n v="0"/>
    <n v="0"/>
    <n v="0"/>
    <n v="0"/>
    <n v="0"/>
    <n v="0"/>
    <n v="0"/>
    <n v="0"/>
    <n v="0"/>
    <n v="0"/>
    <n v="0"/>
    <n v="1"/>
    <n v="1"/>
    <n v="20000000"/>
    <n v="0"/>
    <n v="0"/>
    <n v="0"/>
    <n v="0"/>
    <n v="1"/>
    <n v="20000000"/>
    <s v="na"/>
    <n v="5.0175325129834928E-4"/>
    <n v="42699000"/>
    <n v="1266000"/>
    <n v="-41433000"/>
    <n v="43965000"/>
    <n v="198303000"/>
    <n v="32222000"/>
    <n v="-166081000"/>
    <n v="230525000"/>
    <n v="0.21532200723135808"/>
    <n v="3.9289926137421639E-2"/>
    <n v="7.9366601950365474E-5"/>
    <n v="1.5574081552772761E-5"/>
    <n v="0.19071684199110725"/>
    <s v="na"/>
    <n v="34"/>
    <n v="131478490.98164041"/>
    <n v="31"/>
    <n v="129493135.9661479"/>
    <n v="2"/>
    <n v="0"/>
    <n v="1"/>
    <n v="1985355.0154925101"/>
    <n v="0"/>
    <n v="0"/>
    <n v="0"/>
    <n v="0"/>
    <n v="7734028.8812729651"/>
    <n v="0"/>
  </r>
  <r>
    <n v="50"/>
    <s v="CUW"/>
    <s v="Curaçao"/>
    <s v="Latin America &amp; Caribbean"/>
    <x v="1"/>
    <n v="0"/>
    <n v="0"/>
    <x v="1"/>
    <s v="na"/>
    <n v="0"/>
    <s v="na"/>
    <n v="3101787709.4972067"/>
    <n v="0"/>
    <n v="0"/>
    <n v="0"/>
    <n v="0"/>
    <n v="0"/>
    <n v="0"/>
    <n v="0"/>
    <n v="0"/>
    <n v="0"/>
    <n v="0"/>
    <n v="0"/>
    <n v="0"/>
    <n v="0"/>
    <n v="0"/>
    <n v="0"/>
    <s v="na"/>
    <s v="na"/>
    <s v="na"/>
    <s v="na"/>
    <s v="na"/>
    <s v="na"/>
    <n v="0"/>
    <s v="na"/>
    <s v="na"/>
    <s v="na"/>
    <n v="37699000"/>
    <n v="13000"/>
    <n v="-37686000"/>
    <n v="37712000"/>
    <n v="1201848000"/>
    <n v="96336000"/>
    <n v="-1105512000"/>
    <n v="1298184000"/>
    <n v="3.1367527341227844E-2"/>
    <n v="1.349443614017605E-4"/>
    <n v="4.8101436599972189E-4"/>
    <n v="4.6562743481717983E-5"/>
    <n v="2.9049811120765625E-2"/>
    <n v="1.2158149922553221E-2"/>
    <n v="2"/>
    <n v="0"/>
    <n v="0"/>
    <n v="0"/>
    <n v="2"/>
    <n v="0"/>
    <n v="0"/>
    <n v="0"/>
    <n v="0"/>
    <n v="0"/>
    <n v="0"/>
    <n v="0"/>
    <n v="0"/>
    <n v="0"/>
  </r>
  <r>
    <n v="55"/>
    <s v="DMA"/>
    <s v="Dominica"/>
    <s v="Latin America &amp; Caribbean"/>
    <x v="0"/>
    <n v="0"/>
    <n v="0"/>
    <x v="0"/>
    <s v="na"/>
    <n v="1"/>
    <n v="2004"/>
    <n v="574607407.4074074"/>
    <n v="0"/>
    <n v="0"/>
    <n v="0"/>
    <n v="0"/>
    <n v="0"/>
    <n v="0"/>
    <n v="0"/>
    <n v="0"/>
    <n v="0"/>
    <n v="0"/>
    <n v="0"/>
    <n v="0"/>
    <n v="0"/>
    <n v="0"/>
    <n v="0"/>
    <s v="na"/>
    <s v="na"/>
    <s v="na"/>
    <s v="na"/>
    <s v="na"/>
    <s v="na"/>
    <n v="0"/>
    <s v="na"/>
    <s v="na"/>
    <s v="na"/>
    <n v="33896000"/>
    <n v="477000"/>
    <n v="-33419000"/>
    <n v="34373000"/>
    <n v="503996000"/>
    <n v="59490000"/>
    <n v="-444506000"/>
    <n v="563486000"/>
    <n v="6.7254502019857304E-2"/>
    <n v="8.0181543116490169E-3"/>
    <n v="2.017137911003686E-4"/>
    <n v="2.8753712108945799E-5"/>
    <n v="6.1000628232112247E-2"/>
    <n v="5.9819973701851187E-2"/>
    <n v="83"/>
    <n v="573892308.24714231"/>
    <n v="64"/>
    <n v="559674140.21692443"/>
    <n v="5"/>
    <n v="0"/>
    <n v="14"/>
    <n v="14218168.030217908"/>
    <n v="0.99875549957928389"/>
    <n v="0.9740113562791316"/>
    <n v="0"/>
    <n v="2.4744143300152344E-2"/>
    <n v="33758371.073361315"/>
    <n v="5.8750323504663762E-2"/>
  </r>
  <r>
    <n v="56"/>
    <s v="DOM"/>
    <s v="Dominican Republic"/>
    <s v="Latin America &amp; Caribbean"/>
    <x v="0"/>
    <n v="0"/>
    <n v="0"/>
    <x v="0"/>
    <n v="2018"/>
    <n v="1"/>
    <n v="2018"/>
    <n v="88941299733.50177"/>
    <n v="0"/>
    <n v="0"/>
    <n v="0"/>
    <n v="0"/>
    <n v="0"/>
    <n v="0"/>
    <n v="0"/>
    <n v="0"/>
    <n v="0"/>
    <n v="0"/>
    <n v="0"/>
    <n v="0"/>
    <n v="0"/>
    <n v="0"/>
    <n v="0"/>
    <s v="na"/>
    <s v="na"/>
    <s v="na"/>
    <s v="na"/>
    <s v="na"/>
    <s v="na"/>
    <n v="0"/>
    <s v="na"/>
    <s v="na"/>
    <s v="na"/>
    <n v="3451291000"/>
    <n v="305884000"/>
    <n v="-3145407000"/>
    <n v="3757175000"/>
    <n v="22202313000"/>
    <n v="10078188000"/>
    <n v="-12124125000"/>
    <n v="32280501000"/>
    <n v="0.15544736262388517"/>
    <n v="3.0351090890545007E-2"/>
    <n v="8.8860084731366886E-3"/>
    <n v="4.8711601333305135E-3"/>
    <n v="0.11639147112369787"/>
    <n v="4.2243311164304631E-2"/>
    <n v="5"/>
    <n v="353953921.70811945"/>
    <n v="3"/>
    <n v="3953921.7081194799"/>
    <n v="1"/>
    <n v="0"/>
    <n v="1"/>
    <n v="350000000"/>
    <n v="3.9796351387790052E-3"/>
    <n v="4.4455407330079131E-5"/>
    <n v="0"/>
    <n v="3.9351797314489271E-3"/>
    <n v="20820818.924007028"/>
    <n v="2.3409618463405917E-4"/>
  </r>
  <r>
    <n v="59"/>
    <s v="SLV"/>
    <s v="El Salvador"/>
    <s v="Latin America &amp; Caribbean"/>
    <x v="2"/>
    <n v="0"/>
    <n v="0"/>
    <x v="0"/>
    <n v="2018"/>
    <n v="1"/>
    <n v="2018"/>
    <n v="26896660000"/>
    <n v="0"/>
    <n v="0"/>
    <n v="0"/>
    <n v="0"/>
    <n v="0"/>
    <n v="0"/>
    <n v="0"/>
    <n v="0"/>
    <n v="0"/>
    <n v="0"/>
    <n v="0"/>
    <n v="0"/>
    <n v="0"/>
    <n v="0"/>
    <n v="0"/>
    <s v="na"/>
    <s v="na"/>
    <s v="na"/>
    <s v="na"/>
    <s v="na"/>
    <s v="na"/>
    <n v="0"/>
    <s v="na"/>
    <s v="na"/>
    <s v="na"/>
    <n v="961495000"/>
    <n v="51726000"/>
    <n v="-909769000"/>
    <n v="1013221000"/>
    <n v="11337642000"/>
    <n v="4777618000"/>
    <n v="-6560024000"/>
    <n v="16115260000"/>
    <n v="8.4805553041805343E-2"/>
    <n v="1.0826734159156299E-2"/>
    <n v="4.5376525804942209E-3"/>
    <n v="2.309199067717556E-3"/>
    <n v="6.2873388328826219E-2"/>
    <n v="3.7670885530024921E-2"/>
    <n v="1"/>
    <n v="19663044.242341101"/>
    <n v="0"/>
    <n v="0"/>
    <n v="0"/>
    <n v="0"/>
    <n v="1"/>
    <n v="19663044.242341101"/>
    <n v="7.3105895833687528E-4"/>
    <n v="0"/>
    <n v="0"/>
    <n v="7.3105895833687528E-4"/>
    <n v="1156649.6613141824"/>
    <n v="4.3003468137463258E-5"/>
  </r>
  <r>
    <n v="62"/>
    <s v="EST"/>
    <s v="Estonia"/>
    <s v="Europe &amp; Central Asia"/>
    <x v="1"/>
    <n v="0"/>
    <n v="0"/>
    <x v="0"/>
    <n v="2017"/>
    <n v="0"/>
    <s v="na"/>
    <n v="31045591753.490147"/>
    <n v="0"/>
    <n v="0"/>
    <n v="0"/>
    <n v="0"/>
    <n v="0"/>
    <n v="0"/>
    <n v="0"/>
    <n v="0"/>
    <n v="0"/>
    <n v="0"/>
    <n v="0"/>
    <n v="0"/>
    <n v="0"/>
    <n v="0"/>
    <n v="0"/>
    <s v="na"/>
    <s v="na"/>
    <s v="na"/>
    <s v="na"/>
    <s v="na"/>
    <s v="na"/>
    <n v="0"/>
    <s v="na"/>
    <s v="na"/>
    <s v="na"/>
    <n v="1513684000"/>
    <n v="189548000"/>
    <n v="-1324136000"/>
    <n v="1703232000"/>
    <n v="18677042000"/>
    <n v="16817428000"/>
    <n v="-1859614000"/>
    <n v="35494470000"/>
    <n v="8.1045167644855115E-2"/>
    <n v="1.1270926802838104E-2"/>
    <n v="7.4750929538345747E-3"/>
    <n v="8.1284834951239546E-3"/>
    <n v="4.7985841174695662E-2"/>
    <n v="5.4862281689590363E-2"/>
    <s v="na"/>
    <s v="na"/>
    <s v="na"/>
    <s v="na"/>
    <s v="na"/>
    <s v="na"/>
    <s v="na"/>
    <s v="na"/>
    <n v="0"/>
    <n v="0"/>
    <n v="0"/>
    <n v="0"/>
    <n v="0"/>
    <n v="0"/>
  </r>
  <r>
    <n v="63"/>
    <s v="SWZ"/>
    <s v="Eswatini"/>
    <s v="Sub-Saharan Africa"/>
    <x v="2"/>
    <n v="0"/>
    <n v="0"/>
    <x v="1"/>
    <s v="na"/>
    <n v="2"/>
    <s v="na"/>
    <n v="4471598726.6435986"/>
    <n v="0"/>
    <n v="0"/>
    <n v="0"/>
    <n v="0"/>
    <n v="0"/>
    <n v="0"/>
    <n v="0"/>
    <n v="0"/>
    <n v="0"/>
    <n v="0"/>
    <n v="0"/>
    <n v="0"/>
    <n v="0"/>
    <n v="0"/>
    <n v="0"/>
    <s v="na"/>
    <s v="na"/>
    <s v="na"/>
    <s v="na"/>
    <s v="na"/>
    <s v="na"/>
    <n v="0"/>
    <s v="na"/>
    <s v="na"/>
    <s v="na"/>
    <n v="131198000"/>
    <n v="260000"/>
    <n v="-130938000"/>
    <n v="131458000"/>
    <n v="1841927000"/>
    <n v="2001762000"/>
    <n v="159835000"/>
    <n v="3843689000"/>
    <n v="7.1228664328173708E-2"/>
    <n v="1.2988557081211453E-4"/>
    <n v="7.3719251363131577E-4"/>
    <n v="9.675254371932689E-4"/>
    <n v="3.4200998051611357E-2"/>
    <n v="2.9398433991118193E-2"/>
    <n v="0"/>
    <s v="na"/>
    <s v="na"/>
    <s v="na"/>
    <s v="na"/>
    <s v="na"/>
    <s v="na"/>
    <s v="na"/>
    <n v="0"/>
    <n v="0"/>
    <n v="0"/>
    <n v="0"/>
    <n v="0"/>
    <n v="0"/>
  </r>
  <r>
    <n v="68"/>
    <s v="PYF"/>
    <s v="French Polynesia"/>
    <s v="East Asia &amp; Pacific"/>
    <x v="1"/>
    <n v="0"/>
    <n v="0"/>
    <x v="1"/>
    <s v="na"/>
    <n v="0"/>
    <s v="na"/>
    <n v="3447543137.9414983"/>
    <n v="0"/>
    <n v="0"/>
    <n v="0"/>
    <n v="0"/>
    <n v="0"/>
    <n v="0"/>
    <n v="0"/>
    <n v="0"/>
    <n v="0"/>
    <n v="0"/>
    <n v="0"/>
    <n v="0"/>
    <n v="0"/>
    <n v="0"/>
    <n v="0"/>
    <s v="na"/>
    <s v="na"/>
    <s v="na"/>
    <s v="na"/>
    <s v="na"/>
    <s v="na"/>
    <n v="0"/>
    <s v="na"/>
    <s v="na"/>
    <s v="na"/>
    <n v="99339000"/>
    <n v="6805000"/>
    <n v="-92534000"/>
    <n v="106144000"/>
    <n v="1959833000"/>
    <n v="183564000"/>
    <n v="-1776269000"/>
    <n v="2143397000"/>
    <n v="5.0687482045664096E-2"/>
    <n v="3.7071539081737159E-2"/>
    <n v="7.8438190849452918E-4"/>
    <n v="8.8723254489267561E-5"/>
    <n v="4.9521390577667135E-2"/>
    <n v="3.0788302206242377E-2"/>
    <n v="2"/>
    <n v="4858309351.0989399"/>
    <n v="0"/>
    <n v="0"/>
    <n v="2"/>
    <n v="4858309351.0989399"/>
    <n v="0"/>
    <n v="0"/>
    <n v="1.4092091546676917"/>
    <n v="0"/>
    <n v="1.4092091546676917"/>
    <n v="0"/>
    <n v="285782903.00581998"/>
    <n v="8.2894656156923027E-2"/>
  </r>
  <r>
    <n v="70"/>
    <s v="GMB"/>
    <s v="Gambia"/>
    <s v="Sub-Saharan Africa"/>
    <x v="3"/>
    <n v="0"/>
    <n v="0"/>
    <x v="0"/>
    <n v="2018"/>
    <n v="1"/>
    <n v="2013"/>
    <n v="1826073739.8252184"/>
    <n v="0"/>
    <n v="0"/>
    <n v="0"/>
    <n v="0"/>
    <n v="0"/>
    <n v="0"/>
    <n v="0"/>
    <n v="0"/>
    <n v="0"/>
    <n v="0"/>
    <n v="0"/>
    <n v="0"/>
    <n v="0"/>
    <n v="0"/>
    <n v="0"/>
    <s v="na"/>
    <s v="na"/>
    <s v="na"/>
    <s v="na"/>
    <s v="na"/>
    <s v="na"/>
    <n v="0"/>
    <s v="na"/>
    <s v="na"/>
    <s v="na"/>
    <n v="52339000"/>
    <n v="3327000"/>
    <n v="-49012000"/>
    <n v="55666000"/>
    <n v="494032000"/>
    <n v="24602000"/>
    <n v="-469430000"/>
    <n v="518634000"/>
    <n v="0.10594253003854001"/>
    <n v="0.13523290789366718"/>
    <n v="1.9772590981852496E-4"/>
    <n v="1.1891054384002093E-5"/>
    <n v="0.1073319527836586"/>
    <n v="3.0483982539132311E-2"/>
    <n v="16"/>
    <n v="511411700.70763052"/>
    <n v="12"/>
    <n v="169333815.70763054"/>
    <n v="3"/>
    <n v="177077885"/>
    <n v="1"/>
    <n v="165000000"/>
    <n v="0.28006081548304834"/>
    <n v="9.2731094048720195E-2"/>
    <n v="9.6971924593225303E-2"/>
    <n v="9.0357796841102858E-2"/>
    <n v="30083041.218095914"/>
    <n v="1.6474165616649904E-2"/>
  </r>
  <r>
    <n v="75"/>
    <s v="GRL"/>
    <s v="Greenland"/>
    <s v="Europe &amp; Central Asia"/>
    <x v="1"/>
    <n v="0"/>
    <n v="0"/>
    <x v="1"/>
    <s v="na"/>
    <n v="0"/>
    <s v="na"/>
    <s v="na"/>
    <n v="0"/>
    <n v="0"/>
    <n v="0"/>
    <n v="0"/>
    <n v="0"/>
    <n v="0"/>
    <n v="0"/>
    <n v="0"/>
    <n v="0"/>
    <n v="0"/>
    <n v="0"/>
    <n v="0"/>
    <n v="0"/>
    <n v="0"/>
    <n v="0"/>
    <s v="na"/>
    <s v="na"/>
    <s v="na"/>
    <s v="na"/>
    <s v="na"/>
    <s v="na"/>
    <n v="0"/>
    <s v="na"/>
    <s v="na"/>
    <s v="na"/>
    <n v="809000"/>
    <n v="273714000"/>
    <n v="272905000"/>
    <n v="274523000"/>
    <n v="1015021000"/>
    <n v="1294505000"/>
    <n v="279484000"/>
    <n v="2309526000"/>
    <n v="7.9702784474409885E-4"/>
    <n v="0.2114429839977443"/>
    <n v="4.0624079150724856E-4"/>
    <n v="6.2568203216659742E-4"/>
    <n v="0.11886551612755171"/>
    <s v="na"/>
    <s v="na"/>
    <s v="na"/>
    <s v="na"/>
    <s v="na"/>
    <s v="na"/>
    <s v="na"/>
    <s v="na"/>
    <s v="na"/>
    <n v="0"/>
    <n v="0"/>
    <n v="0"/>
    <n v="0"/>
    <n v="0"/>
    <n v="0"/>
  </r>
  <r>
    <n v="76"/>
    <s v="GRD"/>
    <s v="Grenada"/>
    <s v="Latin America &amp; Caribbean"/>
    <x v="0"/>
    <n v="0"/>
    <n v="0"/>
    <x v="0"/>
    <n v="2018"/>
    <n v="1"/>
    <n v="2005"/>
    <n v="1211403703.7037036"/>
    <n v="0"/>
    <n v="0"/>
    <n v="0"/>
    <n v="0"/>
    <n v="0"/>
    <n v="0"/>
    <n v="0"/>
    <n v="0"/>
    <n v="0"/>
    <n v="0"/>
    <n v="0"/>
    <n v="0"/>
    <n v="0"/>
    <n v="0"/>
    <n v="0"/>
    <s v="na"/>
    <s v="na"/>
    <s v="na"/>
    <s v="na"/>
    <s v="na"/>
    <s v="na"/>
    <n v="0"/>
    <s v="na"/>
    <s v="na"/>
    <s v="na"/>
    <n v="15187000"/>
    <n v="17000"/>
    <n v="-15170000"/>
    <n v="15204000"/>
    <n v="479835000"/>
    <n v="34481000"/>
    <n v="-445354000"/>
    <n v="514316000"/>
    <n v="3.1650463180051477E-2"/>
    <n v="4.9302514428235843E-4"/>
    <n v="1.9204385938111686E-4"/>
    <n v="1.6665939607136665E-5"/>
    <n v="2.9561592483998166E-2"/>
    <n v="1.2550729334503286E-2"/>
    <n v="93"/>
    <n v="534861952.30882555"/>
    <n v="86"/>
    <n v="521107985.90035743"/>
    <n v="6"/>
    <n v="5096676.5237709163"/>
    <n v="1"/>
    <n v="8657289.8846972194"/>
    <n v="0.44152246742647161"/>
    <n v="0.43016872435435022"/>
    <n v="4.2072485895399813E-3"/>
    <n v="7.1464944825814234E-3"/>
    <n v="31462467.782872092"/>
    <n v="2.5971909848615977E-2"/>
  </r>
  <r>
    <n v="77"/>
    <s v="GUM"/>
    <s v="Guam"/>
    <s v="East Asia &amp; Pacific"/>
    <x v="1"/>
    <n v="0"/>
    <n v="0"/>
    <x v="1"/>
    <s v="na"/>
    <n v="0"/>
    <s v="na"/>
    <n v="6311000000"/>
    <n v="0"/>
    <n v="0"/>
    <n v="0"/>
    <n v="0"/>
    <n v="0"/>
    <n v="0"/>
    <n v="0"/>
    <n v="0"/>
    <n v="0"/>
    <n v="0"/>
    <n v="0"/>
    <n v="0"/>
    <n v="0"/>
    <n v="0"/>
    <n v="0"/>
    <s v="na"/>
    <s v="na"/>
    <s v="na"/>
    <s v="na"/>
    <s v="na"/>
    <s v="na"/>
    <n v="0"/>
    <s v="na"/>
    <s v="na"/>
    <s v="na"/>
    <s v="na"/>
    <s v="na"/>
    <s v="na"/>
    <s v="na"/>
    <n v="0"/>
    <n v="717000"/>
    <n v="717000"/>
    <n v="717000"/>
    <s v="na"/>
    <s v="na"/>
    <s v="na"/>
    <s v="na"/>
    <s v="na"/>
    <s v="na"/>
    <n v="1"/>
    <n v="0"/>
    <n v="0"/>
    <n v="0"/>
    <n v="1"/>
    <n v="0"/>
    <n v="0"/>
    <n v="0"/>
    <n v="0"/>
    <n v="0"/>
    <n v="0"/>
    <n v="0"/>
    <n v="0"/>
    <n v="0"/>
  </r>
  <r>
    <n v="82"/>
    <s v="HTI"/>
    <s v="Haiti"/>
    <s v="Latin America &amp; Caribbean"/>
    <x v="2"/>
    <n v="0"/>
    <n v="0"/>
    <x v="1"/>
    <s v="na"/>
    <n v="2"/>
    <s v="na"/>
    <n v="14332163266.397657"/>
    <n v="0"/>
    <n v="0"/>
    <n v="0"/>
    <n v="0"/>
    <n v="0"/>
    <n v="0"/>
    <n v="0"/>
    <n v="0"/>
    <n v="0"/>
    <n v="0"/>
    <n v="0"/>
    <n v="0"/>
    <n v="0"/>
    <n v="0"/>
    <n v="0"/>
    <s v="na"/>
    <s v="na"/>
    <s v="na"/>
    <s v="na"/>
    <s v="na"/>
    <s v="na"/>
    <n v="0"/>
    <s v="na"/>
    <s v="na"/>
    <s v="na"/>
    <n v="561068000"/>
    <n v="4488000"/>
    <n v="-556580000"/>
    <n v="565556000"/>
    <n v="3831949000"/>
    <n v="1342010000"/>
    <n v="-2489939000"/>
    <n v="5173959000"/>
    <n v="0.14641844137278445"/>
    <n v="3.3442373752803631E-3"/>
    <n v="1.5336569339702425E-3"/>
    <n v="6.4864295154355939E-4"/>
    <n v="0.1093081719433803"/>
    <n v="3.946061662065832E-2"/>
    <n v="33"/>
    <n v="2036786080.495379"/>
    <n v="30"/>
    <n v="20273430.876614835"/>
    <n v="1"/>
    <n v="0"/>
    <n v="2"/>
    <n v="2016512649.6187642"/>
    <n v="0.14211295549993538"/>
    <n v="1.4145408826137728E-3"/>
    <n v="0"/>
    <n v="0.14069841461732163"/>
    <n v="119810945.91149288"/>
    <n v="8.3595856176432587E-3"/>
  </r>
  <r>
    <n v="84"/>
    <s v="HKG"/>
    <s v="Hong Kong, China"/>
    <s v="East Asia &amp; Pacific"/>
    <x v="1"/>
    <n v="0"/>
    <n v="1"/>
    <x v="1"/>
    <s v="na"/>
    <n v="0"/>
    <s v="na"/>
    <n v="363016373358.5166"/>
    <n v="0"/>
    <n v="0"/>
    <n v="0"/>
    <n v="0"/>
    <n v="0"/>
    <n v="0"/>
    <n v="0"/>
    <n v="0"/>
    <n v="0"/>
    <n v="0"/>
    <n v="0"/>
    <n v="0"/>
    <n v="0"/>
    <n v="0"/>
    <n v="1"/>
    <n v="0"/>
    <n v="0"/>
    <n v="0"/>
    <n v="0"/>
    <n v="0"/>
    <n v="0"/>
    <n v="0"/>
    <n v="0"/>
    <n v="0"/>
    <n v="0"/>
    <n v="264601840000"/>
    <n v="296069015000"/>
    <n v="31467175000"/>
    <n v="560670855000"/>
    <n v="578590151000"/>
    <n v="535711019000"/>
    <n v="-42879132000"/>
    <n v="1114301170000"/>
    <n v="0.45732171476247613"/>
    <n v="0.55266553141405517"/>
    <n v="0.23156853001123964"/>
    <n v="0.2589289025704487"/>
    <n v="0.50315917284731915"/>
    <n v="1.5444781451945115"/>
    <s v="na"/>
    <s v="na"/>
    <s v="na"/>
    <s v="na"/>
    <s v="na"/>
    <s v="na"/>
    <s v="na"/>
    <s v="na"/>
    <n v="0"/>
    <n v="0"/>
    <n v="0"/>
    <n v="0"/>
    <n v="0"/>
    <n v="0"/>
  </r>
  <r>
    <n v="86"/>
    <s v="ISL"/>
    <s v="Iceland"/>
    <s v="Europe &amp; Central Asia"/>
    <x v="1"/>
    <n v="3"/>
    <n v="1"/>
    <x v="1"/>
    <s v="na"/>
    <n v="0"/>
    <s v="na"/>
    <n v="24857740445.040115"/>
    <n v="0"/>
    <n v="0"/>
    <n v="0"/>
    <n v="0"/>
    <n v="0"/>
    <n v="0"/>
    <n v="0"/>
    <n v="0"/>
    <n v="0"/>
    <n v="0"/>
    <n v="0"/>
    <n v="0"/>
    <n v="0"/>
    <n v="0"/>
    <n v="2"/>
    <n v="0"/>
    <n v="0"/>
    <n v="0"/>
    <n v="0"/>
    <n v="0"/>
    <n v="0"/>
    <n v="0"/>
    <n v="0"/>
    <n v="0"/>
    <n v="0"/>
    <n v="483334000"/>
    <n v="129845000"/>
    <n v="-353489000"/>
    <n v="613179000"/>
    <n v="6560654000"/>
    <n v="5231459000"/>
    <n v="-1329195000"/>
    <n v="11792113000"/>
    <n v="7.3671618713622142E-2"/>
    <n v="2.4820035863800136E-2"/>
    <n v="2.6257636775645003E-3"/>
    <n v="2.5285571692007648E-3"/>
    <n v="5.1999077688621199E-2"/>
    <n v="2.4667527660276464E-2"/>
    <s v="na"/>
    <s v="na"/>
    <s v="na"/>
    <s v="na"/>
    <s v="na"/>
    <s v="na"/>
    <s v="na"/>
    <s v="na"/>
    <n v="0"/>
    <n v="0"/>
    <n v="0"/>
    <n v="0"/>
    <n v="0"/>
    <n v="0"/>
  </r>
  <r>
    <n v="99"/>
    <s v="KIR"/>
    <s v="Kiribati"/>
    <s v="East Asia &amp; Pacific"/>
    <x v="2"/>
    <n v="0"/>
    <n v="0"/>
    <x v="0"/>
    <n v="2020"/>
    <n v="1"/>
    <n v="2019"/>
    <n v="194647201.94647205"/>
    <n v="0"/>
    <n v="0"/>
    <n v="0"/>
    <n v="0"/>
    <n v="0"/>
    <n v="0"/>
    <n v="0"/>
    <n v="0"/>
    <n v="0"/>
    <n v="0"/>
    <n v="0"/>
    <n v="0"/>
    <n v="0"/>
    <n v="0"/>
    <n v="0"/>
    <s v="na"/>
    <s v="na"/>
    <s v="na"/>
    <s v="na"/>
    <s v="na"/>
    <s v="na"/>
    <n v="0"/>
    <s v="na"/>
    <s v="na"/>
    <s v="na"/>
    <n v="20208000"/>
    <n v="1919000"/>
    <n v="-18289000"/>
    <n v="22127000"/>
    <n v="104950000"/>
    <n v="98354000"/>
    <n v="-6596000"/>
    <n v="203304000"/>
    <n v="0.19254883277751311"/>
    <n v="1.9511153588059459E-2"/>
    <n v="4.2004028555749819E-5"/>
    <n v="4.7538117343473782E-5"/>
    <n v="0.10883701255263055"/>
    <n v="0.11367746249999998"/>
    <n v="1"/>
    <n v="11932058.166570701"/>
    <n v="1"/>
    <n v="11932058.166570701"/>
    <n v="0"/>
    <n v="0"/>
    <n v="0"/>
    <n v="0"/>
    <n v="6.1300948830756964E-2"/>
    <n v="6.1300948830756964E-2"/>
    <n v="0"/>
    <n v="0"/>
    <n v="701885.77450415888"/>
    <n v="3.6059381665151159E-3"/>
  </r>
  <r>
    <n v="102"/>
    <s v="XXK"/>
    <s v="Kosovo"/>
    <s v="Europe &amp; Central Asia"/>
    <x v="0"/>
    <n v="0"/>
    <n v="0"/>
    <x v="1"/>
    <s v="na"/>
    <n v="0"/>
    <s v="na"/>
    <n v="7953156068.0698614"/>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07"/>
    <s v="LBN"/>
    <s v="Lebanon"/>
    <s v="Middle East &amp; North Africa"/>
    <x v="0"/>
    <n v="0"/>
    <n v="0"/>
    <x v="0"/>
    <n v="2017"/>
    <n v="0"/>
    <s v="na"/>
    <n v="51991634491.634491"/>
    <n v="0"/>
    <n v="0"/>
    <n v="0"/>
    <n v="0"/>
    <n v="0"/>
    <n v="0"/>
    <n v="0"/>
    <n v="0"/>
    <n v="0"/>
    <n v="0"/>
    <n v="0"/>
    <n v="0"/>
    <n v="0"/>
    <n v="0"/>
    <n v="3"/>
    <n v="0"/>
    <n v="0"/>
    <n v="0"/>
    <n v="0"/>
    <n v="0"/>
    <n v="0"/>
    <n v="0"/>
    <n v="0"/>
    <n v="0"/>
    <n v="0"/>
    <n v="1626506000"/>
    <n v="13593000"/>
    <n v="-1612913000"/>
    <n v="1640099000"/>
    <n v="19239394000"/>
    <n v="3731350000"/>
    <n v="-15508044000"/>
    <n v="22970744000"/>
    <n v="8.4540396646588759E-2"/>
    <n v="3.6429174427486033E-3"/>
    <n v="7.7001625056819607E-3"/>
    <n v="1.8034991372955942E-3"/>
    <n v="7.1399472302682052E-2"/>
    <n v="3.1545440262392477E-2"/>
    <n v="71"/>
    <n v="171154932.98376152"/>
    <n v="68"/>
    <n v="170202739.3696748"/>
    <n v="3"/>
    <n v="952193.61408672202"/>
    <n v="0"/>
    <n v="0"/>
    <n v="3.2919706152208109E-3"/>
    <n v="3.2736562532393668E-3"/>
    <n v="1.8314361981443976E-5"/>
    <n v="0"/>
    <n v="10067937.234338913"/>
    <n v="1.9364533030710653E-4"/>
  </r>
  <r>
    <n v="111"/>
    <s v="LIE"/>
    <s v="Liechtenstein"/>
    <s v="Europe &amp; Central Asia"/>
    <x v="1"/>
    <n v="0"/>
    <n v="0"/>
    <x v="1"/>
    <s v="na"/>
    <n v="0"/>
    <s v="na"/>
    <n v="6839145106.8616419"/>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112"/>
    <s v="LTU"/>
    <s v="Lithuania"/>
    <s v="Europe &amp; Central Asia"/>
    <x v="1"/>
    <n v="0"/>
    <n v="0"/>
    <x v="0"/>
    <n v="2017"/>
    <n v="0"/>
    <s v="na"/>
    <n v="54639938780.235207"/>
    <n v="0"/>
    <n v="0"/>
    <n v="0"/>
    <n v="0"/>
    <n v="0"/>
    <n v="0"/>
    <n v="0"/>
    <n v="0"/>
    <n v="0"/>
    <n v="0"/>
    <n v="0"/>
    <n v="0"/>
    <n v="0"/>
    <n v="0"/>
    <n v="0"/>
    <s v="na"/>
    <s v="na"/>
    <s v="na"/>
    <s v="na"/>
    <s v="na"/>
    <s v="na"/>
    <n v="0"/>
    <s v="na"/>
    <s v="na"/>
    <s v="na"/>
    <n v="1039964000"/>
    <n v="309140000"/>
    <n v="-730824000"/>
    <n v="1349104000"/>
    <n v="35759416000"/>
    <n v="33150772000"/>
    <n v="-2608644000"/>
    <n v="68910188000"/>
    <n v="2.9082242282703945E-2"/>
    <n v="9.3252730283324928E-3"/>
    <n v="1.4311953604582534E-2"/>
    <n v="1.6022991330934634E-2"/>
    <n v="1.957771469147639E-2"/>
    <n v="2.4690803652364424E-2"/>
    <s v="na"/>
    <s v="na"/>
    <s v="na"/>
    <s v="na"/>
    <s v="na"/>
    <s v="na"/>
    <s v="na"/>
    <s v="na"/>
    <n v="0"/>
    <n v="0"/>
    <n v="0"/>
    <n v="0"/>
    <n v="0"/>
    <n v="0"/>
  </r>
  <r>
    <n v="114"/>
    <s v="MAC"/>
    <s v="Macao, China"/>
    <s v="East Asia &amp; Pacific"/>
    <x v="1"/>
    <n v="0"/>
    <n v="1"/>
    <x v="1"/>
    <s v="na"/>
    <n v="0"/>
    <s v="na"/>
    <n v="55153707948.702072"/>
    <n v="0"/>
    <n v="0"/>
    <n v="0"/>
    <n v="0"/>
    <n v="0"/>
    <n v="0"/>
    <n v="0"/>
    <n v="0"/>
    <n v="0"/>
    <n v="0"/>
    <n v="0"/>
    <n v="0"/>
    <n v="0"/>
    <n v="0"/>
    <n v="0"/>
    <s v="na"/>
    <s v="na"/>
    <s v="na"/>
    <s v="na"/>
    <s v="na"/>
    <s v="na"/>
    <n v="0"/>
    <s v="na"/>
    <s v="na"/>
    <s v="na"/>
    <n v="3982601000"/>
    <n v="106308000"/>
    <n v="-3876293000"/>
    <n v="4088909000"/>
    <n v="12024019000"/>
    <n v="1023983000"/>
    <n v="-11000036000"/>
    <n v="13048002000"/>
    <n v="0.33122045133162215"/>
    <n v="0.1038181297931704"/>
    <n v="4.8123605281646343E-3"/>
    <n v="4.9492876763245332E-4"/>
    <n v="0.31337433884513505"/>
    <n v="7.41366111559182E-2"/>
    <s v="na"/>
    <s v="na"/>
    <s v="na"/>
    <s v="na"/>
    <s v="na"/>
    <s v="na"/>
    <s v="na"/>
    <s v="na"/>
    <n v="0"/>
    <n v="0"/>
    <n v="0"/>
    <n v="0"/>
    <n v="0"/>
    <n v="0"/>
  </r>
  <r>
    <n v="121"/>
    <s v="MHL"/>
    <s v="Marshall Islands"/>
    <s v="East Asia &amp; Pacific"/>
    <x v="0"/>
    <n v="0"/>
    <n v="0"/>
    <x v="1"/>
    <s v="na"/>
    <n v="2"/>
    <s v="na"/>
    <n v="239462200"/>
    <n v="0"/>
    <n v="0"/>
    <n v="0"/>
    <n v="0"/>
    <n v="0"/>
    <n v="0"/>
    <n v="0"/>
    <n v="0"/>
    <n v="0"/>
    <n v="0"/>
    <n v="0"/>
    <n v="0"/>
    <n v="0"/>
    <n v="0"/>
    <n v="0"/>
    <s v="na"/>
    <s v="na"/>
    <s v="na"/>
    <s v="na"/>
    <s v="na"/>
    <s v="na"/>
    <n v="0"/>
    <s v="na"/>
    <s v="na"/>
    <s v="na"/>
    <n v="2384715000"/>
    <n v="45069000"/>
    <n v="-2339646000"/>
    <n v="2429784000"/>
    <n v="11958628000"/>
    <n v="1255808000"/>
    <n v="-10702820000"/>
    <n v="13214436000"/>
    <n v="0.19941376218074514"/>
    <n v="3.5888447915604936E-2"/>
    <n v="4.7861891567373928E-3"/>
    <n v="6.0697834419416719E-4"/>
    <n v="0.18387345475811454"/>
    <n v="10.146837371409767"/>
    <n v="41"/>
    <n v="3430241540.1422386"/>
    <n v="0"/>
    <n v="0"/>
    <n v="41"/>
    <n v="3430241540.1422386"/>
    <n v="0"/>
    <n v="0"/>
    <n v="14.324772511662545"/>
    <n v="0"/>
    <n v="14.324772511662545"/>
    <n v="0"/>
    <n v="201778914.12601402"/>
    <n v="0.84263367715662019"/>
  </r>
  <r>
    <n v="125"/>
    <s v="FSM"/>
    <s v="Micronesia"/>
    <s v="East Asia &amp; Pacific"/>
    <x v="2"/>
    <n v="0"/>
    <n v="0"/>
    <x v="0"/>
    <n v="2018"/>
    <n v="0"/>
    <s v="na"/>
    <n v="408060600"/>
    <n v="0"/>
    <n v="0"/>
    <n v="0"/>
    <n v="0"/>
    <n v="0"/>
    <n v="0"/>
    <n v="0"/>
    <n v="0"/>
    <n v="0"/>
    <n v="0"/>
    <n v="0"/>
    <n v="0"/>
    <n v="0"/>
    <n v="0"/>
    <n v="0"/>
    <s v="na"/>
    <s v="na"/>
    <s v="na"/>
    <s v="na"/>
    <s v="na"/>
    <s v="na"/>
    <n v="0"/>
    <s v="na"/>
    <s v="na"/>
    <s v="na"/>
    <n v="18739000"/>
    <n v="12575000"/>
    <n v="-6164000"/>
    <n v="31314000"/>
    <n v="129962000"/>
    <n v="143091000"/>
    <n v="13129000"/>
    <n v="273053000"/>
    <n v="0.14418830119573414"/>
    <n v="8.7881138576150847E-2"/>
    <n v="5.2014555113505077E-5"/>
    <n v="6.9161160184588383E-5"/>
    <n v="0.1146810326200408"/>
    <n v="7.6738602060576297E-2"/>
    <n v="142"/>
    <n v="221465776.44672751"/>
    <n v="129"/>
    <n v="191438044.71543893"/>
    <n v="12"/>
    <n v="3437802.311718151"/>
    <n v="1"/>
    <n v="26589929.419570401"/>
    <n v="0.54272766458395516"/>
    <n v="0.46914121264204123"/>
    <n v="8.4247347372379267E-3"/>
    <n v="6.5161717204675978E-2"/>
    <n v="13027398.614513382"/>
    <n v="3.1925156740232656E-2"/>
  </r>
  <r>
    <n v="133"/>
    <s v="NRU"/>
    <s v="Nauru"/>
    <s v="East Asia &amp; Pacific"/>
    <x v="1"/>
    <n v="0"/>
    <n v="0"/>
    <x v="1"/>
    <s v="na"/>
    <n v="2"/>
    <s v="na"/>
    <n v="118223430.12444571"/>
    <n v="0"/>
    <n v="0"/>
    <n v="0"/>
    <n v="0"/>
    <n v="0"/>
    <n v="0"/>
    <n v="0"/>
    <n v="0"/>
    <n v="0"/>
    <n v="0"/>
    <n v="0"/>
    <n v="0"/>
    <n v="0"/>
    <n v="0"/>
    <n v="0"/>
    <s v="na"/>
    <s v="na"/>
    <s v="na"/>
    <s v="na"/>
    <s v="na"/>
    <s v="na"/>
    <n v="0"/>
    <s v="na"/>
    <s v="na"/>
    <s v="na"/>
    <n v="1222000"/>
    <n v="23000"/>
    <n v="-1199000"/>
    <n v="1245000"/>
    <n v="96779000"/>
    <n v="34450000"/>
    <n v="-62329000"/>
    <n v="131229000"/>
    <n v="1.2626706206925057E-2"/>
    <n v="6.6763425253991288E-4"/>
    <n v="3.8733757785582768E-5"/>
    <n v="1.665095616327421E-5"/>
    <n v="9.4872322428731452E-3"/>
    <n v="1.0530907441016335E-2"/>
    <n v="13"/>
    <n v="142252708.66030189"/>
    <n v="12"/>
    <n v="142252708.66030189"/>
    <n v="0"/>
    <n v="0"/>
    <n v="1"/>
    <n v="0"/>
    <n v="1.2032530989040178"/>
    <n v="1.2032530989040178"/>
    <n v="0"/>
    <n v="0"/>
    <n v="8367806.3917824645"/>
    <n v="7.0779594053177505E-2"/>
  </r>
  <r>
    <n v="136"/>
    <s v="NCL"/>
    <s v="New Caledonia"/>
    <s v="East Asia &amp; Pacific"/>
    <x v="1"/>
    <n v="0"/>
    <n v="0"/>
    <x v="1"/>
    <s v="na"/>
    <n v="0"/>
    <s v="na"/>
    <n v="2682347064.3641982"/>
    <n v="0"/>
    <n v="0"/>
    <n v="0"/>
    <n v="0"/>
    <n v="0"/>
    <n v="0"/>
    <n v="0"/>
    <n v="0"/>
    <n v="0"/>
    <n v="0"/>
    <n v="0"/>
    <n v="0"/>
    <n v="0"/>
    <n v="0"/>
    <n v="0"/>
    <s v="na"/>
    <s v="na"/>
    <s v="na"/>
    <s v="na"/>
    <s v="na"/>
    <s v="na"/>
    <n v="0"/>
    <s v="na"/>
    <s v="na"/>
    <s v="na"/>
    <n v="155403000"/>
    <n v="1040695000"/>
    <n v="885292000"/>
    <n v="1196098000"/>
    <n v="2551690000"/>
    <n v="1811254000"/>
    <n v="-740436000"/>
    <n v="4362944000"/>
    <n v="6.0901990445547852E-2"/>
    <n v="0.5745715399386282"/>
    <n v="1.021260215582861E-3"/>
    <n v="8.754458912788118E-4"/>
    <n v="0.27414929002068328"/>
    <n v="0.44591470503221903"/>
    <n v="0"/>
    <s v="na"/>
    <s v="na"/>
    <s v="na"/>
    <s v="na"/>
    <s v="na"/>
    <s v="na"/>
    <s v="na"/>
    <n v="0"/>
    <n v="0"/>
    <n v="0"/>
    <n v="0"/>
    <n v="0"/>
    <n v="0"/>
  </r>
  <r>
    <n v="141"/>
    <s v="NIU"/>
    <s v="Niue"/>
    <s v="East Asia &amp; Pacific"/>
    <x v="0"/>
    <n v="0"/>
    <n v="0"/>
    <x v="0"/>
    <n v="2018"/>
    <n v="0"/>
    <s v="na"/>
    <s v="na"/>
    <n v="0"/>
    <n v="0"/>
    <n v="0"/>
    <n v="0"/>
    <n v="0"/>
    <n v="0"/>
    <n v="0"/>
    <n v="0"/>
    <n v="0"/>
    <n v="0"/>
    <n v="0"/>
    <n v="0"/>
    <n v="0"/>
    <n v="0"/>
    <n v="0"/>
    <s v="na"/>
    <s v="na"/>
    <s v="na"/>
    <s v="na"/>
    <s v="na"/>
    <s v="na"/>
    <n v="0"/>
    <s v="na"/>
    <s v="na"/>
    <s v="na"/>
    <s v="na"/>
    <s v="na"/>
    <s v="na"/>
    <s v="na"/>
    <n v="0"/>
    <n v="64147000"/>
    <n v="64147000"/>
    <n v="64147000"/>
    <s v="na"/>
    <s v="na"/>
    <s v="na"/>
    <s v="na"/>
    <s v="na"/>
    <s v="na"/>
    <n v="23"/>
    <n v="23290162.04071331"/>
    <n v="22"/>
    <n v="23290162.04071331"/>
    <n v="0"/>
    <n v="0"/>
    <n v="1"/>
    <n v="0"/>
    <n v="0"/>
    <n v="0"/>
    <n v="0"/>
    <n v="0"/>
    <n v="1370009.5318066652"/>
    <n v="0"/>
  </r>
  <r>
    <n v="143"/>
    <s v="MNP"/>
    <s v="Northern Mariana Islands"/>
    <s v="East Asia &amp; Pacific"/>
    <x v="1"/>
    <n v="0"/>
    <n v="0"/>
    <x v="1"/>
    <s v="na"/>
    <n v="0"/>
    <s v="na"/>
    <n v="1182000000"/>
    <n v="0"/>
    <n v="0"/>
    <n v="0"/>
    <n v="0"/>
    <n v="0"/>
    <n v="0"/>
    <n v="0"/>
    <n v="0"/>
    <n v="0"/>
    <n v="0"/>
    <n v="0"/>
    <n v="0"/>
    <n v="0"/>
    <n v="0"/>
    <n v="0"/>
    <s v="na"/>
    <s v="na"/>
    <s v="na"/>
    <s v="na"/>
    <s v="na"/>
    <s v="na"/>
    <n v="0"/>
    <s v="na"/>
    <s v="na"/>
    <s v="na"/>
    <s v="na"/>
    <s v="na"/>
    <s v="na"/>
    <s v="na"/>
    <n v="170556000"/>
    <n v="4890000"/>
    <n v="-165666000"/>
    <n v="175446000"/>
    <s v="na"/>
    <s v="na"/>
    <s v="na"/>
    <s v="na"/>
    <s v="na"/>
    <s v="na"/>
    <n v="0"/>
    <s v="na"/>
    <s v="na"/>
    <s v="na"/>
    <s v="na"/>
    <s v="na"/>
    <s v="na"/>
    <s v="na"/>
    <n v="0"/>
    <n v="0"/>
    <n v="0"/>
    <n v="0"/>
    <n v="0"/>
    <n v="0"/>
  </r>
  <r>
    <n v="147"/>
    <s v="PLW"/>
    <s v="Palau"/>
    <s v="East Asia &amp; Pacific"/>
    <x v="1"/>
    <n v="0"/>
    <n v="0"/>
    <x v="1"/>
    <s v="na"/>
    <n v="2"/>
    <s v="na"/>
    <n v="268354900"/>
    <n v="0"/>
    <n v="0"/>
    <n v="0"/>
    <n v="0"/>
    <n v="0"/>
    <n v="0"/>
    <n v="0"/>
    <n v="0"/>
    <n v="0"/>
    <n v="0"/>
    <n v="0"/>
    <n v="0"/>
    <n v="0"/>
    <n v="0"/>
    <n v="0"/>
    <s v="na"/>
    <s v="na"/>
    <s v="na"/>
    <s v="na"/>
    <s v="na"/>
    <s v="na"/>
    <n v="0"/>
    <s v="na"/>
    <s v="na"/>
    <s v="na"/>
    <n v="18675000"/>
    <n v="59000"/>
    <n v="-18616000"/>
    <n v="18734000"/>
    <n v="110948000"/>
    <n v="22999000"/>
    <n v="-87949000"/>
    <n v="133947000"/>
    <n v="0.16832209683815841"/>
    <n v="2.5653289273446672E-3"/>
    <n v="4.4404601812323307E-5"/>
    <n v="1.1116265335243645E-5"/>
    <n v="0.13986128842004675"/>
    <n v="6.9810538208916625E-2"/>
    <n v="1"/>
    <n v="52148600.5662295"/>
    <n v="0"/>
    <n v="0"/>
    <n v="1"/>
    <n v="52148600.5662295"/>
    <n v="0"/>
    <n v="0"/>
    <n v="0.194326992226449"/>
    <n v="0"/>
    <n v="0.194326992226449"/>
    <n v="0"/>
    <n v="3067564.7391899708"/>
    <n v="1.1430999542732296E-2"/>
  </r>
  <r>
    <n v="148"/>
    <s v="PSE"/>
    <s v="Palestine"/>
    <s v="Middle East &amp; North Africa"/>
    <x v="2"/>
    <n v="0"/>
    <n v="0"/>
    <x v="1"/>
    <s v="na"/>
    <n v="0"/>
    <s v="na"/>
    <s v="na"/>
    <n v="0"/>
    <n v="0"/>
    <n v="0"/>
    <n v="0"/>
    <n v="0"/>
    <n v="0"/>
    <n v="0"/>
    <n v="0"/>
    <n v="0"/>
    <n v="0"/>
    <n v="0"/>
    <n v="0"/>
    <n v="0"/>
    <n v="0"/>
    <n v="0"/>
    <s v="na"/>
    <s v="na"/>
    <s v="na"/>
    <s v="na"/>
    <s v="na"/>
    <s v="na"/>
    <n v="0"/>
    <s v="na"/>
    <s v="na"/>
    <s v="na"/>
    <n v="447273"/>
    <n v="197"/>
    <n v="-447076"/>
    <n v="447470"/>
    <n v="6613454000"/>
    <n v="1103808000"/>
    <n v="-5509646000"/>
    <n v="7717262000"/>
    <n v="6.763077205950174E-5"/>
    <n v="1.7847306777990375E-7"/>
    <n v="2.6468957662519089E-3"/>
    <n v="5.3351113557826939E-4"/>
    <n v="5.7982999670090246E-5"/>
    <s v="na"/>
    <n v="30"/>
    <n v="104933428.34413904"/>
    <n v="28"/>
    <n v="97805103.913600281"/>
    <n v="1"/>
    <n v="0"/>
    <n v="1"/>
    <n v="7128324.4305387596"/>
    <n v="0"/>
    <n v="0"/>
    <n v="0"/>
    <n v="0"/>
    <n v="6172554.6084787669"/>
    <n v="0"/>
  </r>
  <r>
    <n v="151"/>
    <s v="PRY"/>
    <s v="Paraguay"/>
    <s v="Latin America &amp; Caribbean"/>
    <x v="0"/>
    <n v="0"/>
    <n v="0"/>
    <x v="1"/>
    <s v="na"/>
    <n v="2"/>
    <s v="na"/>
    <n v="37906944074.612778"/>
    <n v="0"/>
    <n v="0"/>
    <n v="0"/>
    <n v="0"/>
    <n v="0"/>
    <n v="0"/>
    <n v="0"/>
    <n v="0"/>
    <n v="0"/>
    <n v="0"/>
    <n v="0"/>
    <n v="0"/>
    <n v="0"/>
    <n v="0"/>
    <n v="0"/>
    <s v="na"/>
    <s v="na"/>
    <s v="na"/>
    <s v="na"/>
    <s v="na"/>
    <s v="na"/>
    <n v="0"/>
    <s v="na"/>
    <s v="na"/>
    <s v="na"/>
    <n v="1923749000"/>
    <n v="10749000"/>
    <n v="-1913000000"/>
    <n v="1934498000"/>
    <n v="12187407000"/>
    <n v="7652036000"/>
    <n v="-4535371000"/>
    <n v="19839443000"/>
    <n v="0.15784727629101089"/>
    <n v="1.4047241805971639E-3"/>
    <n v="4.8777531362414984E-3"/>
    <n v="3.6985113496602654E-3"/>
    <n v="9.7507677004843335E-2"/>
    <n v="5.1032813307036837E-2"/>
    <n v="3"/>
    <n v="63904893.787608638"/>
    <n v="0"/>
    <n v="0"/>
    <n v="0"/>
    <n v="0"/>
    <n v="3"/>
    <n v="63904893.787608638"/>
    <n v="1.6858360743040571E-3"/>
    <n v="0"/>
    <n v="0"/>
    <n v="1.6858360743040571E-3"/>
    <n v="3759111.3992710966"/>
    <n v="9.9166827900238645E-5"/>
  </r>
  <r>
    <n v="156"/>
    <s v="PRI"/>
    <s v="Puerto Rico"/>
    <s v="Latin America &amp; Caribbean"/>
    <x v="1"/>
    <n v="0"/>
    <n v="0"/>
    <x v="1"/>
    <s v="na"/>
    <n v="0"/>
    <s v="na"/>
    <n v="104914600000"/>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61"/>
    <s v="KNA"/>
    <s v="Saint Kitts and Nevis"/>
    <s v="Latin America &amp; Caribbean"/>
    <x v="1"/>
    <n v="0"/>
    <n v="0"/>
    <x v="1"/>
    <s v="na"/>
    <n v="2"/>
    <s v="na"/>
    <n v="1044711111.111111"/>
    <n v="0"/>
    <n v="0"/>
    <n v="0"/>
    <n v="0"/>
    <n v="0"/>
    <n v="0"/>
    <n v="0"/>
    <n v="0"/>
    <n v="0"/>
    <n v="0"/>
    <n v="0"/>
    <n v="0"/>
    <n v="0"/>
    <n v="0"/>
    <n v="0"/>
    <s v="na"/>
    <s v="na"/>
    <s v="na"/>
    <s v="na"/>
    <s v="na"/>
    <s v="na"/>
    <n v="0"/>
    <s v="na"/>
    <s v="na"/>
    <s v="na"/>
    <n v="9707000"/>
    <n v="363000"/>
    <n v="-9344000"/>
    <n v="10070000"/>
    <n v="335410000"/>
    <n v="78935000"/>
    <n v="-256475000"/>
    <n v="414345000"/>
    <n v="2.8940699442473392E-2"/>
    <n v="4.5987204662063727E-3"/>
    <n v="1.342407929288618E-4"/>
    <n v="3.8152198105894038E-5"/>
    <n v="2.4303418648710617E-2"/>
    <n v="9.6390283331915256E-3"/>
    <n v="0"/>
    <s v="na"/>
    <s v="na"/>
    <s v="na"/>
    <s v="na"/>
    <s v="na"/>
    <s v="na"/>
    <s v="na"/>
    <n v="0"/>
    <n v="0"/>
    <n v="0"/>
    <n v="0"/>
    <n v="0"/>
    <n v="0"/>
  </r>
  <r>
    <n v="162"/>
    <s v="LCA"/>
    <s v="Saint Lucia"/>
    <s v="Latin America &amp; Caribbean"/>
    <x v="0"/>
    <n v="0"/>
    <n v="0"/>
    <x v="1"/>
    <s v="na"/>
    <n v="2"/>
    <s v="na"/>
    <n v="2122450629.6296294"/>
    <n v="0"/>
    <n v="0"/>
    <n v="0"/>
    <n v="0"/>
    <n v="0"/>
    <n v="0"/>
    <n v="0"/>
    <n v="0"/>
    <n v="0"/>
    <n v="0"/>
    <n v="0"/>
    <n v="0"/>
    <n v="0"/>
    <n v="0"/>
    <n v="0"/>
    <s v="na"/>
    <s v="na"/>
    <s v="na"/>
    <s v="na"/>
    <s v="na"/>
    <s v="na"/>
    <n v="0"/>
    <s v="na"/>
    <s v="na"/>
    <s v="na"/>
    <n v="33795"/>
    <n v="144"/>
    <n v="-33651"/>
    <n v="33939"/>
    <n v="623793000"/>
    <n v="97256000"/>
    <n v="-526537000"/>
    <n v="721049000"/>
    <n v="5.4176625899937962E-5"/>
    <n v="1.4806284445175618E-6"/>
    <n v="2.4966001891259503E-4"/>
    <n v="4.7007413428603681E-5"/>
    <n v="4.7068923193846745E-5"/>
    <n v="1.5990477953271593E-5"/>
    <n v="15"/>
    <n v="71734350.612044483"/>
    <n v="13"/>
    <n v="71732153.988873303"/>
    <n v="2"/>
    <n v="2196.6231711774899"/>
    <n v="0"/>
    <n v="0"/>
    <n v="3.3797888917002618E-2"/>
    <n v="3.3796853970351558E-2"/>
    <n v="1.0349466510609971E-6"/>
    <n v="0"/>
    <n v="4219667.6830614405"/>
    <n v="1.9881111127648603E-3"/>
  </r>
  <r>
    <n v="163"/>
    <s v="VCT"/>
    <s v="Saint Vincent and the Grenadines"/>
    <s v="Latin America &amp; Caribbean"/>
    <x v="0"/>
    <n v="0"/>
    <n v="0"/>
    <x v="1"/>
    <s v="na"/>
    <n v="2"/>
    <s v="na"/>
    <n v="824718518.51851845"/>
    <n v="0"/>
    <n v="0"/>
    <n v="0"/>
    <n v="0"/>
    <n v="0"/>
    <n v="0"/>
    <n v="0"/>
    <n v="0"/>
    <n v="0"/>
    <n v="0"/>
    <n v="0"/>
    <n v="0"/>
    <n v="0"/>
    <n v="0"/>
    <n v="0"/>
    <s v="na"/>
    <s v="na"/>
    <s v="na"/>
    <s v="na"/>
    <s v="na"/>
    <s v="na"/>
    <n v="0"/>
    <s v="na"/>
    <s v="na"/>
    <s v="na"/>
    <n v="21046000"/>
    <n v="2000"/>
    <n v="-21044000"/>
    <n v="21048000"/>
    <n v="335082000"/>
    <n v="40335000"/>
    <n v="-294747000"/>
    <n v="375417000"/>
    <n v="6.280850657451012E-2"/>
    <n v="4.9584727903805629E-5"/>
    <n v="1.341095178324703E-4"/>
    <n v="1.9495393812646307E-5"/>
    <n v="5.6065654991649283E-2"/>
    <n v="2.5521434922801945E-2"/>
    <n v="0"/>
    <s v="na"/>
    <s v="na"/>
    <s v="na"/>
    <s v="na"/>
    <s v="na"/>
    <s v="na"/>
    <s v="na"/>
    <n v="0"/>
    <n v="0"/>
    <n v="0"/>
    <n v="0"/>
    <n v="0"/>
    <n v="0"/>
  </r>
  <r>
    <n v="165"/>
    <s v="SMR"/>
    <s v="San Marino"/>
    <s v="Europe &amp; Central Asia"/>
    <x v="1"/>
    <n v="0"/>
    <n v="0"/>
    <x v="1"/>
    <s v="na"/>
    <n v="0"/>
    <s v="na"/>
    <n v="1616369645.9963503"/>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170"/>
    <s v="SYC"/>
    <s v="Seychelles"/>
    <s v="Sub-Saharan Africa"/>
    <x v="1"/>
    <n v="0"/>
    <n v="0"/>
    <x v="0"/>
    <n v="2018"/>
    <n v="0"/>
    <s v="na"/>
    <n v="1581380268.6428902"/>
    <n v="0"/>
    <n v="0"/>
    <n v="0"/>
    <n v="0"/>
    <n v="0"/>
    <n v="0"/>
    <n v="0"/>
    <n v="0"/>
    <n v="0"/>
    <n v="0"/>
    <n v="0"/>
    <n v="0"/>
    <n v="0"/>
    <n v="0"/>
    <n v="0"/>
    <s v="na"/>
    <s v="na"/>
    <s v="na"/>
    <s v="na"/>
    <s v="na"/>
    <s v="na"/>
    <n v="0"/>
    <s v="na"/>
    <s v="na"/>
    <s v="na"/>
    <n v="69050000"/>
    <n v="2769000"/>
    <n v="-66281000"/>
    <n v="71819000"/>
    <n v="1474528000"/>
    <n v="844891000"/>
    <n v="-629637000"/>
    <n v="2319419000"/>
    <n v="4.6828544456259905E-2"/>
    <n v="3.2773458351432316E-3"/>
    <n v="5.9014879674371286E-4"/>
    <n v="4.0836699575456925E-4"/>
    <n v="3.0964219918867612E-2"/>
    <n v="4.5415388963739672E-2"/>
    <n v="101"/>
    <n v="260039333.35075414"/>
    <n v="97"/>
    <n v="219442020.71796975"/>
    <n v="3"/>
    <n v="0"/>
    <n v="1"/>
    <n v="40597312.632784396"/>
    <n v="0.16443820534950448"/>
    <n v="0.13876613049326245"/>
    <n v="0"/>
    <n v="2.5672074856242021E-2"/>
    <n v="15296431.373573773"/>
    <n v="9.6728356087943806E-3"/>
  </r>
  <r>
    <n v="173"/>
    <s v="SXM"/>
    <s v="Sint Maarten (Dutch part)"/>
    <s v="Latin America &amp; Caribbean"/>
    <x v="1"/>
    <n v="0"/>
    <n v="0"/>
    <x v="1"/>
    <s v="na"/>
    <n v="0"/>
    <s v="na"/>
    <n v="1185474860.3351955"/>
    <n v="0"/>
    <n v="0"/>
    <n v="0"/>
    <n v="0"/>
    <n v="0"/>
    <n v="0"/>
    <n v="0"/>
    <n v="0"/>
    <n v="0"/>
    <n v="0"/>
    <n v="0"/>
    <n v="0"/>
    <n v="0"/>
    <n v="0"/>
    <n v="0"/>
    <s v="na"/>
    <s v="na"/>
    <s v="na"/>
    <s v="na"/>
    <s v="na"/>
    <s v="na"/>
    <n v="0"/>
    <s v="na"/>
    <s v="na"/>
    <s v="na"/>
    <n v="6583000"/>
    <n v="7000"/>
    <n v="-6576000"/>
    <n v="6590000"/>
    <n v="138306000"/>
    <n v="18520000"/>
    <n v="-119786000"/>
    <n v="156826000"/>
    <n v="4.7597356586120632E-2"/>
    <n v="3.7796976241900648E-4"/>
    <n v="5.5354065492439589E-5"/>
    <n v="8.9513993655686027E-6"/>
    <n v="4.2021093441138586E-2"/>
    <n v="5.5589538171536288E-3"/>
    <n v="1"/>
    <n v="105275"/>
    <n v="0"/>
    <n v="0"/>
    <n v="1"/>
    <n v="105275"/>
    <n v="0"/>
    <n v="0"/>
    <n v="8.8804076343072569E-5"/>
    <n v="0"/>
    <n v="8.8804076343072569E-5"/>
    <n v="0"/>
    <n v="6192.6470588235297"/>
    <n v="5.223769196651328E-6"/>
  </r>
  <r>
    <n v="174"/>
    <s v="SVK"/>
    <s v="Slovakia"/>
    <s v="Europe &amp; Central Asia"/>
    <x v="1"/>
    <n v="0"/>
    <n v="0"/>
    <x v="0"/>
    <n v="2015"/>
    <n v="0"/>
    <s v="na"/>
    <n v="105119160234.11748"/>
    <n v="0"/>
    <n v="0"/>
    <n v="0"/>
    <n v="0"/>
    <n v="0"/>
    <n v="0"/>
    <n v="0"/>
    <n v="0"/>
    <n v="0"/>
    <n v="0"/>
    <n v="0"/>
    <n v="0"/>
    <n v="0"/>
    <n v="0"/>
    <n v="0"/>
    <s v="na"/>
    <s v="na"/>
    <s v="na"/>
    <s v="na"/>
    <s v="na"/>
    <s v="na"/>
    <n v="0"/>
    <s v="na"/>
    <s v="na"/>
    <s v="na"/>
    <n v="5784117000"/>
    <n v="1898518000"/>
    <n v="-3885599000"/>
    <n v="7682635000"/>
    <n v="90908109000"/>
    <n v="89909085000"/>
    <n v="-999024000"/>
    <n v="180817194000"/>
    <n v="6.3625974224147591E-2"/>
    <n v="2.1115975098623237E-2"/>
    <n v="3.6384057230921557E-2"/>
    <n v="4.3456378316838747E-2"/>
    <n v="4.2488409592286891E-2"/>
    <n v="7.3085011171032208E-2"/>
    <s v="na"/>
    <s v="na"/>
    <s v="na"/>
    <s v="na"/>
    <s v="na"/>
    <s v="na"/>
    <s v="na"/>
    <s v="na"/>
    <n v="0"/>
    <n v="0"/>
    <n v="0"/>
    <n v="0"/>
    <n v="0"/>
    <n v="0"/>
  </r>
  <r>
    <n v="177"/>
    <s v="SOM"/>
    <s v="Somalia"/>
    <s v="Sub-Saharan Africa"/>
    <x v="3"/>
    <n v="0"/>
    <n v="0"/>
    <x v="0"/>
    <n v="2015"/>
    <n v="0"/>
    <s v="na"/>
    <n v="4942319040.6982193"/>
    <n v="0"/>
    <n v="0"/>
    <n v="0"/>
    <n v="0"/>
    <n v="0"/>
    <n v="0"/>
    <n v="0"/>
    <n v="0"/>
    <n v="0"/>
    <n v="0"/>
    <n v="0"/>
    <n v="0"/>
    <n v="0"/>
    <n v="0"/>
    <n v="0"/>
    <s v="na"/>
    <s v="na"/>
    <s v="na"/>
    <s v="na"/>
    <s v="na"/>
    <s v="na"/>
    <n v="0"/>
    <s v="na"/>
    <s v="na"/>
    <s v="na"/>
    <n v="732058000"/>
    <n v="18638000"/>
    <n v="-713420000"/>
    <n v="750696000"/>
    <n v="3893775000"/>
    <n v="417976000"/>
    <n v="-3475799000"/>
    <n v="4311751000"/>
    <n v="0.1880072680111203"/>
    <n v="4.4591076999636339E-2"/>
    <n v="1.5584014891821319E-3"/>
    <n v="2.0202322360814812E-4"/>
    <n v="0.17410467348415992"/>
    <n v="0.15189144889641654"/>
    <n v="50"/>
    <n v="57178560.804101512"/>
    <n v="46"/>
    <n v="57178560.804101512"/>
    <n v="0"/>
    <n v="0"/>
    <n v="4"/>
    <n v="0"/>
    <n v="1.1569176399430435E-2"/>
    <n v="1.1569176399430435E-2"/>
    <n v="0"/>
    <n v="0"/>
    <n v="3363444.7531824419"/>
    <n v="6.8053978820179037E-4"/>
  </r>
  <r>
    <n v="182"/>
    <s v="MAF"/>
    <s v="St. Martin (French part)"/>
    <s v="Latin America &amp; Caribbean"/>
    <x v="1"/>
    <n v="0"/>
    <n v="0"/>
    <x v="1"/>
    <s v="na"/>
    <n v="0"/>
    <s v="na"/>
    <s v="na"/>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84"/>
    <s v="SUR"/>
    <s v="Suriname"/>
    <s v="Latin America &amp; Caribbean"/>
    <x v="0"/>
    <n v="0"/>
    <n v="0"/>
    <x v="0"/>
    <n v="2018"/>
    <n v="0"/>
    <s v="na"/>
    <n v="4221373022.257978"/>
    <n v="0"/>
    <n v="0"/>
    <n v="0"/>
    <n v="0"/>
    <n v="0"/>
    <n v="0"/>
    <n v="0"/>
    <n v="0"/>
    <n v="0"/>
    <n v="0"/>
    <n v="0"/>
    <n v="0"/>
    <n v="0"/>
    <n v="0"/>
    <n v="0"/>
    <s v="na"/>
    <s v="na"/>
    <s v="na"/>
    <s v="na"/>
    <s v="na"/>
    <s v="na"/>
    <n v="0"/>
    <s v="na"/>
    <s v="na"/>
    <s v="na"/>
    <n v="127267000"/>
    <n v="24583000"/>
    <n v="-102684000"/>
    <n v="151850000"/>
    <n v="1711450000"/>
    <n v="1460966000"/>
    <n v="-250484000"/>
    <n v="3172416000"/>
    <n v="7.43620906249087E-2"/>
    <n v="1.6826538057696072E-2"/>
    <n v="6.8497184060731817E-4"/>
    <n v="7.0613877567588012E-4"/>
    <n v="4.7865727571667779E-2"/>
    <n v="3.5971708541117427E-2"/>
    <n v="63"/>
    <n v="1010006165.5037841"/>
    <n v="53"/>
    <n v="478905440.44215947"/>
    <n v="8"/>
    <n v="482517631.5506351"/>
    <n v="2"/>
    <n v="48583093.510989398"/>
    <n v="0.23926010806871079"/>
    <n v="0.11344779007139172"/>
    <n v="0.11430348112011678"/>
    <n v="1.1508836877202265E-2"/>
    <n v="59412127.382575534"/>
    <n v="1.4074124004041811E-2"/>
  </r>
  <r>
    <n v="194"/>
    <s v="TON"/>
    <s v="Tonga"/>
    <s v="East Asia &amp; Pacific"/>
    <x v="0"/>
    <n v="0"/>
    <n v="0"/>
    <x v="0"/>
    <n v="2018"/>
    <n v="0"/>
    <s v="na"/>
    <n v="512350059.42162949"/>
    <n v="0"/>
    <n v="0"/>
    <n v="0"/>
    <n v="0"/>
    <n v="0"/>
    <n v="0"/>
    <n v="0"/>
    <n v="0"/>
    <n v="0"/>
    <n v="0"/>
    <n v="0"/>
    <n v="0"/>
    <n v="0"/>
    <n v="0"/>
    <n v="1"/>
    <n v="0"/>
    <n v="0"/>
    <n v="0"/>
    <n v="0"/>
    <n v="0"/>
    <n v="0"/>
    <n v="0"/>
    <n v="0"/>
    <n v="0"/>
    <n v="0"/>
    <n v="29475000"/>
    <n v="130000"/>
    <n v="-29345000"/>
    <n v="29605000"/>
    <n v="212354000"/>
    <n v="16206000"/>
    <n v="-196148000"/>
    <n v="228560000"/>
    <n v="0.13880124697439181"/>
    <n v="8.0217203504874737E-3"/>
    <n v="8.499021896072127E-5"/>
    <n v="7.832957781771317E-6"/>
    <n v="0.12952835141757088"/>
    <n v="5.7782758985955508E-2"/>
    <n v="110"/>
    <n v="450695785.95466006"/>
    <n v="102"/>
    <n v="374120372.21634734"/>
    <n v="6"/>
    <n v="76575413.738312721"/>
    <n v="2"/>
    <n v="0"/>
    <n v="0.87966377219401837"/>
    <n v="0.73020460393559072"/>
    <n v="0.14945916825842764"/>
    <n v="0"/>
    <n v="26511516.820862357"/>
    <n v="5.1744927776118728E-2"/>
  </r>
  <r>
    <n v="199"/>
    <s v="TCA"/>
    <s v="Turks and Caicos Islands"/>
    <s v="Latin America &amp; Caribbean"/>
    <x v="1"/>
    <n v="0"/>
    <n v="0"/>
    <x v="1"/>
    <s v="na"/>
    <n v="0"/>
    <s v="na"/>
    <n v="1197415000"/>
    <n v="0"/>
    <n v="0"/>
    <n v="0"/>
    <n v="0"/>
    <n v="0"/>
    <n v="0"/>
    <n v="0"/>
    <n v="0"/>
    <n v="0"/>
    <n v="0"/>
    <n v="0"/>
    <n v="0"/>
    <n v="0"/>
    <n v="0"/>
    <n v="0"/>
    <s v="na"/>
    <s v="na"/>
    <s v="na"/>
    <s v="na"/>
    <s v="na"/>
    <s v="na"/>
    <n v="0"/>
    <s v="na"/>
    <s v="na"/>
    <s v="na"/>
    <n v="3023000"/>
    <n v="5000"/>
    <n v="-3018000"/>
    <n v="3028000"/>
    <n v="425717000"/>
    <n v="172506000"/>
    <n v="-253211000"/>
    <n v="598223000"/>
    <n v="7.1009614368230537E-3"/>
    <n v="2.8984499089886727E-5"/>
    <n v="1.7038426893442729E-4"/>
    <n v="8.3378515062460998E-5"/>
    <n v="5.061657609286169E-3"/>
    <n v="2.5287807485291232E-3"/>
    <n v="0"/>
    <s v="na"/>
    <s v="na"/>
    <s v="na"/>
    <s v="na"/>
    <s v="na"/>
    <s v="na"/>
    <s v="na"/>
    <n v="0"/>
    <n v="0"/>
    <n v="0"/>
    <n v="0"/>
    <n v="0"/>
    <n v="0"/>
  </r>
  <r>
    <n v="200"/>
    <s v="TUV"/>
    <s v="Tuvalu"/>
    <s v="East Asia &amp; Pacific"/>
    <x v="0"/>
    <n v="0"/>
    <n v="0"/>
    <x v="1"/>
    <s v="na"/>
    <n v="2"/>
    <s v="na"/>
    <n v="47271463.329857491"/>
    <n v="0"/>
    <n v="0"/>
    <n v="0"/>
    <n v="0"/>
    <n v="0"/>
    <n v="0"/>
    <n v="0"/>
    <n v="0"/>
    <n v="0"/>
    <n v="0"/>
    <n v="0"/>
    <n v="0"/>
    <n v="0"/>
    <n v="0"/>
    <n v="0"/>
    <s v="na"/>
    <s v="na"/>
    <s v="na"/>
    <s v="na"/>
    <s v="na"/>
    <s v="na"/>
    <n v="0"/>
    <s v="na"/>
    <s v="na"/>
    <s v="na"/>
    <n v="21737000"/>
    <n v="26000"/>
    <n v="-21711000"/>
    <n v="21763000"/>
    <n v="90616000"/>
    <n v="20368000"/>
    <n v="-70248000"/>
    <n v="110984000"/>
    <n v="0.23988037432682971"/>
    <n v="1.2765121759622938E-3"/>
    <n v="3.6267146751861128E-5"/>
    <n v="9.8446059545303095E-6"/>
    <n v="0.19609132847978086"/>
    <n v="0.46038346323529411"/>
    <n v="0"/>
    <s v="na"/>
    <s v="na"/>
    <s v="na"/>
    <s v="na"/>
    <s v="na"/>
    <s v="na"/>
    <s v="na"/>
    <n v="0"/>
    <n v="0"/>
    <n v="0"/>
    <n v="0"/>
    <n v="0"/>
    <n v="0"/>
  </r>
  <r>
    <n v="208"/>
    <s v="VUT"/>
    <s v="Vanuatu"/>
    <s v="East Asia &amp; Pacific"/>
    <x v="2"/>
    <n v="0"/>
    <n v="0"/>
    <x v="0"/>
    <n v="2018"/>
    <n v="1"/>
    <n v="2004"/>
    <n v="930337960.03747845"/>
    <n v="0"/>
    <n v="0"/>
    <n v="0"/>
    <n v="0"/>
    <n v="0"/>
    <n v="0"/>
    <n v="0"/>
    <n v="0"/>
    <n v="0"/>
    <n v="0"/>
    <n v="0"/>
    <n v="0"/>
    <n v="0"/>
    <n v="0"/>
    <n v="1"/>
    <n v="0"/>
    <n v="0"/>
    <n v="0"/>
    <n v="0"/>
    <n v="0"/>
    <n v="0"/>
    <n v="0"/>
    <n v="0"/>
    <n v="0"/>
    <n v="0"/>
    <n v="76761000"/>
    <n v="14655000"/>
    <n v="-62106000"/>
    <n v="91416000"/>
    <n v="286016000"/>
    <n v="173228000"/>
    <n v="-112788000"/>
    <n v="459244000"/>
    <n v="0.26838009062430074"/>
    <n v="8.459948738079294E-2"/>
    <n v="1.1447188405337152E-4"/>
    <n v="8.3727484303386504E-5"/>
    <n v="0.19905758159061415"/>
    <n v="9.8261066329398544E-2"/>
    <n v="120"/>
    <n v="555617259.93362021"/>
    <n v="108"/>
    <n v="390590587.29028279"/>
    <n v="9"/>
    <n v="78704.611487802802"/>
    <n v="3"/>
    <n v="164947968.03184959"/>
    <n v="0.59722088509775229"/>
    <n v="0.41983731081396264"/>
    <n v="8.4597871814917882E-5"/>
    <n v="0.17729897641197476"/>
    <n v="32683368.231389426"/>
    <n v="3.5130640299867788E-2"/>
  </r>
  <r>
    <n v="209"/>
    <s v="VAT"/>
    <s v="Vaticano"/>
    <s v="Europe &amp; Central Asia"/>
    <x v="4"/>
    <n v="0"/>
    <n v="0"/>
    <x v="1"/>
    <s v="na"/>
    <n v="2"/>
    <s v="na"/>
    <s v="na"/>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212"/>
    <s v="VIR"/>
    <s v="Virgin Islands (U.S.)"/>
    <s v="Latin America &amp; Caribbean"/>
    <x v="1"/>
    <n v="0"/>
    <n v="0"/>
    <x v="1"/>
    <s v="na"/>
    <n v="0"/>
    <s v="na"/>
    <n v="3984000000"/>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213"/>
    <s v="ESH"/>
    <s v="Western Sahara"/>
    <s v="Middle East &amp; North Africa"/>
    <x v="4"/>
    <n v="0"/>
    <n v="0"/>
    <x v="1"/>
    <s v="na"/>
    <n v="0"/>
    <s v="na"/>
    <s v="na"/>
    <n v="0"/>
    <n v="0"/>
    <n v="0"/>
    <n v="0"/>
    <n v="0"/>
    <n v="0"/>
    <n v="0"/>
    <n v="0"/>
    <n v="0"/>
    <n v="0"/>
    <n v="0"/>
    <n v="0"/>
    <n v="0"/>
    <n v="0"/>
    <n v="0"/>
    <s v="na"/>
    <s v="na"/>
    <s v="na"/>
    <s v="na"/>
    <s v="na"/>
    <s v="na"/>
    <n v="0"/>
    <s v="na"/>
    <s v="na"/>
    <s v="na"/>
    <n v="72000"/>
    <n v="0"/>
    <n v="-72000"/>
    <n v="72000"/>
    <n v="0"/>
    <n v="3213000"/>
    <n v="3213000"/>
    <n v="3213000"/>
    <s v="na"/>
    <n v="0"/>
    <s v="na"/>
    <s v="na"/>
    <n v="2.2408963585434174E-2"/>
    <s v="na"/>
    <s v="na"/>
    <s v="na"/>
    <s v="na"/>
    <s v="na"/>
    <s v="na"/>
    <s v="na"/>
    <s v="na"/>
    <s v="na"/>
    <n v="0"/>
    <n v="0"/>
    <n v="0"/>
    <n v="0"/>
    <n v="0"/>
    <n v="0"/>
  </r>
  <r>
    <n v="108"/>
    <s v="LSO"/>
    <s v="Lesotho"/>
    <s v="Sub-Saharan Africa"/>
    <x v="2"/>
    <n v="0"/>
    <n v="0"/>
    <x v="0"/>
    <n v="2019"/>
    <n v="0"/>
    <s v="na"/>
    <n v="2366213068.575067"/>
    <n v="0"/>
    <n v="0"/>
    <n v="1"/>
    <n v="100000000"/>
    <n v="1"/>
    <n v="100000000"/>
    <n v="0"/>
    <n v="4.2261621038303186E-2"/>
    <n v="4.2261621038303186E-2"/>
    <n v="0"/>
    <n v="1.2576401639962775E-4"/>
    <n v="4.6667257785265281E-5"/>
    <n v="5882352.9411764704"/>
    <n v="2.4859777081354816E-3"/>
    <n v="0"/>
    <s v="na"/>
    <s v="na"/>
    <s v="na"/>
    <s v="na"/>
    <s v="na"/>
    <s v="na"/>
    <n v="0"/>
    <s v="na"/>
    <s v="na"/>
    <s v="na"/>
    <n v="84452000"/>
    <n v="17745000"/>
    <n v="-66707000"/>
    <n v="102197000"/>
    <n v="1369285000"/>
    <n v="645750000"/>
    <n v="-723535000"/>
    <n v="2015035000"/>
    <n v="6.1675984181525395E-2"/>
    <n v="2.7479674796747969E-2"/>
    <n v="5.4802750110490603E-4"/>
    <n v="3.1211480239286857E-4"/>
    <n v="5.0717233199423332E-2"/>
    <n v="4.3190108852514709E-2"/>
    <n v="114"/>
    <n v="271028975.15808421"/>
    <n v="110"/>
    <n v="269062670.73385012"/>
    <n v="3"/>
    <n v="0"/>
    <n v="1"/>
    <n v="1966304.4242341099"/>
    <n v="0.11454123838530644"/>
    <n v="0.11371024626107724"/>
    <n v="0"/>
    <n v="8.3099212422920897E-4"/>
    <n v="15942880.891652012"/>
    <n v="6.7377199050180255E-3"/>
  </r>
  <r>
    <n v="106"/>
    <s v="LVA"/>
    <s v="Latvia"/>
    <s v="Europe &amp; Central Asia"/>
    <x v="1"/>
    <n v="0"/>
    <n v="0"/>
    <x v="0"/>
    <n v="2016"/>
    <n v="0"/>
    <s v="na"/>
    <n v="34055464655.325436"/>
    <n v="0"/>
    <n v="0"/>
    <n v="1"/>
    <n v="110000000"/>
    <n v="1"/>
    <n v="110000000"/>
    <n v="0"/>
    <n v="3.2300249347148083E-3"/>
    <n v="3.2300249347148083E-3"/>
    <n v="0"/>
    <n v="1.383404180395905E-4"/>
    <n v="5.1333983563791811E-5"/>
    <n v="6470588.2352941176"/>
    <n v="1.9000146674792988E-4"/>
    <n v="0"/>
    <s v="na"/>
    <s v="na"/>
    <s v="na"/>
    <s v="na"/>
    <s v="na"/>
    <s v="na"/>
    <n v="0"/>
    <s v="na"/>
    <s v="na"/>
    <s v="na"/>
    <n v="570676000"/>
    <n v="179440000"/>
    <n v="-391236000"/>
    <n v="750116000"/>
    <n v="17767575000"/>
    <n v="14447102000"/>
    <n v="-3320473000"/>
    <n v="32214677000"/>
    <n v="3.2118958270895157E-2"/>
    <n v="1.2420484052787888E-2"/>
    <n v="7.1110979291703338E-3"/>
    <n v="6.9828174771654908E-3"/>
    <n v="2.3284914512723503E-2"/>
    <n v="2.2026303490259393E-2"/>
    <s v="na"/>
    <s v="na"/>
    <s v="na"/>
    <s v="na"/>
    <s v="na"/>
    <s v="na"/>
    <s v="na"/>
    <s v="na"/>
    <n v="0"/>
    <n v="0"/>
    <n v="0"/>
    <n v="0"/>
    <n v="0"/>
    <n v="0"/>
  </r>
  <r>
    <n v="164"/>
    <s v="WSM"/>
    <s v="Samoa"/>
    <s v="East Asia &amp; Pacific"/>
    <x v="2"/>
    <n v="0"/>
    <n v="0"/>
    <x v="0"/>
    <n v="2018"/>
    <n v="0"/>
    <s v="na"/>
    <n v="852250190.9854852"/>
    <n v="0"/>
    <n v="0"/>
    <n v="1"/>
    <n v="110000000"/>
    <n v="1"/>
    <n v="110000000"/>
    <n v="0"/>
    <n v="0.12907007961218916"/>
    <n v="0.12907007961218916"/>
    <n v="0"/>
    <n v="1.383404180395905E-4"/>
    <n v="5.1333983563791811E-5"/>
    <n v="6470588.2352941176"/>
    <n v="7.592357624246422E-3"/>
    <n v="1"/>
    <n v="0"/>
    <n v="0"/>
    <n v="0"/>
    <n v="0"/>
    <n v="0"/>
    <n v="0"/>
    <n v="0"/>
    <n v="0"/>
    <n v="0"/>
    <n v="0"/>
    <n v="47731000"/>
    <n v="670000"/>
    <n v="-47061000"/>
    <n v="48401000"/>
    <n v="391086000"/>
    <n v="49335000"/>
    <n v="-341751000"/>
    <n v="440421000"/>
    <n v="0.12204732462936541"/>
    <n v="1.358062227627445E-2"/>
    <n v="1.565239400834109E-4"/>
    <n v="2.3845425901745521E-5"/>
    <n v="0.1098971211636139"/>
    <n v="5.6792008393723344E-2"/>
    <n v="123"/>
    <n v="478225047.55540532"/>
    <n v="117"/>
    <n v="478225047.55540532"/>
    <n v="6"/>
    <n v="0"/>
    <n v="0"/>
    <n v="0"/>
    <n v="0.56113222691381015"/>
    <n v="0.56113222691381015"/>
    <n v="0"/>
    <n v="0"/>
    <n v="28130885.150317959"/>
    <n v="3.3007778053753538E-2"/>
  </r>
  <r>
    <n v="196"/>
    <s v="TUN"/>
    <s v="Tunisia"/>
    <s v="Middle East &amp; North Africa"/>
    <x v="2"/>
    <n v="0"/>
    <n v="0"/>
    <x v="0"/>
    <n v="2018"/>
    <n v="0"/>
    <s v="na"/>
    <n v="39195716330.425301"/>
    <n v="1"/>
    <n v="110000000"/>
    <n v="0"/>
    <n v="0"/>
    <n v="1"/>
    <n v="110000000"/>
    <n v="2.806429127935431E-3"/>
    <n v="0"/>
    <n v="2.806429127935431E-3"/>
    <n v="8.192875177822632E-5"/>
    <n v="0"/>
    <n v="5.1333983563791811E-5"/>
    <n v="6470588.2352941176"/>
    <n v="1.65084066349143E-4"/>
    <n v="3"/>
    <n v="0"/>
    <n v="0"/>
    <n v="0"/>
    <n v="0"/>
    <n v="0"/>
    <n v="0"/>
    <n v="0"/>
    <n v="0"/>
    <n v="0"/>
    <n v="0"/>
    <n v="2041662"/>
    <n v="46647"/>
    <n v="-1995015"/>
    <n v="2088309"/>
    <n v="21573847000"/>
    <n v="14944087000"/>
    <n v="-6629760000"/>
    <n v="36517934000"/>
    <n v="9.4635972898111307E-5"/>
    <n v="3.1214352539569666E-6"/>
    <n v="8.6344781843294676E-3"/>
    <n v="7.2230286658100428E-3"/>
    <n v="5.7185847370226364E-5"/>
    <n v="5.3279010961179199E-5"/>
    <n v="75"/>
    <n v="645134398.36919057"/>
    <n v="65"/>
    <n v="475514196.77719218"/>
    <n v="8"/>
    <n v="104491056.645374"/>
    <n v="2"/>
    <n v="65129144.946624398"/>
    <n v="1.6459308791058148E-2"/>
    <n v="1.2131789932566656E-2"/>
    <n v="2.665879499802988E-3"/>
    <n v="1.6616393586885035E-3"/>
    <n v="37949082.257011212"/>
    <n v="9.6819463476812643E-4"/>
  </r>
  <r>
    <n v="32"/>
    <s v="CPV"/>
    <s v="Cabo Verde"/>
    <s v="Sub-Saharan Africa"/>
    <x v="2"/>
    <n v="0"/>
    <n v="0"/>
    <x v="0"/>
    <n v="2018"/>
    <n v="0"/>
    <s v="na"/>
    <n v="1981845740.7061462"/>
    <n v="0"/>
    <n v="0"/>
    <n v="1"/>
    <n v="130000000"/>
    <n v="1"/>
    <n v="130000000"/>
    <n v="0"/>
    <n v="6.5595418114469409E-2"/>
    <n v="6.5595418114469409E-2"/>
    <n v="0"/>
    <n v="1.6349322131951606E-4"/>
    <n v="6.0667435120844866E-5"/>
    <n v="7647058.823529412"/>
    <n v="3.858554006733495E-3"/>
    <n v="0"/>
    <s v="na"/>
    <s v="na"/>
    <s v="na"/>
    <s v="na"/>
    <s v="na"/>
    <s v="na"/>
    <n v="0"/>
    <s v="na"/>
    <s v="na"/>
    <s v="na"/>
    <n v="40821000"/>
    <n v="68000"/>
    <n v="-40753000"/>
    <n v="40889000"/>
    <n v="789807000"/>
    <n v="61879000"/>
    <n v="-727928000"/>
    <n v="851686000"/>
    <n v="5.1684778686438587E-2"/>
    <n v="1.0989188577708107E-3"/>
    <n v="3.1610362821849543E-4"/>
    <n v="2.9908403960152251E-5"/>
    <n v="4.8009477671348361E-2"/>
    <n v="2.0631777317557998E-2"/>
    <n v="85"/>
    <n v="611101411.19392717"/>
    <n v="79"/>
    <n v="604429871.12164521"/>
    <n v="4"/>
    <n v="804822.50858124765"/>
    <n v="2"/>
    <n v="5866717.5637008101"/>
    <n v="0.30834963521236886"/>
    <n v="0.3049833085930706"/>
    <n v="4.0609745352556222E-4"/>
    <n v="2.9602291657727384E-3"/>
    <n v="35947141.834936894"/>
    <n v="1.81382138360217E-2"/>
  </r>
  <r>
    <n v="206"/>
    <s v="URY"/>
    <s v="Uruguay"/>
    <s v="Latin America &amp; Caribbean"/>
    <x v="1"/>
    <n v="2"/>
    <n v="0"/>
    <x v="0"/>
    <n v="2018"/>
    <n v="0"/>
    <s v="na"/>
    <n v="61231149880.585663"/>
    <n v="0"/>
    <n v="0"/>
    <n v="1"/>
    <n v="180000000"/>
    <n v="1"/>
    <n v="180000000"/>
    <n v="0"/>
    <n v="2.9396802175206569E-3"/>
    <n v="2.9396802175206569E-3"/>
    <n v="0"/>
    <n v="2.2637522951932993E-4"/>
    <n v="8.40010640134775E-5"/>
    <n v="10588235.294117646"/>
    <n v="1.7292236573650922E-4"/>
    <n v="2"/>
    <n v="0"/>
    <n v="0"/>
    <n v="0"/>
    <n v="0"/>
    <n v="0"/>
    <n v="0"/>
    <n v="0"/>
    <n v="0"/>
    <n v="0"/>
    <n v="0"/>
    <n v="1309557000"/>
    <n v="2147303000"/>
    <n v="837746000"/>
    <n v="3456860000"/>
    <n v="8313649000"/>
    <n v="7816028000"/>
    <n v="-497621000"/>
    <n v="16129677000"/>
    <n v="0.15751891858797504"/>
    <n v="0.2747307200025384"/>
    <n v="3.327363029999818E-3"/>
    <n v="3.7777747343664381E-3"/>
    <n v="0.21431675290211949"/>
    <n v="5.6455905315213654E-2"/>
    <n v="49"/>
    <n v="330738828.02498108"/>
    <n v="39"/>
    <n v="153223378.70386729"/>
    <n v="3"/>
    <n v="13795146.479344809"/>
    <n v="7"/>
    <n v="163720302.84176901"/>
    <n v="5.4014799439500195E-3"/>
    <n v="2.5023763068746365E-3"/>
    <n v="2.2529621779516484E-4"/>
    <n v="2.6738074192802185E-3"/>
    <n v="19455225.177940063"/>
    <n v="3.1773411435000111E-4"/>
  </r>
  <r>
    <n v="176"/>
    <s v="SLB"/>
    <s v="Solomon Islands"/>
    <s v="East Asia &amp; Pacific"/>
    <x v="2"/>
    <n v="0"/>
    <n v="0"/>
    <x v="0"/>
    <n v="2019"/>
    <n v="1"/>
    <n v="2019"/>
    <n v="1570215577.3607066"/>
    <n v="0"/>
    <n v="0"/>
    <n v="1"/>
    <n v="200000000"/>
    <n v="1"/>
    <n v="200000000"/>
    <n v="0"/>
    <n v="0.12737104565996574"/>
    <n v="0.12737104565996574"/>
    <n v="0"/>
    <n v="2.5152803279925549E-4"/>
    <n v="9.3334515570530561E-5"/>
    <n v="11764705.882352941"/>
    <n v="7.4924144505862187E-3"/>
    <n v="0"/>
    <s v="na"/>
    <s v="na"/>
    <s v="na"/>
    <s v="na"/>
    <s v="na"/>
    <s v="na"/>
    <n v="0"/>
    <s v="na"/>
    <s v="na"/>
    <s v="na"/>
    <n v="98567000"/>
    <n v="461733000"/>
    <n v="363166000"/>
    <n v="560300000"/>
    <n v="421615000"/>
    <n v="705780000"/>
    <n v="284165000"/>
    <n v="1127395000"/>
    <n v="0.23378437674181421"/>
    <n v="0.65421661140865428"/>
    <n v="1.6874252977162898E-4"/>
    <n v="3.4112951642716028E-4"/>
    <n v="0.49698641558637391"/>
    <n v="0.35682998441639396"/>
    <n v="0"/>
    <s v="na"/>
    <s v="na"/>
    <s v="na"/>
    <s v="na"/>
    <s v="na"/>
    <s v="na"/>
    <s v="na"/>
    <n v="0"/>
    <n v="0"/>
    <n v="0"/>
    <n v="0"/>
    <n v="0"/>
    <n v="0"/>
  </r>
  <r>
    <n v="51"/>
    <s v="CYP"/>
    <s v="Cyprus"/>
    <s v="Europe &amp; Central Asia"/>
    <x v="1"/>
    <n v="0"/>
    <n v="0"/>
    <x v="0"/>
    <n v="2019"/>
    <n v="0"/>
    <s v="na"/>
    <n v="24949065263.629242"/>
    <n v="1"/>
    <n v="130000000"/>
    <n v="1"/>
    <n v="170000000"/>
    <n v="2"/>
    <n v="300000000"/>
    <n v="5.2106160542020009E-3"/>
    <n v="6.8138825324180006E-3"/>
    <n v="1.2024498586620002E-2"/>
    <n v="9.6824888465176558E-5"/>
    <n v="2.1379882787936715E-4"/>
    <n v="1.4000177335579583E-4"/>
    <n v="17647058.823529411"/>
    <n v="7.0732344627176481E-4"/>
    <n v="1"/>
    <n v="0"/>
    <n v="0"/>
    <n v="0"/>
    <n v="0"/>
    <n v="0"/>
    <n v="0"/>
    <n v="0"/>
    <n v="0"/>
    <n v="0"/>
    <n v="0"/>
    <n v="461258000"/>
    <n v="38578000"/>
    <n v="-422680000"/>
    <n v="499836000"/>
    <n v="9179163000"/>
    <n v="3520899000"/>
    <n v="-5658264000"/>
    <n v="12700062000"/>
    <n v="5.025055116681118E-2"/>
    <n v="1.0956860733579691E-2"/>
    <n v="3.6737667915186486E-3"/>
    <n v="1.7017804036085925E-3"/>
    <n v="3.9356973217926021E-2"/>
    <n v="2.0034257585139319E-2"/>
    <s v="na"/>
    <s v="na"/>
    <s v="na"/>
    <s v="na"/>
    <s v="na"/>
    <s v="na"/>
    <s v="na"/>
    <s v="na"/>
    <n v="0"/>
    <n v="0"/>
    <n v="0"/>
    <n v="0"/>
    <n v="0"/>
    <n v="0"/>
  </r>
  <r>
    <n v="13"/>
    <s v="BHS"/>
    <s v="Bahamas"/>
    <s v="Latin America &amp; Caribbean"/>
    <x v="1"/>
    <n v="0"/>
    <n v="0"/>
    <x v="1"/>
    <s v="na"/>
    <n v="0"/>
    <s v="na"/>
    <n v="13578800000"/>
    <n v="2"/>
    <n v="350000000"/>
    <n v="0"/>
    <n v="0"/>
    <n v="2"/>
    <n v="350000000"/>
    <n v="2.5775473532270894E-2"/>
    <n v="0"/>
    <n v="2.5775473532270894E-2"/>
    <n v="2.6068239202162917E-4"/>
    <n v="0"/>
    <n v="1.6333540224842849E-4"/>
    <n v="20588235.294117648"/>
    <n v="1.5162043254276997E-3"/>
    <n v="0"/>
    <s v="na"/>
    <s v="na"/>
    <s v="na"/>
    <s v="na"/>
    <s v="na"/>
    <s v="na"/>
    <n v="0"/>
    <s v="na"/>
    <s v="na"/>
    <s v="na"/>
    <n v="24409000"/>
    <n v="214000"/>
    <n v="-24195000"/>
    <n v="24623000"/>
    <n v="3320468000"/>
    <n v="537265000"/>
    <n v="-2783203000"/>
    <n v="3857733000"/>
    <n v="7.3510721982563906E-3"/>
    <n v="3.9831368133044217E-4"/>
    <n v="1.3289474291610622E-3"/>
    <n v="2.5967999892776539E-4"/>
    <n v="6.3827641778215344E-3"/>
    <n v="1.8133413851003034E-3"/>
    <n v="31"/>
    <n v="3136697529.0512481"/>
    <n v="0"/>
    <n v="0"/>
    <n v="31"/>
    <n v="3136697529.0512481"/>
    <n v="0"/>
    <n v="0"/>
    <n v="0.23099961182514273"/>
    <n v="0"/>
    <n v="0.23099961182514273"/>
    <n v="0"/>
    <n v="184511619.35595578"/>
    <n v="1.3588212460302514E-2"/>
  </r>
  <r>
    <n v="83"/>
    <s v="HND"/>
    <s v="Honduras"/>
    <s v="Latin America &amp; Caribbean"/>
    <x v="2"/>
    <n v="0"/>
    <n v="0"/>
    <x v="1"/>
    <s v="na"/>
    <n v="2"/>
    <s v="na"/>
    <n v="25089976946.773567"/>
    <n v="1"/>
    <n v="350000000"/>
    <n v="0"/>
    <n v="0"/>
    <n v="1"/>
    <n v="350000000"/>
    <n v="1.3949793606526532E-2"/>
    <n v="0"/>
    <n v="1.3949793606526532E-2"/>
    <n v="2.6068239202162917E-4"/>
    <n v="0"/>
    <n v="1.6333540224842849E-4"/>
    <n v="20588235.294117648"/>
    <n v="8.2057609450156082E-4"/>
    <n v="0"/>
    <s v="na"/>
    <s v="na"/>
    <s v="na"/>
    <s v="na"/>
    <s v="na"/>
    <s v="na"/>
    <n v="0"/>
    <s v="na"/>
    <s v="na"/>
    <s v="na"/>
    <n v="1475811"/>
    <n v="5449"/>
    <n v="-1470362"/>
    <n v="1481260"/>
    <n v="9157061000"/>
    <n v="3091163000"/>
    <n v="-6065898000"/>
    <n v="12248224000"/>
    <n v="1.611664484925895E-4"/>
    <n v="1.7627669585848433E-6"/>
    <n v="3.6649209312124152E-3"/>
    <n v="1.494073138070688E-3"/>
    <n v="1.2093671702934238E-4"/>
    <n v="5.9037917936009976E-5"/>
    <n v="3"/>
    <n v="297077897.32473761"/>
    <n v="1"/>
    <n v="286927942.92511201"/>
    <n v="2"/>
    <n v="10149954.399625611"/>
    <n v="0"/>
    <n v="0"/>
    <n v="1.1840501007831345E-2"/>
    <n v="1.143595881071582E-2"/>
    <n v="4.0454219711552342E-4"/>
    <n v="0"/>
    <n v="17475170.430866919"/>
    <n v="6.9650005928419676E-4"/>
  </r>
  <r>
    <n v="65"/>
    <s v="FJI"/>
    <s v="Fiji"/>
    <s v="East Asia &amp; Pacific"/>
    <x v="0"/>
    <n v="1"/>
    <n v="0"/>
    <x v="0"/>
    <n v="2018"/>
    <n v="0"/>
    <s v="na"/>
    <n v="5496250694.3158674"/>
    <n v="1"/>
    <n v="150000000"/>
    <n v="2"/>
    <n v="250000000"/>
    <n v="3"/>
    <n v="400000000"/>
    <n v="2.7291331553549323E-2"/>
    <n v="4.548555258924887E-2"/>
    <n v="7.277688414279819E-2"/>
    <n v="1.117210251521268E-4"/>
    <n v="3.1441004099906937E-4"/>
    <n v="1.8666903114106112E-4"/>
    <n v="23529411.764705881"/>
    <n v="4.2809931848704821E-3"/>
    <n v="1"/>
    <n v="1"/>
    <n v="50000000"/>
    <n v="0"/>
    <n v="0"/>
    <n v="0"/>
    <n v="0"/>
    <n v="1"/>
    <n v="50000000"/>
    <n v="9.0971105178497737E-3"/>
    <n v="1.2543831282458731E-3"/>
    <n v="348970000"/>
    <n v="37299000"/>
    <n v="-311671000"/>
    <n v="386269000"/>
    <n v="2785913000"/>
    <n v="1028722000"/>
    <n v="-1757191000"/>
    <n v="3814635000"/>
    <n v="0.12526234667055289"/>
    <n v="3.6257608955577891E-2"/>
    <n v="1.1150030415039032E-3"/>
    <n v="4.9721930119581343E-4"/>
    <n v="0.10125975355440298"/>
    <n v="7.027863565238629E-2"/>
    <n v="152"/>
    <n v="663916958.87909687"/>
    <n v="137"/>
    <n v="568657495.55746424"/>
    <n v="14"/>
    <n v="95259463.321632713"/>
    <n v="1"/>
    <n v="0"/>
    <n v="0.12079451899195735"/>
    <n v="0.10346280167779838"/>
    <n v="1.7331717314158994E-2"/>
    <n v="0"/>
    <n v="39053938.75759393"/>
    <n v="7.1055599407033737E-3"/>
  </r>
  <r>
    <n v="120"/>
    <s v="MLT"/>
    <s v="Malta"/>
    <s v="Middle East &amp; North Africa"/>
    <x v="1"/>
    <n v="0"/>
    <n v="0"/>
    <x v="0"/>
    <n v="2018"/>
    <n v="0"/>
    <s v="na"/>
    <n v="15215714309.097391"/>
    <n v="0"/>
    <n v="0"/>
    <n v="1"/>
    <n v="440000000"/>
    <n v="1"/>
    <n v="440000000"/>
    <n v="0"/>
    <n v="2.8917472493350277E-2"/>
    <n v="2.8917472493350277E-2"/>
    <n v="0"/>
    <n v="5.53361672158362E-4"/>
    <n v="2.0533593425516725E-4"/>
    <n v="25882352.94117647"/>
    <n v="1.7010277937264868E-3"/>
    <n v="2"/>
    <n v="0"/>
    <n v="0"/>
    <n v="0"/>
    <n v="0"/>
    <n v="0"/>
    <n v="0"/>
    <n v="0"/>
    <n v="0"/>
    <n v="0"/>
    <n v="0"/>
    <n v="286007000"/>
    <n v="40737000"/>
    <n v="-245270000"/>
    <n v="326744000"/>
    <n v="7066686000"/>
    <n v="3007798000"/>
    <n v="-4058888000"/>
    <n v="10074484000"/>
    <n v="4.0472577952381072E-2"/>
    <n v="1.3543795161776156E-2"/>
    <n v="2.8282923348119816E-3"/>
    <n v="1.4537797575031597E-3"/>
    <n v="3.2432827328923247E-2"/>
    <n v="2.1474115073561915E-2"/>
    <s v="na"/>
    <s v="na"/>
    <s v="na"/>
    <s v="na"/>
    <s v="na"/>
    <s v="na"/>
    <s v="na"/>
    <s v="na"/>
    <n v="0"/>
    <n v="0"/>
    <n v="0"/>
    <n v="0"/>
    <n v="0"/>
    <n v="0"/>
  </r>
  <r>
    <n v="80"/>
    <s v="GNB"/>
    <s v="Guinea-Bissau"/>
    <s v="Sub-Saharan Africa"/>
    <x v="3"/>
    <n v="0"/>
    <n v="0"/>
    <x v="1"/>
    <s v="na"/>
    <n v="0"/>
    <s v="na"/>
    <n v="1439638443.3813329"/>
    <n v="2"/>
    <n v="450000000"/>
    <n v="0"/>
    <n v="0"/>
    <n v="2"/>
    <n v="450000000"/>
    <n v="0.31257848251333725"/>
    <n v="0"/>
    <n v="0.31257848251333725"/>
    <n v="3.3516307545638038E-4"/>
    <n v="0"/>
    <n v="2.1000266003369376E-4"/>
    <n v="26470588.235294119"/>
    <n v="1.8386969559608075E-2"/>
    <n v="0"/>
    <s v="na"/>
    <s v="na"/>
    <s v="na"/>
    <s v="na"/>
    <s v="na"/>
    <s v="na"/>
    <n v="0"/>
    <s v="na"/>
    <s v="na"/>
    <s v="na"/>
    <n v="31924000"/>
    <n v="8402000"/>
    <n v="-23522000"/>
    <n v="40326000"/>
    <n v="335683000"/>
    <n v="249796000"/>
    <n v="-85887000"/>
    <n v="585479000"/>
    <n v="9.5101628619858616E-2"/>
    <n v="3.3635446524363878E-2"/>
    <n v="1.3435005543287057E-4"/>
    <n v="1.2073562396984747E-4"/>
    <n v="6.887693666211768E-2"/>
    <n v="2.8011199746295193E-2"/>
    <n v="78"/>
    <n v="371948758.43735373"/>
    <n v="78"/>
    <n v="371948758.43735373"/>
    <n v="0"/>
    <n v="0"/>
    <n v="0"/>
    <n v="0"/>
    <n v="0.25836261885570638"/>
    <n v="0.25836261885570638"/>
    <n v="0"/>
    <n v="0"/>
    <n v="21879338.731609043"/>
    <n v="1.5197801109159198E-2"/>
  </r>
  <r>
    <n v="29"/>
    <s v="BGR"/>
    <s v="Bulgaria"/>
    <s v="Europe &amp; Central Asia"/>
    <x v="0"/>
    <n v="0"/>
    <n v="0"/>
    <x v="0"/>
    <n v="2015"/>
    <n v="0"/>
    <s v="na"/>
    <n v="68558815111.619919"/>
    <n v="2"/>
    <n v="330000000"/>
    <n v="1"/>
    <n v="130000000"/>
    <n v="3"/>
    <n v="460000000"/>
    <n v="4.8133854043820668E-3"/>
    <n v="1.8961821289989961E-3"/>
    <n v="6.7095675333810629E-3"/>
    <n v="2.4578625533467897E-4"/>
    <n v="1.6349322131951606E-4"/>
    <n v="2.1466938581222029E-4"/>
    <n v="27058823.529411763"/>
    <n v="3.9468044314006252E-4"/>
    <n v="0"/>
    <s v="na"/>
    <s v="na"/>
    <s v="na"/>
    <s v="na"/>
    <s v="na"/>
    <s v="na"/>
    <n v="0"/>
    <s v="na"/>
    <s v="na"/>
    <s v="na"/>
    <n v="1703728000"/>
    <n v="923172000"/>
    <n v="-780556000"/>
    <n v="2626900000"/>
    <n v="37674821000"/>
    <n v="33351426000"/>
    <n v="-4323395000"/>
    <n v="71026247000"/>
    <n v="4.5221926867283588E-2"/>
    <n v="2.7680135775903555E-2"/>
    <n v="1.5078554141179257E-2"/>
    <n v="1.6119974813024202E-2"/>
    <n v="3.6984919110255116E-2"/>
    <n v="3.8316006420518946E-2"/>
    <n v="42"/>
    <n v="743441449.33620834"/>
    <n v="0"/>
    <n v="0"/>
    <n v="42"/>
    <n v="743441449.33620834"/>
    <n v="0"/>
    <n v="0"/>
    <n v="1.0843849155295621E-2"/>
    <n v="0"/>
    <n v="1.0843849155295621E-2"/>
    <n v="0"/>
    <n v="43731849.960953429"/>
    <n v="6.378734797232718E-4"/>
  </r>
  <r>
    <n v="16"/>
    <s v="BRB"/>
    <s v="Barbados"/>
    <s v="Latin America &amp; Caribbean"/>
    <x v="1"/>
    <n v="0"/>
    <n v="0"/>
    <x v="0"/>
    <n v="2019"/>
    <n v="0"/>
    <s v="na"/>
    <n v="5209000000"/>
    <n v="0"/>
    <n v="0"/>
    <n v="3"/>
    <n v="490000000"/>
    <n v="3"/>
    <n v="490000000"/>
    <n v="0"/>
    <n v="9.4067959301209439E-2"/>
    <n v="9.4067959301209439E-2"/>
    <n v="0"/>
    <n v="6.1624368035817587E-4"/>
    <n v="2.2866956314779988E-4"/>
    <n v="28823529.411764707"/>
    <n v="5.5334093706593795E-3"/>
    <n v="0"/>
    <s v="na"/>
    <s v="na"/>
    <s v="na"/>
    <s v="na"/>
    <s v="na"/>
    <s v="na"/>
    <n v="0"/>
    <s v="na"/>
    <s v="na"/>
    <s v="na"/>
    <n v="155688000"/>
    <n v="41000"/>
    <n v="-155647000"/>
    <n v="155729000"/>
    <n v="1581059000"/>
    <n v="444089000"/>
    <n v="-1136970000"/>
    <n v="2025148000"/>
    <n v="9.8470708556733177E-2"/>
    <n v="9.2323835987831264E-5"/>
    <n v="6.3278558727322774E-4"/>
    <n v="2.1464460004622007E-4"/>
    <n v="7.6897589707023886E-2"/>
    <n v="2.989614129391438E-2"/>
    <n v="74"/>
    <n v="237145251.16707271"/>
    <n v="21"/>
    <n v="10215340.313144807"/>
    <n v="53"/>
    <n v="226929910.85392791"/>
    <n v="0"/>
    <n v="0"/>
    <n v="4.5526060888284259E-2"/>
    <n v="1.9610943200508366E-3"/>
    <n v="4.3564966568233422E-2"/>
    <n v="0"/>
    <n v="13949720.65688663"/>
    <n v="2.6780035816637801E-3"/>
  </r>
  <r>
    <n v="61"/>
    <s v="ERI"/>
    <s v="Eritrea"/>
    <s v="Sub-Saharan Africa"/>
    <x v="3"/>
    <n v="0"/>
    <n v="0"/>
    <x v="1"/>
    <s v="na"/>
    <n v="0"/>
    <s v="na"/>
    <s v="na"/>
    <n v="2"/>
    <n v="500000000"/>
    <n v="0"/>
    <n v="0"/>
    <n v="2"/>
    <n v="500000000"/>
    <n v="0"/>
    <n v="0"/>
    <n v="0"/>
    <n v="3.7240341717375598E-4"/>
    <n v="0"/>
    <n v="2.3333628892632639E-4"/>
    <n v="29411764.705882352"/>
    <n v="0"/>
    <n v="0"/>
    <s v="na"/>
    <s v="na"/>
    <s v="na"/>
    <s v="na"/>
    <s v="na"/>
    <s v="na"/>
    <n v="0"/>
    <s v="na"/>
    <s v="na"/>
    <s v="na"/>
    <n v="48608000"/>
    <n v="209892000"/>
    <n v="161284000"/>
    <n v="258500000"/>
    <n v="388456000"/>
    <n v="499061000"/>
    <n v="110605000"/>
    <n v="887517000"/>
    <n v="0.12513128900055603"/>
    <n v="0.42057383766713891"/>
    <n v="1.554713379385646E-4"/>
    <n v="2.4121459604643805E-4"/>
    <n v="0.29126202653019606"/>
    <s v="na"/>
    <n v="61"/>
    <n v="1013396936.7712584"/>
    <n v="50"/>
    <n v="447050479.60460484"/>
    <n v="10"/>
    <n v="566346457.16665351"/>
    <n v="1"/>
    <n v="0"/>
    <n v="0"/>
    <n v="0"/>
    <n v="0"/>
    <n v="0"/>
    <n v="59611584.515956372"/>
    <n v="0"/>
  </r>
  <r>
    <n v="11"/>
    <s v="AUT"/>
    <s v="Austria"/>
    <s v="Europe &amp; Central Asia"/>
    <x v="1"/>
    <n v="0"/>
    <n v="0"/>
    <x v="0"/>
    <s v="na"/>
    <n v="0"/>
    <s v="na"/>
    <n v="445075391688.15613"/>
    <n v="2"/>
    <n v="280000000"/>
    <n v="1"/>
    <n v="230000000"/>
    <n v="3"/>
    <n v="510000000"/>
    <n v="6.291069001545319E-4"/>
    <n v="5.1676638226979404E-4"/>
    <n v="1.1458732824243258E-3"/>
    <n v="2.0854591361730334E-4"/>
    <n v="2.8925723771914381E-4"/>
    <n v="2.3800301470485293E-4"/>
    <n v="30000000"/>
    <n v="6.7404310730842702E-5"/>
    <n v="2"/>
    <n v="0"/>
    <n v="0"/>
    <n v="0"/>
    <n v="0"/>
    <n v="0"/>
    <n v="0"/>
    <n v="0"/>
    <n v="0"/>
    <n v="0"/>
    <n v="0"/>
    <n v="10998301000"/>
    <n v="4981008000"/>
    <n v="-6017293000"/>
    <n v="15979309000"/>
    <n v="176596131000"/>
    <n v="171532055000"/>
    <n v="-5064076000"/>
    <n v="348128186000"/>
    <n v="6.2279399541318378E-2"/>
    <n v="2.9038350878499066E-2"/>
    <n v="7.0678884510328124E-2"/>
    <n v="8.2907771506570124E-2"/>
    <n v="4.5900647067973976E-2"/>
    <n v="3.5902476970005044E-2"/>
    <s v="na"/>
    <s v="na"/>
    <s v="na"/>
    <s v="na"/>
    <s v="na"/>
    <s v="na"/>
    <s v="na"/>
    <s v="na"/>
    <n v="0"/>
    <n v="0"/>
    <n v="0"/>
    <n v="0"/>
    <n v="0"/>
    <n v="0"/>
  </r>
  <r>
    <n v="138"/>
    <s v="NIC"/>
    <s v="Nicaragua"/>
    <s v="Latin America &amp; Caribbean"/>
    <x v="2"/>
    <n v="0"/>
    <n v="0"/>
    <x v="1"/>
    <s v="na"/>
    <n v="2"/>
    <s v="na"/>
    <n v="12611218627.063225"/>
    <n v="2"/>
    <n v="530000000"/>
    <n v="0"/>
    <n v="0"/>
    <n v="2"/>
    <n v="530000000"/>
    <n v="4.2026073425024839E-2"/>
    <n v="0"/>
    <n v="4.2026073425024839E-2"/>
    <n v="3.9474762220418133E-4"/>
    <n v="0"/>
    <n v="2.47336466261906E-4"/>
    <n v="31176470.588235293"/>
    <n v="2.4721219661779314E-3"/>
    <n v="0"/>
    <s v="na"/>
    <s v="na"/>
    <s v="na"/>
    <s v="na"/>
    <s v="na"/>
    <s v="na"/>
    <n v="0"/>
    <s v="na"/>
    <s v="na"/>
    <s v="na"/>
    <n v="893851000"/>
    <n v="28553000"/>
    <n v="-865298000"/>
    <n v="922404000"/>
    <n v="6985509000"/>
    <n v="5272553000"/>
    <n v="-1712956000"/>
    <n v="12258062000"/>
    <n v="0.12795789111430533"/>
    <n v="5.4154031263412622E-3"/>
    <n v="2.7958029491419478E-3"/>
    <n v="2.5484194157195912E-3"/>
    <n v="7.524876281421973E-2"/>
    <n v="7.3141543833087949E-2"/>
    <n v="1"/>
    <n v="4858309.3510989398"/>
    <n v="0"/>
    <n v="0"/>
    <n v="0"/>
    <n v="0"/>
    <n v="1"/>
    <n v="4858309.3510989398"/>
    <n v="3.8523710473729964E-4"/>
    <n v="0"/>
    <n v="0"/>
    <n v="3.8523710473729964E-4"/>
    <n v="285782.90300582"/>
    <n v="2.2661006161017628E-5"/>
  </r>
  <r>
    <n v="126"/>
    <s v="MDA"/>
    <s v="Moldova"/>
    <s v="Europe &amp; Central Asia"/>
    <x v="0"/>
    <n v="0"/>
    <n v="0"/>
    <x v="0"/>
    <n v="2013"/>
    <n v="0"/>
    <s v="na"/>
    <n v="11968699005.980051"/>
    <n v="0"/>
    <n v="0"/>
    <n v="2"/>
    <n v="560000000"/>
    <n v="2"/>
    <n v="560000000"/>
    <n v="0"/>
    <n v="4.6788711097187852E-2"/>
    <n v="4.6788711097187852E-2"/>
    <n v="0"/>
    <n v="7.0427849183791536E-4"/>
    <n v="2.6133664359748556E-4"/>
    <n v="32941176.470588237"/>
    <n v="2.7522771233639914E-3"/>
    <n v="0"/>
    <s v="na"/>
    <s v="na"/>
    <s v="na"/>
    <s v="na"/>
    <s v="na"/>
    <s v="na"/>
    <n v="0"/>
    <s v="na"/>
    <s v="na"/>
    <s v="na"/>
    <n v="602293000"/>
    <n v="17422000"/>
    <n v="-584871000"/>
    <n v="619715000"/>
    <n v="5842487000"/>
    <n v="2779165000"/>
    <n v="-3063322000"/>
    <n v="8621652000"/>
    <n v="0.10308846215661241"/>
    <n v="6.2687893665903244E-3"/>
    <n v="2.3383324514968757E-3"/>
    <n v="1.3432729923223796E-3"/>
    <n v="7.1878916012847655E-2"/>
    <n v="5.1777975174274585E-2"/>
    <n v="43"/>
    <n v="1495043161.0185857"/>
    <n v="37"/>
    <n v="177013256.82251224"/>
    <n v="4"/>
    <n v="1303715014.15573"/>
    <n v="2"/>
    <n v="14314890.04034332"/>
    <n v="0.12491275453343768"/>
    <n v="1.4789682381858646E-2"/>
    <n v="0.1089270449114261"/>
    <n v="1.1960272401529202E-3"/>
    <n v="87943715.354034454"/>
    <n v="7.3478090902022166E-3"/>
  </r>
  <r>
    <n v="142"/>
    <s v="MKD"/>
    <s v="North Macedonia"/>
    <s v="Europe &amp; Central Asia"/>
    <x v="0"/>
    <n v="0"/>
    <n v="0"/>
    <x v="0"/>
    <n v="2013"/>
    <n v="1"/>
    <n v="2001"/>
    <n v="12547086168.489635"/>
    <n v="0"/>
    <n v="0"/>
    <n v="3"/>
    <n v="650000000"/>
    <n v="3"/>
    <n v="650000000"/>
    <n v="0"/>
    <n v="5.1804856623395949E-2"/>
    <n v="5.1804856623395949E-2"/>
    <n v="0"/>
    <n v="8.1746610659758025E-4"/>
    <n v="3.0333717560422434E-4"/>
    <n v="38235294.117647059"/>
    <n v="3.0473445072585854E-3"/>
    <n v="0"/>
    <s v="na"/>
    <s v="na"/>
    <s v="na"/>
    <s v="na"/>
    <s v="na"/>
    <s v="na"/>
    <n v="0"/>
    <s v="na"/>
    <s v="na"/>
    <s v="na"/>
    <n v="545143000"/>
    <n v="166041000"/>
    <n v="-379102000"/>
    <n v="711184000"/>
    <n v="9445513000"/>
    <n v="7195141000"/>
    <n v="-2250372000"/>
    <n v="16640654000"/>
    <n v="5.7714493643701514E-2"/>
    <n v="2.3076823650849929E-2"/>
    <n v="3.7803677729938649E-3"/>
    <n v="3.4776771372881554E-3"/>
    <n v="4.2737743360327062E-2"/>
    <n v="5.6681207927466497E-2"/>
    <n v="35"/>
    <n v="2913525344.0071635"/>
    <n v="27"/>
    <n v="56559763.830491133"/>
    <n v="7"/>
    <n v="964003282.90331233"/>
    <n v="1"/>
    <n v="1892962297.27336"/>
    <n v="0.23220732725372534"/>
    <n v="4.5078007013718913E-3"/>
    <n v="7.6830849008137081E-2"/>
    <n v="0.15086867754421637"/>
    <n v="171383843.76512727"/>
    <n v="1.3659254544336785E-2"/>
  </r>
  <r>
    <n v="48"/>
    <s v="HRV"/>
    <s v="Croatia"/>
    <s v="Europe &amp; Central Asia"/>
    <x v="1"/>
    <n v="1"/>
    <n v="0"/>
    <x v="0"/>
    <n v="2017"/>
    <n v="0"/>
    <s v="na"/>
    <n v="60752588976.317482"/>
    <n v="0"/>
    <n v="0"/>
    <n v="3"/>
    <n v="690000000"/>
    <n v="3"/>
    <n v="690000000"/>
    <n v="0"/>
    <n v="1.135754066824996E-2"/>
    <n v="1.135754066824996E-2"/>
    <n v="0"/>
    <n v="8.6777171315743137E-4"/>
    <n v="3.2200407871833044E-4"/>
    <n v="40588235.294117644"/>
    <n v="6.6809062754411529E-4"/>
    <n v="3"/>
    <n v="0"/>
    <n v="0"/>
    <n v="0"/>
    <n v="0"/>
    <n v="0"/>
    <n v="0"/>
    <n v="0"/>
    <n v="0"/>
    <n v="0"/>
    <n v="0"/>
    <n v="804121000"/>
    <n v="120454000"/>
    <n v="-683667000"/>
    <n v="924575000"/>
    <n v="28004414000"/>
    <n v="17063050000"/>
    <n v="-10941364000"/>
    <n v="45067464000"/>
    <n v="2.8714080573155359E-2"/>
    <n v="7.0593475375152741E-3"/>
    <n v="1.120817727816141E-2"/>
    <n v="8.2472016708782601E-3"/>
    <n v="2.0515354491657218E-2"/>
    <n v="1.521869299035827E-2"/>
    <s v="na"/>
    <s v="na"/>
    <s v="na"/>
    <s v="na"/>
    <s v="na"/>
    <s v="na"/>
    <s v="na"/>
    <s v="na"/>
    <n v="0"/>
    <n v="0"/>
    <n v="0"/>
    <n v="0"/>
    <n v="0"/>
    <n v="0"/>
  </r>
  <r>
    <n v="109"/>
    <s v="LBR"/>
    <s v="Liberia"/>
    <s v="Sub-Saharan Africa"/>
    <x v="3"/>
    <n v="0"/>
    <n v="0"/>
    <x v="0"/>
    <n v="2019"/>
    <n v="1"/>
    <n v="2003"/>
    <n v="3070518100"/>
    <n v="2"/>
    <n v="280000000"/>
    <n v="2"/>
    <n v="410000000"/>
    <n v="4"/>
    <n v="690000000"/>
    <n v="9.1189822329983988E-2"/>
    <n v="0.13352795412604798"/>
    <n v="0.22471777645603197"/>
    <n v="2.0854591361730334E-4"/>
    <n v="5.1563246723847374E-4"/>
    <n v="3.2200407871833044E-4"/>
    <n v="40588235.294117644"/>
    <n v="1.3218692732707761E-2"/>
    <n v="2"/>
    <n v="0"/>
    <n v="0"/>
    <n v="0"/>
    <n v="0"/>
    <n v="0"/>
    <n v="0"/>
    <n v="0"/>
    <n v="0"/>
    <n v="0"/>
    <n v="0"/>
    <n v="3909849000"/>
    <n v="112419000"/>
    <n v="-3797430000"/>
    <n v="4022268000"/>
    <n v="12349304000"/>
    <n v="2001974000"/>
    <n v="-10347330000"/>
    <n v="14351278000"/>
    <n v="0.3166048062303754"/>
    <n v="5.6154075927059989E-2"/>
    <n v="4.9425490029503145E-3"/>
    <n v="9.6762790461581215E-4"/>
    <n v="0.28027246075227585"/>
    <n v="1.3099639438699286"/>
    <n v="144"/>
    <n v="1151598844.2702711"/>
    <n v="137"/>
    <n v="649897009.68720102"/>
    <n v="6"/>
    <n v="501701834.58307004"/>
    <n v="1"/>
    <n v="0"/>
    <n v="0.37505033573007468"/>
    <n v="0.21165711730772765"/>
    <n v="0.16339321842234705"/>
    <n v="0"/>
    <n v="67741108.486486539"/>
    <n v="2.2061784454710277E-2"/>
  </r>
  <r>
    <n v="78"/>
    <s v="GTM"/>
    <s v="Guatemala"/>
    <s v="Latin America &amp; Caribbean"/>
    <x v="0"/>
    <n v="0"/>
    <n v="0"/>
    <x v="1"/>
    <s v="na"/>
    <n v="2"/>
    <s v="na"/>
    <n v="77020015201.320053"/>
    <n v="1"/>
    <n v="700000000"/>
    <n v="0"/>
    <n v="0"/>
    <n v="1"/>
    <n v="700000000"/>
    <n v="9.0885466351868834E-3"/>
    <n v="0"/>
    <n v="9.0885466351868834E-3"/>
    <n v="5.2136478404325834E-4"/>
    <n v="0"/>
    <n v="3.2667080449685698E-4"/>
    <n v="41176470.588235296"/>
    <n v="5.346203903051108E-4"/>
    <n v="0"/>
    <s v="na"/>
    <s v="na"/>
    <s v="na"/>
    <s v="na"/>
    <s v="na"/>
    <s v="na"/>
    <n v="0"/>
    <s v="na"/>
    <s v="na"/>
    <s v="na"/>
    <n v="2228910000"/>
    <n v="189004000"/>
    <n v="-2039906000"/>
    <n v="2417914000"/>
    <n v="19881010000"/>
    <n v="11183088000"/>
    <n v="-8697922000"/>
    <n v="31064098000"/>
    <n v="0.11211251339846416"/>
    <n v="1.6900877467833572E-2"/>
    <n v="7.9569558052134132E-3"/>
    <n v="5.4051990728022602E-3"/>
    <n v="7.7836285476565265E-2"/>
    <n v="3.1393320212673229E-2"/>
    <n v="0"/>
    <s v="na"/>
    <s v="na"/>
    <s v="na"/>
    <s v="na"/>
    <s v="na"/>
    <s v="na"/>
    <s v="na"/>
    <n v="0"/>
    <n v="0"/>
    <n v="0"/>
    <n v="0"/>
    <n v="0"/>
    <n v="0"/>
  </r>
  <r>
    <n v="193"/>
    <s v="TGO"/>
    <s v="Togo"/>
    <s v="Sub-Saharan Africa"/>
    <x v="3"/>
    <n v="0"/>
    <n v="0"/>
    <x v="0"/>
    <n v="2018"/>
    <n v="0"/>
    <s v="na"/>
    <n v="7220395247.7424049"/>
    <n v="3"/>
    <n v="730000000"/>
    <n v="0"/>
    <n v="0"/>
    <n v="3"/>
    <n v="730000000"/>
    <n v="0.10110249854095571"/>
    <n v="0"/>
    <n v="0.10110249854095571"/>
    <n v="5.4370898907368369E-4"/>
    <n v="0"/>
    <n v="3.4067098183243654E-4"/>
    <n v="42941176.470588237"/>
    <n v="5.947205796526806E-3"/>
    <n v="3"/>
    <n v="0"/>
    <n v="0"/>
    <n v="0"/>
    <n v="0"/>
    <n v="0"/>
    <n v="0"/>
    <n v="0"/>
    <n v="0"/>
    <n v="0"/>
    <n v="0"/>
    <n v="403066000"/>
    <n v="9334000"/>
    <n v="-393732000"/>
    <n v="412400000"/>
    <n v="1964438000"/>
    <n v="1025312000"/>
    <n v="-939126000"/>
    <n v="2989750000"/>
    <n v="0.20518132921476778"/>
    <n v="9.1035704253924661E-3"/>
    <n v="7.8622496282039131E-4"/>
    <n v="4.9557112237094366E-4"/>
    <n v="0.13793795467848483"/>
    <n v="5.7115986846972784E-2"/>
    <n v="120"/>
    <n v="1801457587.2364957"/>
    <n v="102"/>
    <n v="946408470.0451287"/>
    <n v="11"/>
    <n v="660375004.64250684"/>
    <n v="7"/>
    <n v="194674112.54886019"/>
    <n v="0.24949570285639916"/>
    <n v="0.13107433008477498"/>
    <n v="9.1459675264866661E-2"/>
    <n v="2.6961697506757514E-2"/>
    <n v="105968093.36685269"/>
    <n v="1.4676217815082304E-2"/>
  </r>
  <r>
    <n v="49"/>
    <s v="CUB"/>
    <s v="Cuba"/>
    <s v="Latin America &amp; Caribbean"/>
    <x v="0"/>
    <n v="0"/>
    <n v="0"/>
    <x v="0"/>
    <n v="2019"/>
    <n v="0"/>
    <s v="na"/>
    <n v="103131000000"/>
    <n v="1"/>
    <n v="500000000"/>
    <n v="2"/>
    <n v="240000000"/>
    <n v="3"/>
    <n v="740000000"/>
    <n v="4.8482027712327038E-3"/>
    <n v="2.3271373301916977E-3"/>
    <n v="7.1753401014244024E-3"/>
    <n v="3.7240341717375598E-4"/>
    <n v="3.0183363935910656E-4"/>
    <n v="3.4533770761096307E-4"/>
    <n v="43529411.764705881"/>
    <n v="4.2207882949555302E-4"/>
    <n v="0"/>
    <s v="na"/>
    <s v="na"/>
    <s v="na"/>
    <s v="na"/>
    <s v="na"/>
    <s v="na"/>
    <n v="0"/>
    <s v="na"/>
    <s v="na"/>
    <s v="na"/>
    <n v="790430000"/>
    <n v="491944000"/>
    <n v="-298486000"/>
    <n v="1282374000"/>
    <n v="5756952000"/>
    <n v="1694809000"/>
    <n v="-4062143000"/>
    <n v="7451761000"/>
    <n v="0.13730008518396541"/>
    <n v="0.29026515672267494"/>
    <n v="2.3040988680522248E-3"/>
    <n v="8.1916372609934984E-4"/>
    <n v="0.17209006032265392"/>
    <n v="1.2434418361113536E-2"/>
    <n v="118"/>
    <n v="8611964867.0887985"/>
    <n v="69"/>
    <n v="3389033867.9750204"/>
    <n v="27"/>
    <n v="3153882808.8466272"/>
    <n v="22"/>
    <n v="2069048190.2671511"/>
    <n v="8.3505103868757202E-2"/>
    <n v="3.2861446781035968E-2"/>
    <n v="3.0581326747986807E-2"/>
    <n v="2.0062330339734428E-2"/>
    <n v="506586168.65228224"/>
    <n v="4.9120649334563051E-3"/>
  </r>
  <r>
    <n v="192"/>
    <s v="TLS"/>
    <s v="Timor"/>
    <s v="East Asia &amp; Pacific"/>
    <x v="2"/>
    <n v="0"/>
    <n v="0"/>
    <x v="0"/>
    <n v="2017"/>
    <n v="0"/>
    <s v="na"/>
    <n v="2017924900"/>
    <n v="0"/>
    <n v="0"/>
    <n v="2"/>
    <n v="780000000"/>
    <n v="2"/>
    <n v="780000000"/>
    <n v="0"/>
    <n v="0.38653569317668857"/>
    <n v="0.38653569317668857"/>
    <n v="0"/>
    <n v="9.8095932791709625E-4"/>
    <n v="3.6400461072506917E-4"/>
    <n v="45882352.941176474"/>
    <n v="2.2737393716275801E-2"/>
    <n v="1"/>
    <n v="0"/>
    <n v="0"/>
    <n v="0"/>
    <n v="0"/>
    <n v="0"/>
    <n v="0"/>
    <n v="0"/>
    <n v="0"/>
    <n v="0"/>
    <n v="0"/>
    <n v="143579000"/>
    <n v="24561000"/>
    <n v="-119018000"/>
    <n v="168140000"/>
    <n v="547133000"/>
    <n v="123273000"/>
    <n v="-423860000"/>
    <n v="670406000"/>
    <n v="0.2624206545757613"/>
    <n v="0.19924070964444768"/>
    <n v="2.1897846742061043E-4"/>
    <n v="5.9582389524391928E-5"/>
    <n v="0.25080324460103282"/>
    <n v="8.3323219808626184E-2"/>
    <n v="75"/>
    <n v="248960207.85690689"/>
    <n v="72"/>
    <n v="199802597.25105408"/>
    <n v="1"/>
    <n v="49157610.605852798"/>
    <n v="2"/>
    <n v="0"/>
    <n v="0.12337436732997689"/>
    <n v="9.9013891572998614E-2"/>
    <n v="2.4360475756978268E-2"/>
    <n v="0"/>
    <n v="14644718.109229818"/>
    <n v="7.2573157252927593E-3"/>
  </r>
  <r>
    <n v="46"/>
    <s v="CRI"/>
    <s v="Costa Rica"/>
    <s v="Latin America &amp; Caribbean"/>
    <x v="0"/>
    <n v="0"/>
    <n v="1"/>
    <x v="0"/>
    <n v="2018"/>
    <n v="1"/>
    <n v="2007"/>
    <n v="63951114302.259895"/>
    <n v="2"/>
    <n v="340000000"/>
    <n v="1"/>
    <n v="470000000"/>
    <n v="3"/>
    <n v="810000000"/>
    <n v="5.3165609967797721E-3"/>
    <n v="7.3493637308426263E-3"/>
    <n v="1.2665924727622398E-2"/>
    <n v="2.5323432367815407E-4"/>
    <n v="5.9109087707825037E-4"/>
    <n v="3.7800478806064878E-4"/>
    <n v="47647058.823529415"/>
    <n v="7.4505439574249399E-4"/>
    <n v="0"/>
    <s v="na"/>
    <s v="na"/>
    <s v="na"/>
    <s v="na"/>
    <s v="na"/>
    <s v="na"/>
    <n v="0"/>
    <s v="na"/>
    <s v="na"/>
    <s v="na"/>
    <n v="2123512000"/>
    <n v="122060000"/>
    <n v="-2001452000"/>
    <n v="2245572000"/>
    <n v="16108703000"/>
    <n v="11452817000"/>
    <n v="-4655886000"/>
    <n v="27561520000"/>
    <n v="0.13182389668491623"/>
    <n v="1.0657639950066434E-2"/>
    <n v="6.4471693264229893E-3"/>
    <n v="5.535569051175665E-3"/>
    <n v="8.1474896885222581E-2"/>
    <n v="3.5113883854884551E-2"/>
    <n v="49"/>
    <n v="2307465109.615099"/>
    <n v="32"/>
    <n v="612464513.52537298"/>
    <n v="14"/>
    <n v="1539869204.1605048"/>
    <n v="3"/>
    <n v="155131391.92922124"/>
    <n v="3.6081702950617051E-2"/>
    <n v="9.5770733662373392E-3"/>
    <n v="2.4078848679358965E-2"/>
    <n v="2.4257809050207469E-3"/>
    <n v="135733241.74206465"/>
    <n v="2.1224531147421796E-3"/>
  </r>
  <r>
    <n v="116"/>
    <s v="MWI"/>
    <s v="Malawi"/>
    <s v="Sub-Saharan Africa"/>
    <x v="3"/>
    <n v="0"/>
    <n v="0"/>
    <x v="1"/>
    <s v="na"/>
    <n v="1"/>
    <n v="2008"/>
    <n v="10862613621.905966"/>
    <n v="3"/>
    <n v="810000000"/>
    <n v="0"/>
    <n v="0"/>
    <n v="3"/>
    <n v="810000000"/>
    <n v="7.4567689526075273E-2"/>
    <n v="0"/>
    <n v="7.4567689526075273E-2"/>
    <n v="6.032935358214847E-4"/>
    <n v="0"/>
    <n v="3.7800478806064878E-4"/>
    <n v="47647058.823529415"/>
    <n v="4.3863346780044273E-3"/>
    <n v="0"/>
    <s v="na"/>
    <s v="na"/>
    <s v="na"/>
    <s v="na"/>
    <s v="na"/>
    <s v="na"/>
    <n v="0"/>
    <s v="na"/>
    <s v="na"/>
    <s v="na"/>
    <n v="541249000"/>
    <n v="35293000"/>
    <n v="-505956000"/>
    <n v="576542000"/>
    <n v="2941148000"/>
    <n v="912983000"/>
    <n v="-2028165000"/>
    <n v="3854131000"/>
    <n v="0.18402644137595253"/>
    <n v="3.8656798647948541E-2"/>
    <n v="1.1771325829317432E-3"/>
    <n v="4.412783718668963E-4"/>
    <n v="0.14959065999572926"/>
    <n v="5.3075808462645042E-2"/>
    <n v="155"/>
    <n v="1346157401.5601292"/>
    <n v="144"/>
    <n v="1208006927.5556164"/>
    <n v="6"/>
    <n v="161598.31997793919"/>
    <n v="5"/>
    <n v="137988875.68453479"/>
    <n v="0.12392573725032585"/>
    <n v="0.11120775990038925"/>
    <n v="1.4876559693889303E-5"/>
    <n v="1.27031007902427E-2"/>
    <n v="79185729.503537014"/>
    <n v="7.2897492500191684E-3"/>
  </r>
  <r>
    <n v="166"/>
    <s v="STP"/>
    <s v="Sao Tome and Principe"/>
    <s v="Sub-Saharan Africa"/>
    <x v="2"/>
    <n v="0"/>
    <n v="0"/>
    <x v="1"/>
    <s v="na"/>
    <n v="1"/>
    <n v="2016"/>
    <n v="427425039.68433946"/>
    <n v="3"/>
    <n v="950000000"/>
    <n v="0"/>
    <n v="0"/>
    <n v="3"/>
    <n v="950000000"/>
    <n v="2.2226119478203499"/>
    <n v="0"/>
    <n v="2.2226119478203499"/>
    <n v="7.0756649263013641E-4"/>
    <n v="0"/>
    <n v="4.4333894896002015E-4"/>
    <n v="55882352.941176474"/>
    <n v="0.13074187928354999"/>
    <n v="0"/>
    <s v="na"/>
    <s v="na"/>
    <s v="na"/>
    <s v="na"/>
    <s v="na"/>
    <s v="na"/>
    <n v="0"/>
    <s v="na"/>
    <s v="na"/>
    <s v="na"/>
    <n v="8980000"/>
    <n v="14000"/>
    <n v="-8966000"/>
    <n v="8994000"/>
    <n v="147896000"/>
    <n v="9860000"/>
    <n v="-138036000"/>
    <n v="157756000"/>
    <n v="6.071834261913777E-2"/>
    <n v="1.4198782961460446E-3"/>
    <n v="5.9192261146080758E-5"/>
    <n v="4.7657018220575822E-6"/>
    <n v="5.7012094627145717E-2"/>
    <n v="2.1042286167048656E-2"/>
    <n v="22"/>
    <n v="228583110.16083306"/>
    <n v="18"/>
    <n v="228583110.16083306"/>
    <n v="3"/>
    <n v="0"/>
    <n v="1"/>
    <n v="0"/>
    <n v="0.53479110706673971"/>
    <n v="0.53479110706673971"/>
    <n v="0"/>
    <n v="0"/>
    <n v="13446065.303578416"/>
    <n v="3.1458300415690574E-2"/>
  </r>
  <r>
    <n v="52"/>
    <s v="CZE"/>
    <s v="Czech Republic"/>
    <s v="Europe &amp; Central Asia"/>
    <x v="1"/>
    <n v="0"/>
    <n v="0"/>
    <x v="0"/>
    <n v="2015"/>
    <n v="0"/>
    <s v="na"/>
    <n v="252498032247.16284"/>
    <n v="1"/>
    <n v="100000000"/>
    <n v="4"/>
    <n v="860000000"/>
    <n v="5"/>
    <n v="960000000"/>
    <n v="3.960426903529805E-4"/>
    <n v="3.4059671370356322E-3"/>
    <n v="3.8020098273886128E-3"/>
    <n v="7.4480683434751193E-5"/>
    <n v="1.0815705410367985E-3"/>
    <n v="4.4800567473854668E-4"/>
    <n v="56470588.235294119"/>
    <n v="2.2364763690521251E-4"/>
    <n v="0"/>
    <s v="na"/>
    <s v="na"/>
    <s v="na"/>
    <s v="na"/>
    <s v="na"/>
    <s v="na"/>
    <n v="0"/>
    <s v="na"/>
    <s v="na"/>
    <s v="na"/>
    <n v="28337633000"/>
    <n v="2469651000"/>
    <n v="-25867982000"/>
    <n v="30807284000"/>
    <n v="179273065000"/>
    <n v="199469710000"/>
    <n v="20196645000"/>
    <n v="378742775000"/>
    <n v="0.15806966316998039"/>
    <n v="1.2381082822048521E-2"/>
    <n v="7.1750271000826996E-2"/>
    <n v="9.641107103370157E-2"/>
    <n v="8.1340915348154172E-2"/>
    <n v="0.1220099963782833"/>
    <s v="na"/>
    <s v="na"/>
    <s v="na"/>
    <s v="na"/>
    <s v="na"/>
    <s v="na"/>
    <s v="na"/>
    <s v="na"/>
    <n v="0"/>
    <n v="0"/>
    <n v="0"/>
    <n v="0"/>
    <n v="0"/>
    <n v="0"/>
  </r>
  <r>
    <n v="6"/>
    <s v="ATG"/>
    <s v="Antigua and Barbuda"/>
    <s v="Latin America &amp; Caribbean"/>
    <x v="1"/>
    <n v="0"/>
    <n v="0"/>
    <x v="0"/>
    <n v="2018"/>
    <n v="0"/>
    <s v="na"/>
    <n v="1661962962.9629629"/>
    <n v="0"/>
    <n v="0"/>
    <n v="2"/>
    <n v="1000000000"/>
    <n v="2"/>
    <n v="1000000000"/>
    <n v="0"/>
    <n v="0.60169812582176363"/>
    <n v="0.60169812582176363"/>
    <n v="0"/>
    <n v="1.2576401639962775E-3"/>
    <n v="4.6667257785265278E-4"/>
    <n v="58823529.411764704"/>
    <n v="3.5394007401280216E-2"/>
    <n v="0"/>
    <s v="na"/>
    <s v="na"/>
    <s v="na"/>
    <s v="na"/>
    <s v="na"/>
    <s v="na"/>
    <n v="0"/>
    <s v="na"/>
    <s v="na"/>
    <s v="na"/>
    <n v="42000000"/>
    <n v="19000"/>
    <n v="-41981000"/>
    <n v="42019000"/>
    <n v="568334000"/>
    <n v="37400000"/>
    <n v="-530934000"/>
    <n v="605734000"/>
    <n v="7.3900206568672647E-2"/>
    <n v="5.080213903743316E-4"/>
    <n v="2.2746372144071954E-4"/>
    <n v="1.8076800014701171E-5"/>
    <n v="6.9368732810111369E-2"/>
    <n v="2.5282753548904687E-2"/>
    <n v="59"/>
    <n v="398209262.67240685"/>
    <n v="54"/>
    <n v="390298705.9867053"/>
    <n v="2"/>
    <n v="0"/>
    <n v="3"/>
    <n v="7910556.6857015602"/>
    <n v="0.23960176703485361"/>
    <n v="0.23484199990286014"/>
    <n v="0"/>
    <n v="4.7597671319934516E-3"/>
    <n v="23424074.274847463"/>
    <n v="1.4094221590285507E-2"/>
  </r>
  <r>
    <n v="122"/>
    <s v="MRT"/>
    <s v="Mauritania"/>
    <s v="Sub-Saharan Africa"/>
    <x v="2"/>
    <n v="0"/>
    <n v="0"/>
    <x v="0"/>
    <n v="2018"/>
    <n v="0"/>
    <s v="na"/>
    <n v="7600650037.8463011"/>
    <n v="6"/>
    <n v="1010000000"/>
    <n v="0"/>
    <n v="0"/>
    <n v="6"/>
    <n v="1010000000"/>
    <n v="0.13288337115521118"/>
    <n v="0"/>
    <n v="0.13288337115521118"/>
    <n v="7.5225490269098712E-4"/>
    <n v="0"/>
    <n v="4.7133930363117932E-4"/>
    <n v="59411764.705882356"/>
    <n v="7.8166688914830113E-3"/>
    <n v="0"/>
    <s v="na"/>
    <s v="na"/>
    <s v="na"/>
    <s v="na"/>
    <s v="na"/>
    <s v="na"/>
    <n v="0"/>
    <s v="na"/>
    <s v="na"/>
    <s v="na"/>
    <n v="377888000"/>
    <n v="875593000"/>
    <n v="497705000"/>
    <n v="1253481000"/>
    <n v="3519825000"/>
    <n v="2890635000"/>
    <n v="-629190000"/>
    <n v="6410460000"/>
    <n v="0.10735988294872614"/>
    <n v="0.30290680075485144"/>
    <n v="1.408735872427271E-3"/>
    <n v="1.3971505564303671E-3"/>
    <n v="0.19553682575041417"/>
    <n v="0.1649176049099062"/>
    <n v="99"/>
    <n v="2573750430.3313603"/>
    <n v="88"/>
    <n v="1273043490.1578119"/>
    <n v="7"/>
    <n v="389471132.71857762"/>
    <n v="4"/>
    <n v="911235807.45497096"/>
    <n v="0.33862240959862044"/>
    <n v="0.16749139663303561"/>
    <n v="5.1241818894339868E-2"/>
    <n v="0.11988919407124501"/>
    <n v="151397084.13713884"/>
    <n v="1.9918965270507086E-2"/>
  </r>
  <r>
    <n v="160"/>
    <s v="RWA"/>
    <s v="Rwanda"/>
    <s v="Sub-Saharan Africa"/>
    <x v="3"/>
    <n v="0"/>
    <n v="0"/>
    <x v="0"/>
    <n v="2018"/>
    <n v="0"/>
    <s v="na"/>
    <n v="10355974217.373478"/>
    <n v="1"/>
    <n v="120000000"/>
    <n v="6"/>
    <n v="1050000000"/>
    <n v="7"/>
    <n v="1170000000"/>
    <n v="1.1587514364286903E-2"/>
    <n v="0.10139075068751041"/>
    <n v="0.11297826505179731"/>
    <n v="8.9376820121701432E-5"/>
    <n v="1.3205221721960913E-3"/>
    <n v="5.4600691608760381E-4"/>
    <n v="68823529.411764711"/>
    <n v="6.6457802971645477E-3"/>
    <n v="2"/>
    <n v="1"/>
    <n v="100000000"/>
    <n v="1"/>
    <n v="100000000"/>
    <n v="0"/>
    <n v="0"/>
    <n v="2"/>
    <n v="200000000"/>
    <n v="1.9312523940478173E-2"/>
    <n v="5.0175325129834924E-3"/>
    <n v="635332"/>
    <n v="6583"/>
    <n v="-628749"/>
    <n v="641915"/>
    <n v="3195163000"/>
    <n v="1161751000"/>
    <n v="-2033412000"/>
    <n v="4356914000"/>
    <n v="1.9884181182618852E-4"/>
    <n v="5.6664465965598478E-6"/>
    <n v="1.2787967402789449E-3"/>
    <n v="5.6151712550478895E-4"/>
    <n v="1.4733249267715636E-4"/>
    <n v="6.1984994026260224E-5"/>
    <n v="104"/>
    <n v="838191857.3194195"/>
    <n v="97"/>
    <n v="811643265.86835873"/>
    <n v="5"/>
    <n v="145250.687988369"/>
    <n v="2"/>
    <n v="26403340.763072379"/>
    <n v="8.0938001555975775E-2"/>
    <n v="7.8374400016052836E-2"/>
    <n v="1.4025786945731509E-5"/>
    <n v="2.5495757529771929E-3"/>
    <n v="49305403.371730559"/>
    <n v="4.7610589150573982E-3"/>
  </r>
  <r>
    <n v="128"/>
    <s v="MNE"/>
    <s v="Montenegro"/>
    <s v="Europe &amp; Central Asia"/>
    <x v="0"/>
    <n v="0"/>
    <n v="0"/>
    <x v="0"/>
    <n v="2017"/>
    <n v="0"/>
    <s v="na"/>
    <n v="5542674764.8902826"/>
    <n v="0"/>
    <n v="0"/>
    <n v="2"/>
    <n v="1220000000"/>
    <n v="2"/>
    <n v="1220000000"/>
    <n v="0"/>
    <n v="0.22011033512700612"/>
    <n v="0.22011033512700612"/>
    <n v="0"/>
    <n v="1.5343210000754585E-3"/>
    <n v="5.6934054498023639E-4"/>
    <n v="71764705.882352948"/>
    <n v="1.2947666772176833E-2"/>
    <n v="0"/>
    <s v="na"/>
    <s v="na"/>
    <s v="na"/>
    <s v="na"/>
    <s v="na"/>
    <s v="na"/>
    <n v="0"/>
    <s v="na"/>
    <s v="na"/>
    <s v="na"/>
    <n v="221954000"/>
    <n v="17413000"/>
    <n v="-204541000"/>
    <n v="239367000"/>
    <n v="2600771000"/>
    <n v="415484000"/>
    <n v="-2185287000"/>
    <n v="3016255000"/>
    <n v="8.5341616005407628E-2"/>
    <n v="4.1910157791876464E-2"/>
    <n v="1.0409038527962459E-3"/>
    <n v="2.008187480563664E-4"/>
    <n v="7.9359006450051478E-2"/>
    <n v="4.3186189006841048E-2"/>
    <n v="20"/>
    <n v="1035055873.7648617"/>
    <n v="16"/>
    <n v="22913447.661233313"/>
    <n v="4"/>
    <n v="1012142426.1036284"/>
    <n v="0"/>
    <n v="0"/>
    <n v="0.18674302889308186"/>
    <n v="4.1340054455976877E-3"/>
    <n v="0.18260902344748417"/>
    <n v="0"/>
    <n v="60885639.633227162"/>
    <n v="1.0984884052534227E-2"/>
  </r>
  <r>
    <n v="188"/>
    <s v="TWN"/>
    <s v="Taipei, Chinese"/>
    <s v="East Asia &amp; Pacific"/>
    <x v="4"/>
    <n v="0"/>
    <n v="0"/>
    <x v="1"/>
    <s v="na"/>
    <n v="0"/>
    <s v="na"/>
    <s v="na"/>
    <n v="3"/>
    <n v="1220000000"/>
    <n v="0"/>
    <n v="0"/>
    <n v="3"/>
    <n v="1220000000"/>
    <n v="0"/>
    <n v="0"/>
    <n v="0"/>
    <n v="9.0866433790396457E-4"/>
    <n v="0"/>
    <n v="5.6934054498023639E-4"/>
    <n v="71764705.882352948"/>
    <n v="0"/>
    <n v="0"/>
    <s v="na"/>
    <s v="na"/>
    <s v="na"/>
    <s v="na"/>
    <s v="na"/>
    <s v="na"/>
    <n v="0"/>
    <s v="na"/>
    <s v="na"/>
    <s v="na"/>
    <n v="57432534000"/>
    <n v="91886693000"/>
    <n v="34454159000"/>
    <n v="149319227000"/>
    <n v="285906281000"/>
    <n v="329512433000"/>
    <n v="43606152000"/>
    <n v="615418714000"/>
    <n v="0.20087888170599513"/>
    <n v="0.27885652800238953"/>
    <n v="0.11442797133294171"/>
    <n v="0.15926551747857273"/>
    <n v="0.24263029966943775"/>
    <s v="na"/>
    <s v="na"/>
    <s v="na"/>
    <s v="na"/>
    <s v="na"/>
    <s v="na"/>
    <s v="na"/>
    <s v="na"/>
    <s v="na"/>
    <n v="0"/>
    <n v="0"/>
    <n v="0"/>
    <n v="0"/>
    <n v="0"/>
    <n v="0"/>
  </r>
  <r>
    <n v="118"/>
    <s v="MDV"/>
    <s v="Maldives"/>
    <s v="South Asia"/>
    <x v="0"/>
    <n v="0"/>
    <n v="0"/>
    <x v="0"/>
    <n v="2017"/>
    <n v="0"/>
    <s v="na"/>
    <n v="5642179170.4589777"/>
    <n v="0"/>
    <n v="0"/>
    <n v="6"/>
    <n v="1230000000"/>
    <n v="6"/>
    <n v="1230000000"/>
    <n v="0"/>
    <n v="0.218000875697101"/>
    <n v="0.218000875697101"/>
    <n v="0"/>
    <n v="1.5468974017154211E-3"/>
    <n v="5.7400727075876293E-4"/>
    <n v="72352941.176470593"/>
    <n v="1.2823580923358883E-2"/>
    <n v="1"/>
    <n v="3"/>
    <n v="67300000"/>
    <n v="0"/>
    <n v="0"/>
    <n v="0"/>
    <n v="0"/>
    <n v="3"/>
    <n v="67300000"/>
    <n v="1.1928015393833249E-2"/>
    <n v="1.6883996906189452E-3"/>
    <n v="469397"/>
    <n v="4"/>
    <n v="-469393"/>
    <n v="469401"/>
    <n v="2887083000"/>
    <n v="158016000"/>
    <n v="-2729067000"/>
    <n v="3045099000"/>
    <n v="1.6258521144005904E-4"/>
    <n v="2.5313892264074525E-8"/>
    <n v="1.1554942046195318E-3"/>
    <n v="7.6374963399011253E-5"/>
    <n v="1.5414966804034943E-4"/>
    <n v="8.3194982969995863E-5"/>
    <n v="77"/>
    <n v="1817080883.9023614"/>
    <n v="63"/>
    <n v="384920213.52288961"/>
    <n v="10"/>
    <n v="1185724060.2961195"/>
    <n v="4"/>
    <n v="246436610.0833523"/>
    <n v="0.32205302756355864"/>
    <n v="6.8221905383337431E-2"/>
    <n v="0.21015356380461481"/>
    <n v="4.3677558375606364E-2"/>
    <n v="106887110.81778596"/>
    <n v="1.8944295739032859E-2"/>
  </r>
  <r>
    <n v="14"/>
    <s v="BHR"/>
    <s v="Bahrain"/>
    <s v="Middle East &amp; North Africa"/>
    <x v="1"/>
    <n v="0"/>
    <n v="0"/>
    <x v="0"/>
    <n v="2018"/>
    <n v="0"/>
    <s v="na"/>
    <n v="38474521276.595741"/>
    <n v="0"/>
    <n v="0"/>
    <n v="2"/>
    <n v="1420000000"/>
    <n v="2"/>
    <n v="1420000000"/>
    <n v="0"/>
    <n v="3.6907541741495138E-2"/>
    <n v="3.6907541741495138E-2"/>
    <n v="0"/>
    <n v="1.785849032874714E-3"/>
    <n v="6.6267506055076692E-4"/>
    <n v="83529411.764705881"/>
    <n v="2.1710318671467727E-3"/>
    <n v="1"/>
    <n v="0"/>
    <n v="0"/>
    <n v="0"/>
    <n v="0"/>
    <n v="0"/>
    <n v="0"/>
    <n v="0"/>
    <n v="0"/>
    <n v="0"/>
    <n v="0"/>
    <n v="2065479"/>
    <n v="317157"/>
    <n v="-1748322"/>
    <n v="2382636"/>
    <n v="18589050000"/>
    <n v="14167296000"/>
    <n v="-4421754000"/>
    <n v="32756346000"/>
    <n v="1.1111267116931742E-4"/>
    <n v="2.2386558451238685E-5"/>
    <n v="7.4398760078538458E-3"/>
    <n v="6.847576912862992E-3"/>
    <n v="7.2738149731352826E-5"/>
    <n v="6.1927632130133101E-5"/>
    <s v="na"/>
    <s v="na"/>
    <s v="na"/>
    <s v="na"/>
    <s v="na"/>
    <s v="na"/>
    <s v="na"/>
    <s v="na"/>
    <n v="0"/>
    <n v="0"/>
    <n v="0"/>
    <n v="0"/>
    <n v="0"/>
    <n v="0"/>
  </r>
  <r>
    <n v="53"/>
    <s v="DNK"/>
    <s v="Denmark"/>
    <s v="Europe &amp; Central Asia"/>
    <x v="1"/>
    <n v="3"/>
    <n v="0"/>
    <x v="1"/>
    <s v="na"/>
    <n v="0"/>
    <s v="na"/>
    <n v="347561349210.97949"/>
    <n v="3"/>
    <n v="1430000000"/>
    <n v="0"/>
    <n v="0"/>
    <n v="3"/>
    <n v="1430000000"/>
    <n v="4.1143815422696782E-3"/>
    <n v="0"/>
    <n v="4.1143815422696782E-3"/>
    <n v="1.0650737731169421E-3"/>
    <n v="0"/>
    <n v="6.6734178632929346E-4"/>
    <n v="84117647.058823526"/>
    <n v="2.4202244366292223E-4"/>
    <n v="2"/>
    <n v="0"/>
    <n v="0"/>
    <n v="0"/>
    <n v="0"/>
    <n v="0"/>
    <n v="0"/>
    <n v="0"/>
    <n v="0"/>
    <n v="0"/>
    <n v="0"/>
    <n v="7064542000"/>
    <n v="3803406000"/>
    <n v="-3261136000"/>
    <n v="10867948000"/>
    <n v="97209694000"/>
    <n v="109991555000"/>
    <n v="12781861000"/>
    <n v="207201249000"/>
    <n v="7.2673225367832148E-2"/>
    <n v="3.4579072911552163E-2"/>
    <n v="3.8906133994013353E-2"/>
    <n v="5.3162977086657896E-2"/>
    <n v="5.2451170311236882E-2"/>
    <n v="3.1269150107375292E-2"/>
    <s v="na"/>
    <s v="na"/>
    <s v="na"/>
    <s v="na"/>
    <s v="na"/>
    <s v="na"/>
    <s v="na"/>
    <s v="na"/>
    <n v="0"/>
    <n v="0"/>
    <n v="0"/>
    <n v="0"/>
    <n v="0"/>
    <n v="0"/>
  </r>
  <r>
    <n v="123"/>
    <s v="MUS"/>
    <s v="Mauritius"/>
    <s v="Sub-Saharan Africa"/>
    <x v="0"/>
    <n v="0"/>
    <n v="1"/>
    <x v="1"/>
    <s v="na"/>
    <n v="0"/>
    <s v="na"/>
    <n v="14046337854.8466"/>
    <n v="4"/>
    <n v="1470000000"/>
    <n v="0"/>
    <n v="0"/>
    <n v="4"/>
    <n v="1470000000"/>
    <n v="0.10465361257794221"/>
    <n v="0"/>
    <n v="0.10465361257794221"/>
    <n v="1.0948660464908425E-3"/>
    <n v="0"/>
    <n v="6.8600868944339961E-4"/>
    <n v="86470588.235294119"/>
    <n v="6.1560948575260128E-3"/>
    <n v="0"/>
    <s v="na"/>
    <s v="na"/>
    <s v="na"/>
    <s v="na"/>
    <s v="na"/>
    <s v="na"/>
    <n v="0"/>
    <s v="na"/>
    <s v="na"/>
    <s v="na"/>
    <n v="934919000"/>
    <n v="31982000"/>
    <n v="-902937000"/>
    <n v="966901000"/>
    <n v="5600488000"/>
    <n v="1873604000"/>
    <n v="-3726884000"/>
    <n v="7474092000"/>
    <n v="0.1669352742118187"/>
    <n v="1.7069775683655673E-2"/>
    <n v="2.2414774452418694E-3"/>
    <n v="9.0558194691829348E-4"/>
    <n v="0.12936701876294807"/>
    <n v="6.8836518813078174E-2"/>
    <n v="95"/>
    <n v="2169146515.9355683"/>
    <n v="85"/>
    <n v="636904511.15150201"/>
    <n v="5"/>
    <n v="474251128.33628535"/>
    <n v="5"/>
    <n v="1057990876.4477811"/>
    <n v="0.15442790415205043"/>
    <n v="4.5343100652512222E-2"/>
    <n v="3.3763329149358888E-2"/>
    <n v="7.5321474350179329E-2"/>
    <n v="127596853.87856284"/>
    <n v="9.0839943618853183E-3"/>
  </r>
  <r>
    <n v="25"/>
    <s v="BWA"/>
    <s v="Botswana"/>
    <s v="Sub-Saharan Africa"/>
    <x v="0"/>
    <n v="0"/>
    <n v="0"/>
    <x v="0"/>
    <s v="na"/>
    <n v="0"/>
    <s v="na"/>
    <n v="18362348887.587276"/>
    <n v="6"/>
    <n v="1640000000"/>
    <n v="0"/>
    <n v="0"/>
    <n v="6"/>
    <n v="1640000000"/>
    <n v="8.9313192448304907E-2"/>
    <n v="0"/>
    <n v="8.9313192448304907E-2"/>
    <n v="1.2214832083299197E-3"/>
    <n v="0"/>
    <n v="7.6534302767835064E-4"/>
    <n v="96470588.235294119"/>
    <n v="5.2537172028414656E-3"/>
    <n v="0"/>
    <s v="na"/>
    <s v="na"/>
    <s v="na"/>
    <s v="na"/>
    <s v="na"/>
    <s v="na"/>
    <n v="0"/>
    <s v="na"/>
    <s v="na"/>
    <s v="na"/>
    <n v="125605000"/>
    <n v="80000"/>
    <n v="-125525000"/>
    <n v="125685000"/>
    <n v="6558523000"/>
    <n v="5238079000"/>
    <n v="-1320444000"/>
    <n v="11796602000"/>
    <n v="1.9151415646480159E-2"/>
    <n v="1.5272774618328589E-5"/>
    <n v="2.6249107896669081E-3"/>
    <n v="2.5317568594707463E-3"/>
    <n v="1.0654339274987832E-2"/>
    <n v="6.8447125566251238E-3"/>
    <n v="88"/>
    <n v="1396734348.6575637"/>
    <n v="77"/>
    <n v="306931187.79204851"/>
    <n v="9"/>
    <n v="1089803160.8655152"/>
    <n v="2"/>
    <n v="0"/>
    <n v="7.606512419561634E-2"/>
    <n v="1.6715246490035394E-2"/>
    <n v="5.934987770558095E-2"/>
    <n v="0"/>
    <n v="82160844.038680211"/>
    <n v="4.474419070330372E-3"/>
  </r>
  <r>
    <n v="214"/>
    <s v="YEM"/>
    <s v="Yemen"/>
    <s v="Middle East &amp; North Africa"/>
    <x v="3"/>
    <n v="0"/>
    <n v="0"/>
    <x v="0"/>
    <n v="2017"/>
    <n v="0"/>
    <s v="na"/>
    <s v="na"/>
    <n v="4"/>
    <n v="1200000000"/>
    <n v="1"/>
    <n v="510000000"/>
    <n v="5"/>
    <n v="1710000000"/>
    <n v="0"/>
    <n v="0"/>
    <n v="0"/>
    <n v="8.9376820121701438E-4"/>
    <n v="6.4139648363810149E-4"/>
    <n v="7.9801010812803629E-4"/>
    <n v="100588235.29411764"/>
    <n v="0"/>
    <n v="0"/>
    <s v="na"/>
    <s v="na"/>
    <s v="na"/>
    <s v="na"/>
    <s v="na"/>
    <s v="na"/>
    <n v="0"/>
    <s v="na"/>
    <s v="na"/>
    <s v="na"/>
    <n v="2821134000"/>
    <n v="864442000"/>
    <n v="-1956692000"/>
    <n v="3685576000"/>
    <n v="10252621000"/>
    <n v="1575635000"/>
    <n v="-8676986000"/>
    <n v="11828256000"/>
    <n v="0.27516222437169968"/>
    <n v="0.54863086945897999"/>
    <n v="4.1033957623180586E-3"/>
    <n v="7.6156253452309324E-4"/>
    <n v="0.31159082116585912"/>
    <s v="na"/>
    <n v="74"/>
    <n v="1749062255.0303748"/>
    <n v="68"/>
    <n v="1244849858.1868131"/>
    <n v="4"/>
    <n v="176213807.73125672"/>
    <n v="2"/>
    <n v="327998589.11230499"/>
    <n v="0"/>
    <n v="0"/>
    <n v="0"/>
    <n v="0"/>
    <n v="102886015.00178675"/>
    <n v="0"/>
  </r>
  <r>
    <n v="20"/>
    <s v="BEN"/>
    <s v="Benin"/>
    <s v="Sub-Saharan Africa"/>
    <x v="2"/>
    <n v="0"/>
    <n v="0"/>
    <x v="0"/>
    <s v="na"/>
    <n v="0"/>
    <s v="na"/>
    <n v="14391686309.032972"/>
    <n v="1"/>
    <n v="240000000"/>
    <n v="3"/>
    <n v="1490000000"/>
    <n v="4"/>
    <n v="1730000000"/>
    <n v="1.6676294552735178E-2"/>
    <n v="0.1035319953482309"/>
    <n v="0.12020828990096608"/>
    <n v="1.7875364024340286E-4"/>
    <n v="1.8738838443544533E-3"/>
    <n v="8.0734355968508937E-4"/>
    <n v="101764705.88235295"/>
    <n v="7.0710758765274171E-3"/>
    <n v="2"/>
    <n v="0"/>
    <n v="0"/>
    <n v="0"/>
    <n v="0"/>
    <n v="0"/>
    <n v="0"/>
    <n v="0"/>
    <n v="0"/>
    <n v="0"/>
    <n v="0"/>
    <n v="2155750000"/>
    <n v="62786000"/>
    <n v="-2092964000"/>
    <n v="2218536000"/>
    <n v="2928973000"/>
    <n v="850666000"/>
    <n v="-2078307000"/>
    <n v="3779639000"/>
    <n v="0.73600883313024734"/>
    <n v="7.3808051573708136E-2"/>
    <n v="1.1722597954361145E-3"/>
    <n v="4.1115826634507453E-4"/>
    <n v="0.58697034293486761"/>
    <n v="0.15415399921602871"/>
    <n v="107"/>
    <n v="1617030787.8226161"/>
    <n v="97"/>
    <n v="1265774443.634197"/>
    <n v="8"/>
    <n v="351256344.18841916"/>
    <n v="2"/>
    <n v="0"/>
    <n v="0.1123586738273807"/>
    <n v="8.7951781080701508E-2"/>
    <n v="2.4406892746679197E-2"/>
    <n v="0"/>
    <n v="95119458.107212707"/>
    <n v="6.6093337545518049E-3"/>
  </r>
  <r>
    <n v="69"/>
    <s v="GAB"/>
    <s v="Gabon"/>
    <s v="Sub-Saharan Africa"/>
    <x v="0"/>
    <n v="0"/>
    <n v="0"/>
    <x v="0"/>
    <n v="2018"/>
    <n v="0"/>
    <s v="na"/>
    <n v="16874450215.135065"/>
    <n v="5"/>
    <n v="1520000000"/>
    <n v="3"/>
    <n v="440000000"/>
    <n v="8"/>
    <n v="1960000000"/>
    <n v="9.0077008768954067E-2"/>
    <n v="2.6074923591013016E-2"/>
    <n v="0.11615193235996708"/>
    <n v="1.1321063882082183E-3"/>
    <n v="5.53361672158362E-4"/>
    <n v="9.1467825259119952E-4"/>
    <n v="115294117.64705883"/>
    <n v="6.8324666094098287E-3"/>
    <n v="0"/>
    <s v="na"/>
    <s v="na"/>
    <s v="na"/>
    <s v="na"/>
    <s v="na"/>
    <s v="na"/>
    <n v="0"/>
    <s v="na"/>
    <s v="na"/>
    <s v="na"/>
    <n v="377221000"/>
    <n v="4612508000"/>
    <n v="4235287000"/>
    <n v="4989729000"/>
    <n v="2321628000"/>
    <n v="7301312000"/>
    <n v="4979684000"/>
    <n v="9622940000"/>
    <n v="0.16248124161148986"/>
    <n v="0.63173687140064694"/>
    <n v="9.2918274233280934E-4"/>
    <n v="3.5289934991694612E-3"/>
    <n v="0.51852438028294889"/>
    <n v="0.29569727821559499"/>
    <n v="82"/>
    <n v="3574199027.2534776"/>
    <n v="62"/>
    <n v="1619657920.6404765"/>
    <n v="9"/>
    <n v="1485116670.8451018"/>
    <n v="11"/>
    <n v="469424435.76789874"/>
    <n v="0.21181128757888065"/>
    <n v="9.5982855736998746E-2"/>
    <n v="8.8009781172785587E-2"/>
    <n v="2.7818650669096268E-2"/>
    <n v="210247001.60314575"/>
    <n v="1.2459487504640038E-2"/>
  </r>
  <r>
    <n v="101"/>
    <s v="PRK"/>
    <s v="Korea, Democratic People's Republic of"/>
    <s v="East Asia &amp; Pacific"/>
    <x v="1"/>
    <n v="0"/>
    <n v="0"/>
    <x v="1"/>
    <s v="na"/>
    <n v="0"/>
    <s v="na"/>
    <s v="na"/>
    <n v="1"/>
    <n v="2000000000"/>
    <n v="0"/>
    <n v="0"/>
    <n v="1"/>
    <n v="2000000000"/>
    <n v="0"/>
    <n v="0"/>
    <n v="0"/>
    <n v="1.4896136686950239E-3"/>
    <n v="0"/>
    <n v="9.3334515570530556E-4"/>
    <n v="117647058.82352941"/>
    <n v="0"/>
    <n v="0"/>
    <s v="na"/>
    <s v="na"/>
    <s v="na"/>
    <s v="na"/>
    <s v="na"/>
    <s v="na"/>
    <n v="0"/>
    <s v="na"/>
    <s v="na"/>
    <s v="na"/>
    <n v="2929120000"/>
    <n v="2576499000"/>
    <n v="-352621000"/>
    <n v="5505619000"/>
    <n v="3239556000"/>
    <n v="2997825000"/>
    <n v="-241731000"/>
    <n v="6237381000"/>
    <n v="0.90417328794439733"/>
    <n v="0.85945610567661557"/>
    <n v="1.2965641041634175E-3"/>
    <n v="1.4489594386115387E-3"/>
    <n v="0.88268120866754818"/>
    <s v="na"/>
    <n v="126"/>
    <n v="7330423494.5992079"/>
    <n v="115"/>
    <n v="7182188240.9055529"/>
    <n v="9"/>
    <n v="148235253.69365531"/>
    <n v="2"/>
    <n v="0"/>
    <n v="0"/>
    <n v="0"/>
    <n v="0"/>
    <n v="0"/>
    <n v="431201382.0352475"/>
    <n v="0"/>
  </r>
  <r>
    <n v="115"/>
    <s v="MDG"/>
    <s v="Madagascar"/>
    <s v="Sub-Saharan Africa"/>
    <x v="3"/>
    <n v="0"/>
    <n v="0"/>
    <x v="0"/>
    <n v="2017"/>
    <n v="0"/>
    <s v="na"/>
    <n v="14191911512.040983"/>
    <n v="2"/>
    <n v="290000000"/>
    <n v="4"/>
    <n v="1790000000"/>
    <n v="6"/>
    <n v="2080000000"/>
    <n v="2.0434174758907738E-2"/>
    <n v="0.12612818213256846"/>
    <n v="0.14656235689147618"/>
    <n v="2.1599398196077847E-4"/>
    <n v="2.2511758935533366E-3"/>
    <n v="9.7067896193351786E-4"/>
    <n v="122352941.17647059"/>
    <n v="8.621315111263305E-3"/>
    <n v="2"/>
    <n v="0"/>
    <n v="0"/>
    <n v="0"/>
    <n v="0"/>
    <n v="0"/>
    <n v="0"/>
    <n v="0"/>
    <n v="0"/>
    <n v="0"/>
    <n v="0"/>
    <n v="874580000"/>
    <n v="167226000"/>
    <n v="-707354000"/>
    <n v="1041806000"/>
    <n v="3896887000"/>
    <n v="2564400000"/>
    <n v="-1332487000"/>
    <n v="6461287000"/>
    <n v="0.22443042356629792"/>
    <n v="6.5210575573233509E-2"/>
    <n v="1.5596470016820414E-3"/>
    <n v="1.2394691432540024E-3"/>
    <n v="0.16123815580394432"/>
    <n v="7.3408434030615977E-2"/>
    <n v="111"/>
    <n v="804675543.67270756"/>
    <n v="101"/>
    <n v="529686978.48534048"/>
    <n v="9"/>
    <n v="268092218.5773001"/>
    <n v="1"/>
    <n v="6896346.61006705"/>
    <n v="5.6699588564231726E-2"/>
    <n v="3.7323159606507762E-2"/>
    <n v="1.8890493951420145E-2"/>
    <n v="4.8593500630383121E-4"/>
    <n v="47333855.510159269"/>
    <n v="3.3352699155430429E-3"/>
  </r>
  <r>
    <n v="158"/>
    <s v="ROU"/>
    <s v="Romania"/>
    <s v="Europe &amp; Central Asia"/>
    <x v="0"/>
    <n v="1"/>
    <n v="0"/>
    <x v="0"/>
    <n v="2015"/>
    <n v="0"/>
    <s v="na"/>
    <n v="249696854574.19949"/>
    <n v="1"/>
    <n v="1300000000"/>
    <n v="2"/>
    <n v="810000000"/>
    <n v="3"/>
    <n v="2110000000"/>
    <n v="5.2063130799819271E-3"/>
    <n v="3.2439335344502779E-3"/>
    <n v="8.4502466144322046E-3"/>
    <n v="9.6824888465176558E-4"/>
    <n v="1.0186885328369846E-3"/>
    <n v="9.8467913926909736E-4"/>
    <n v="124117647.05882353"/>
    <n v="4.9707333026071797E-4"/>
    <n v="2"/>
    <n v="0"/>
    <n v="0"/>
    <n v="0"/>
    <n v="0"/>
    <n v="0"/>
    <n v="0"/>
    <n v="0"/>
    <n v="0"/>
    <n v="0"/>
    <n v="0"/>
    <n v="5094577000"/>
    <n v="849940000"/>
    <n v="-4244637000"/>
    <n v="5944517000"/>
    <n v="96644319000"/>
    <n v="77298748000"/>
    <n v="-19345571000"/>
    <n v="173943067000"/>
    <n v="5.2714707421136674E-2"/>
    <n v="1.0995520910636224E-2"/>
    <n v="3.867985455004283E-2"/>
    <n v="3.7361337138577068E-2"/>
    <n v="3.417507292774135E-2"/>
    <n v="2.3806935854826867E-2"/>
    <n v="28"/>
    <n v="3053090379.3344493"/>
    <n v="0"/>
    <n v="0"/>
    <n v="28"/>
    <n v="3053090379.3344493"/>
    <n v="0"/>
    <n v="0"/>
    <n v="1.2227187981766098E-2"/>
    <n v="0"/>
    <n v="1.2227187981766098E-2"/>
    <n v="0"/>
    <n v="179593551.72555584"/>
    <n v="7.1924635186859404E-4"/>
  </r>
  <r>
    <n v="175"/>
    <s v="SVN"/>
    <s v="Slovenia"/>
    <s v="Europe &amp; Central Asia"/>
    <x v="1"/>
    <n v="0"/>
    <n v="0"/>
    <x v="0"/>
    <n v="2017"/>
    <n v="0"/>
    <s v="na"/>
    <n v="54178877605.999916"/>
    <n v="0"/>
    <n v="0"/>
    <n v="3"/>
    <n v="2180000000"/>
    <n v="3"/>
    <n v="2180000000"/>
    <n v="0"/>
    <n v="4.0237083090820268E-2"/>
    <n v="4.0237083090820268E-2"/>
    <n v="0"/>
    <n v="2.7416555575118847E-3"/>
    <n v="1.017346219718783E-3"/>
    <n v="128235294.11764705"/>
    <n v="2.3668872406364862E-3"/>
    <n v="0"/>
    <s v="na"/>
    <s v="na"/>
    <s v="na"/>
    <s v="na"/>
    <s v="na"/>
    <s v="na"/>
    <n v="0"/>
    <s v="na"/>
    <s v="na"/>
    <s v="na"/>
    <n v="2335422000"/>
    <n v="297361000"/>
    <n v="-2038061000"/>
    <n v="2632783000"/>
    <n v="38162054000"/>
    <n v="37574594000"/>
    <n v="-587460000"/>
    <n v="75736648000"/>
    <n v="6.1197492147566271E-2"/>
    <n v="7.9138845785000373E-3"/>
    <n v="1.5273558894350326E-2"/>
    <n v="1.8161187737208307E-2"/>
    <n v="3.4762338570885787E-2"/>
    <n v="4.8594269876650942E-2"/>
    <s v="na"/>
    <s v="na"/>
    <s v="na"/>
    <s v="na"/>
    <s v="na"/>
    <s v="na"/>
    <s v="na"/>
    <s v="na"/>
    <n v="0"/>
    <n v="0"/>
    <n v="0"/>
    <n v="0"/>
    <n v="0"/>
    <n v="0"/>
  </r>
  <r>
    <n v="12"/>
    <s v="AZE"/>
    <s v="Azerbaijan"/>
    <s v="Europe &amp; Central Asia"/>
    <x v="0"/>
    <n v="0"/>
    <n v="0"/>
    <x v="0"/>
    <n v="2015"/>
    <n v="0"/>
    <s v="na"/>
    <n v="48174235294.117645"/>
    <n v="3"/>
    <n v="750000000"/>
    <n v="2"/>
    <n v="1440000000"/>
    <n v="5"/>
    <n v="2190000000"/>
    <n v="1.5568487915190206E-2"/>
    <n v="2.9891496797165192E-2"/>
    <n v="4.5459984712355399E-2"/>
    <n v="5.58605125760634E-4"/>
    <n v="1.8110018361546395E-3"/>
    <n v="1.0220129454973097E-3"/>
    <n v="128823529.41176471"/>
    <n v="2.6741167477856119E-3"/>
    <n v="1"/>
    <n v="2"/>
    <n v="700000000"/>
    <n v="0"/>
    <n v="0"/>
    <n v="0"/>
    <n v="0"/>
    <n v="2"/>
    <n v="700000000"/>
    <n v="1.453058872084419E-2"/>
    <n v="1.7561363795442222E-2"/>
    <n v="1432151000"/>
    <n v="752163000"/>
    <n v="-679988000"/>
    <n v="2184314000"/>
    <n v="13649506000"/>
    <n v="19635203000"/>
    <n v="5985697000"/>
    <n v="33284709000"/>
    <n v="0.1049232844031132"/>
    <n v="3.8306861406016531E-2"/>
    <n v="5.4629274873356694E-3"/>
    <n v="9.4904181251085715E-3"/>
    <n v="6.5625149374146555E-2"/>
    <n v="4.5341954815974368E-2"/>
    <n v="27"/>
    <n v="1079802016.287219"/>
    <n v="15"/>
    <n v="48909490.424316585"/>
    <n v="10"/>
    <n v="551122917.32230496"/>
    <n v="2"/>
    <n v="479769608.54059738"/>
    <n v="2.2414512855154115E-2"/>
    <n v="1.015262414145445E-3"/>
    <n v="1.14402006374889E-2"/>
    <n v="9.9590498035197674E-3"/>
    <n v="63517765.663954064"/>
    <n v="1.3185007561855363E-3"/>
  </r>
  <r>
    <n v="195"/>
    <s v="TTO"/>
    <s v="Trinidad and Tobago"/>
    <s v="Latin America &amp; Caribbean"/>
    <x v="1"/>
    <n v="0"/>
    <n v="0"/>
    <x v="0"/>
    <n v="2018"/>
    <n v="0"/>
    <s v="na"/>
    <n v="23208326547.532684"/>
    <n v="3"/>
    <n v="1350000000"/>
    <n v="6"/>
    <n v="930000000"/>
    <n v="9"/>
    <n v="2280000000"/>
    <n v="5.8168778228584551E-2"/>
    <n v="4.0071825001913801E-2"/>
    <n v="9.8240603230498352E-2"/>
    <n v="1.0054892263691411E-3"/>
    <n v="1.1696053525165379E-3"/>
    <n v="1.0640134775040484E-3"/>
    <n v="134117647.05882353"/>
    <n v="5.7788590135587261E-3"/>
    <n v="0"/>
    <s v="na"/>
    <s v="na"/>
    <s v="na"/>
    <s v="na"/>
    <s v="na"/>
    <s v="na"/>
    <n v="0"/>
    <s v="na"/>
    <s v="na"/>
    <s v="na"/>
    <n v="363467000"/>
    <n v="682025000"/>
    <n v="318558000"/>
    <n v="1045492000"/>
    <n v="7163292000"/>
    <n v="11137532000"/>
    <n v="3974240000"/>
    <n v="18300824000"/>
    <n v="5.0740218324200663E-2"/>
    <n v="6.1236636626498579E-2"/>
    <n v="2.8669568529887971E-3"/>
    <n v="5.3831801770410385E-3"/>
    <n v="5.7128138055423078E-2"/>
    <n v="4.5048142435377268E-2"/>
    <n v="29"/>
    <n v="1142178893.3632855"/>
    <n v="9"/>
    <n v="329665259.88211739"/>
    <n v="20"/>
    <n v="812513633.48116803"/>
    <n v="0"/>
    <n v="0"/>
    <n v="4.9214185737347461E-2"/>
    <n v="1.4204611401297465E-2"/>
    <n v="3.5009574336049995E-2"/>
    <n v="0"/>
    <n v="67186993.727252096"/>
    <n v="2.8949521021969099E-3"/>
  </r>
  <r>
    <n v="129"/>
    <s v="MAR"/>
    <s v="Morocco"/>
    <s v="Middle East &amp; North Africa"/>
    <x v="2"/>
    <n v="0"/>
    <n v="0"/>
    <x v="0"/>
    <n v="2017"/>
    <n v="0"/>
    <s v="na"/>
    <n v="119700325461.93758"/>
    <n v="4"/>
    <n v="1040000000"/>
    <n v="4"/>
    <n v="1260000000"/>
    <n v="8"/>
    <n v="2300000000"/>
    <n v="8.6883640122657826E-3"/>
    <n v="1.0526287168706622E-2"/>
    <n v="1.9214651180972403E-2"/>
    <n v="7.7459910772141247E-4"/>
    <n v="1.5846266066353095E-3"/>
    <n v="1.0733469290611015E-3"/>
    <n v="135294117.64705881"/>
    <n v="1.1302735988807295E-3"/>
    <n v="3"/>
    <n v="0"/>
    <n v="0"/>
    <n v="0"/>
    <n v="0"/>
    <n v="0"/>
    <n v="0"/>
    <n v="0"/>
    <n v="0"/>
    <n v="0"/>
    <n v="0"/>
    <n v="5181673000"/>
    <n v="283450000"/>
    <n v="-4898223000"/>
    <n v="5465123000"/>
    <n v="51067504000"/>
    <n v="29592492000"/>
    <n v="-21475012000"/>
    <n v="80659996000"/>
    <n v="0.10146712868520068"/>
    <n v="9.5784430726550511E-3"/>
    <n v="2.0438693628269347E-2"/>
    <n v="1.4303143310712417E-2"/>
    <n v="6.7755061629311261E-2"/>
    <n v="4.5656709611351931E-2"/>
    <n v="59"/>
    <n v="992214985.20459378"/>
    <n v="44"/>
    <n v="165057422.02168748"/>
    <n v="10"/>
    <n v="656287159.22629499"/>
    <n v="5"/>
    <n v="170870403.95661148"/>
    <n v="8.2891586248869404E-3"/>
    <n v="1.3789220821640339E-3"/>
    <n v="5.4827516691671975E-3"/>
    <n v="1.4274848735557116E-3"/>
    <n v="58365587.364976108"/>
    <n v="4.8759756616982011E-4"/>
  </r>
  <r>
    <n v="189"/>
    <s v="TJK"/>
    <s v="Tajikistan"/>
    <s v="Europe &amp; Central Asia"/>
    <x v="2"/>
    <n v="2"/>
    <n v="0"/>
    <x v="0"/>
    <n v="2018"/>
    <n v="0"/>
    <s v="na"/>
    <n v="8300784856.8790398"/>
    <n v="5"/>
    <n v="1610000000"/>
    <n v="2"/>
    <n v="710000000"/>
    <n v="7"/>
    <n v="2320000000"/>
    <n v="0.19395756277983259"/>
    <n v="8.5534080480547295E-2"/>
    <n v="0.2794916432603799"/>
    <n v="1.1991390032994942E-3"/>
    <n v="8.9292451643735698E-4"/>
    <n v="1.0826803806181545E-3"/>
    <n v="136470588.2352941"/>
    <n v="1.6440684897669401E-2"/>
    <n v="1"/>
    <n v="2"/>
    <n v="87500000"/>
    <n v="1"/>
    <n v="55000000"/>
    <n v="0"/>
    <n v="0"/>
    <n v="3"/>
    <n v="142500000"/>
    <n v="1.7167051364053505E-2"/>
    <n v="3.5749919155007386E-3"/>
    <n v="605468000"/>
    <n v="55419000"/>
    <n v="-550049000"/>
    <n v="660887000"/>
    <n v="3327744000"/>
    <n v="1115850000"/>
    <n v="-2211894000"/>
    <n v="4443594000"/>
    <n v="0.18194548619124548"/>
    <n v="4.9665277591074072E-2"/>
    <n v="1.3318594950188197E-3"/>
    <n v="5.3933147851348404E-4"/>
    <n v="0.14872803410932681"/>
    <n v="7.9617411051475295E-2"/>
    <n v="110"/>
    <n v="4526207246.7776613"/>
    <n v="68"/>
    <n v="1220500441.5102644"/>
    <n v="33"/>
    <n v="2663613033.5387716"/>
    <n v="9"/>
    <n v="642093771.72862554"/>
    <n v="0.54527461255988285"/>
    <n v="0.14703434224039783"/>
    <n v="0.32088688954892958"/>
    <n v="7.7353380770555522E-2"/>
    <n v="266247485.1045683"/>
    <n v="3.2074977209404873E-2"/>
  </r>
  <r>
    <n v="71"/>
    <s v="GEO"/>
    <s v="Georgia"/>
    <s v="Europe &amp; Central Asia"/>
    <x v="0"/>
    <n v="0"/>
    <n v="1"/>
    <x v="0"/>
    <n v="2016"/>
    <n v="0"/>
    <s v="na"/>
    <n v="17477255562.258259"/>
    <n v="6"/>
    <n v="1040000000"/>
    <n v="6"/>
    <n v="1330000000"/>
    <n v="12"/>
    <n v="2370000000"/>
    <n v="5.9505910198272588E-2"/>
    <n v="7.6098904388175515E-2"/>
    <n v="0.1356048145864481"/>
    <n v="7.7459910772141247E-4"/>
    <n v="1.6726614181150489E-3"/>
    <n v="1.1060140095107871E-3"/>
    <n v="139411764.70588234"/>
    <n v="7.9767537992028285E-3"/>
    <n v="1"/>
    <n v="4"/>
    <n v="364000000"/>
    <n v="1"/>
    <n v="100000000"/>
    <n v="0"/>
    <n v="0"/>
    <n v="5"/>
    <n v="464000000"/>
    <n v="2.6548790703844694E-2"/>
    <n v="1.1640675430121704E-2"/>
    <n v="806568000"/>
    <n v="208386000"/>
    <n v="-598182000"/>
    <n v="1014954000"/>
    <n v="7398894000"/>
    <n v="2699657000"/>
    <n v="-4699237000"/>
    <n v="10098551000"/>
    <n v="0.1090119685455691"/>
    <n v="7.7189805964239161E-2"/>
    <n v="2.9612515946352172E-3"/>
    <n v="1.3048438421734794E-3"/>
    <n v="0.10050491402182353"/>
    <n v="5.8072847672478417E-2"/>
    <n v="43"/>
    <n v="452734039.2174657"/>
    <n v="28"/>
    <n v="97553120.836823016"/>
    <n v="12"/>
    <n v="310962176.45045644"/>
    <n v="3"/>
    <n v="44218741.930186108"/>
    <n v="2.5904183732092051E-2"/>
    <n v="5.5817185077665626E-3"/>
    <n v="1.7792391679731016E-2"/>
    <n v="2.5300735445944666E-3"/>
    <n v="26631414.071615629"/>
    <n v="1.5237755136524736E-3"/>
  </r>
  <r>
    <n v="149"/>
    <s v="PAN"/>
    <s v="Panama"/>
    <s v="Latin America &amp; Caribbean"/>
    <x v="0"/>
    <n v="0"/>
    <n v="0"/>
    <x v="0"/>
    <n v="2017"/>
    <n v="1"/>
    <n v="2017"/>
    <n v="66787899999.999992"/>
    <n v="0"/>
    <n v="0"/>
    <n v="7"/>
    <n v="2390000000"/>
    <n v="7"/>
    <n v="2390000000"/>
    <n v="0"/>
    <n v="3.5784925113680775E-2"/>
    <n v="3.5784925113680775E-2"/>
    <n v="0"/>
    <n v="3.0057599919511031E-3"/>
    <n v="1.1153474610678402E-3"/>
    <n v="140588235.29411766"/>
    <n v="2.1049955949223988E-3"/>
    <n v="0"/>
    <s v="na"/>
    <s v="na"/>
    <s v="na"/>
    <s v="na"/>
    <s v="na"/>
    <s v="na"/>
    <n v="0"/>
    <s v="na"/>
    <s v="na"/>
    <s v="na"/>
    <n v="4634116000"/>
    <n v="534157000"/>
    <n v="-4099959000"/>
    <n v="5168273000"/>
    <n v="21490941000"/>
    <n v="11473935000"/>
    <n v="-10017006000"/>
    <n v="32964876000"/>
    <n v="0.21563113499776487"/>
    <n v="4.6553950323058306E-2"/>
    <n v="8.6012968028007109E-3"/>
    <n v="5.5457761598042875E-3"/>
    <n v="0.15678120554738323"/>
    <n v="7.7383373335589242E-2"/>
    <n v="8"/>
    <n v="97687391.995888039"/>
    <n v="3"/>
    <n v="14798489.4873379"/>
    <n v="2"/>
    <n v="0"/>
    <n v="3"/>
    <n v="82888902.508550152"/>
    <n v="1.4626510490057039E-3"/>
    <n v="2.2157440924685314E-4"/>
    <n v="0"/>
    <n v="1.241076639758851E-3"/>
    <n v="5746317.1762287086"/>
    <n v="8.6038297000335531E-5"/>
  </r>
  <r>
    <n v="41"/>
    <s v="COL"/>
    <s v="Colombia"/>
    <s v="Latin America &amp; Caribbean"/>
    <x v="0"/>
    <n v="0"/>
    <n v="0"/>
    <x v="1"/>
    <s v="na"/>
    <n v="0"/>
    <s v="na"/>
    <n v="323429888934.25677"/>
    <n v="7"/>
    <n v="2440000000"/>
    <n v="0"/>
    <n v="0"/>
    <n v="7"/>
    <n v="2440000000"/>
    <n v="7.5441388798051867E-3"/>
    <n v="0"/>
    <n v="7.5441388798051867E-3"/>
    <n v="1.8173286758079291E-3"/>
    <n v="0"/>
    <n v="1.1386810899604728E-3"/>
    <n v="143529411.7647059"/>
    <n v="4.4377287528265809E-4"/>
    <n v="0"/>
    <s v="na"/>
    <s v="na"/>
    <s v="na"/>
    <s v="na"/>
    <s v="na"/>
    <s v="na"/>
    <n v="0"/>
    <s v="na"/>
    <s v="na"/>
    <s v="na"/>
    <n v="10483257000"/>
    <n v="4564929000"/>
    <n v="-5918328000"/>
    <n v="15048186000"/>
    <n v="50413025000"/>
    <n v="39496225000"/>
    <n v="-10916800000"/>
    <n v="89909250000"/>
    <n v="0.20794739058011297"/>
    <n v="0.1155788686133928"/>
    <n v="2.0176752183723008E-2"/>
    <n v="1.9089982905364733E-2"/>
    <n v="0.167370832255858"/>
    <n v="4.6526887325057421E-2"/>
    <n v="46"/>
    <n v="672303255.93577743"/>
    <n v="34"/>
    <n v="59405922.509903975"/>
    <n v="9"/>
    <n v="510473727.21455789"/>
    <n v="3"/>
    <n v="102423606.21131551"/>
    <n v="2.0786676771002936E-3"/>
    <n v="1.8367480725313965E-4"/>
    <n v="1.5783133986059072E-3"/>
    <n v="3.1667947124124649E-4"/>
    <n v="39547250.349163376"/>
    <n v="1.2227456924119372E-4"/>
  </r>
  <r>
    <n v="24"/>
    <s v="BIH"/>
    <s v="Bosnia and Herzegovina"/>
    <s v="Europe &amp; Central Asia"/>
    <x v="0"/>
    <n v="0"/>
    <n v="0"/>
    <x v="0"/>
    <n v="2017"/>
    <n v="0"/>
    <s v="na"/>
    <n v="20202479537.519318"/>
    <n v="2"/>
    <n v="990000000"/>
    <n v="6"/>
    <n v="1500000000"/>
    <n v="8"/>
    <n v="2490000000"/>
    <n v="4.9003885793395194E-2"/>
    <n v="7.4248311808174539E-2"/>
    <n v="0.12325219760156973"/>
    <n v="7.3735876600403681E-4"/>
    <n v="1.886460245994416E-3"/>
    <n v="1.1620147188531056E-3"/>
    <n v="146470588.2352941"/>
    <n v="7.2501292706805718E-3"/>
    <n v="0"/>
    <s v="na"/>
    <s v="na"/>
    <s v="na"/>
    <s v="na"/>
    <s v="na"/>
    <s v="na"/>
    <n v="0"/>
    <s v="na"/>
    <s v="na"/>
    <s v="na"/>
    <n v="829556000"/>
    <n v="17149000"/>
    <n v="-812407000"/>
    <n v="846705000"/>
    <n v="11159373000"/>
    <n v="6578244000"/>
    <n v="-4581129000"/>
    <n v="17737617000"/>
    <n v="7.4337151379383057E-2"/>
    <n v="2.6069267117486065E-3"/>
    <n v="4.466304165376498E-3"/>
    <n v="3.1795080544360409E-3"/>
    <n v="4.7734991684621447E-2"/>
    <n v="4.1910944566360284E-2"/>
    <n v="29"/>
    <n v="3078201914.6931601"/>
    <n v="20"/>
    <n v="58625691.477180719"/>
    <n v="7"/>
    <n v="2472009080.1990881"/>
    <n v="2"/>
    <n v="547567143.01689136"/>
    <n v="0.1523675303804384"/>
    <n v="2.9019057471783697E-3"/>
    <n v="0.12236166731950708"/>
    <n v="2.7103957313752966E-2"/>
    <n v="181070700.86430353"/>
    <n v="8.9627959047316706E-3"/>
  </r>
  <r>
    <n v="119"/>
    <s v="MLI"/>
    <s v="Mali"/>
    <s v="Sub-Saharan Africa"/>
    <x v="3"/>
    <n v="0"/>
    <n v="0"/>
    <x v="0"/>
    <n v="2019"/>
    <n v="0"/>
    <s v="na"/>
    <n v="17281815733.959595"/>
    <n v="3"/>
    <n v="690000000"/>
    <n v="4"/>
    <n v="1820000000"/>
    <n v="7"/>
    <n v="2510000000"/>
    <n v="3.9926360205549294E-2"/>
    <n v="0.10531300807840538"/>
    <n v="0.14523936828395467"/>
    <n v="5.139167156997833E-4"/>
    <n v="2.2889050984732247E-3"/>
    <n v="1.1713481704101584E-3"/>
    <n v="147647058.82352942"/>
    <n v="8.5434922519973342E-3"/>
    <n v="0"/>
    <s v="na"/>
    <s v="na"/>
    <s v="na"/>
    <s v="na"/>
    <s v="na"/>
    <s v="na"/>
    <n v="0"/>
    <s v="na"/>
    <s v="na"/>
    <s v="na"/>
    <n v="795952"/>
    <n v="32895"/>
    <n v="-763057"/>
    <n v="828847"/>
    <n v="5049220000"/>
    <n v="3642251000"/>
    <n v="-1406969000"/>
    <n v="8691471000"/>
    <n v="1.5763860556680041E-4"/>
    <n v="9.0315027712258163E-6"/>
    <n v="2.0208440311030311E-3"/>
    <n v="1.7604343029504108E-3"/>
    <n v="9.5363258992637722E-5"/>
    <n v="4.7960643300418714E-5"/>
    <n v="149"/>
    <n v="3652028013.9940505"/>
    <n v="130"/>
    <n v="2855610033.669302"/>
    <n v="6"/>
    <n v="646014104.18274343"/>
    <n v="13"/>
    <n v="150403876.14200509"/>
    <n v="0.21132200864852649"/>
    <n v="0.16523784755197288"/>
    <n v="3.7381147567341247E-2"/>
    <n v="8.7030135292123431E-3"/>
    <n v="214825177.29376769"/>
    <n v="1.2430706391089794E-2"/>
  </r>
  <r>
    <n v="54"/>
    <s v="DJI"/>
    <s v="Djibouti"/>
    <s v="Middle East &amp; North Africa"/>
    <x v="2"/>
    <n v="0"/>
    <n v="0"/>
    <x v="0"/>
    <n v="2018"/>
    <n v="0"/>
    <s v="na"/>
    <n v="3324634256.1332436"/>
    <n v="3"/>
    <n v="1120000000"/>
    <n v="3"/>
    <n v="1480000000"/>
    <n v="6"/>
    <n v="2600000000"/>
    <n v="0.33687916134950424"/>
    <n v="0.44516174892613064"/>
    <n v="0.78204091027563483"/>
    <n v="8.3418365446921337E-4"/>
    <n v="1.8613074427144905E-3"/>
    <n v="1.2133487024168974E-3"/>
    <n v="152941176.47058824"/>
    <n v="4.6002406486802053E-2"/>
    <n v="3"/>
    <n v="0"/>
    <n v="0"/>
    <n v="0"/>
    <n v="0"/>
    <n v="0"/>
    <n v="0"/>
    <n v="0"/>
    <n v="0"/>
    <n v="0"/>
    <n v="0"/>
    <n v="2210291000"/>
    <n v="20136000"/>
    <n v="-2190155000"/>
    <n v="2230427000"/>
    <n v="5301007000"/>
    <n v="193889000"/>
    <n v="-5107118000"/>
    <n v="5494896000"/>
    <n v="0.41695681594082029"/>
    <n v="0.10385323561419163"/>
    <n v="2.1216164783442563E-3"/>
    <n v="9.3713707969261925E-5"/>
    <n v="0.40590886524512931"/>
    <n v="0.67087890822436669"/>
    <n v="96"/>
    <n v="2750209235.8192444"/>
    <n v="83"/>
    <n v="705039731.5457077"/>
    <n v="7"/>
    <n v="1179677224.0810373"/>
    <n v="6"/>
    <n v="865492280.19250023"/>
    <n v="0.82722159008789997"/>
    <n v="0.21206535132249787"/>
    <n v="0.35482917313529555"/>
    <n v="0.26032706563010682"/>
    <n v="161777013.87172025"/>
    <n v="4.8660093534582352E-2"/>
  </r>
  <r>
    <n v="110"/>
    <s v="LBY"/>
    <s v="Libya"/>
    <s v="Middle East &amp; North Africa"/>
    <x v="0"/>
    <n v="0"/>
    <n v="0"/>
    <x v="0"/>
    <n v="2018"/>
    <n v="0"/>
    <s v="na"/>
    <n v="52091152228.342514"/>
    <n v="1"/>
    <n v="2600000000"/>
    <n v="0"/>
    <n v="0"/>
    <n v="1"/>
    <n v="2600000000"/>
    <n v="4.9912506995484621E-2"/>
    <n v="0"/>
    <n v="4.9912506995484621E-2"/>
    <n v="1.9364977693035312E-3"/>
    <n v="0"/>
    <n v="1.2133487024168974E-3"/>
    <n v="152941176.47058824"/>
    <n v="2.936029823263801E-3"/>
    <n v="3"/>
    <n v="0"/>
    <n v="0"/>
    <n v="0"/>
    <n v="0"/>
    <n v="0"/>
    <n v="0"/>
    <n v="0"/>
    <n v="0"/>
    <n v="0"/>
    <n v="0"/>
    <n v="2453887000"/>
    <n v="4765665000"/>
    <n v="2311778000"/>
    <n v="7219552000"/>
    <n v="15501101000"/>
    <n v="29471855000"/>
    <n v="13970754000"/>
    <n v="44972956000"/>
    <n v="0.15830404562875888"/>
    <n v="0.16170224100247507"/>
    <n v="6.2039894144789139E-3"/>
    <n v="1.4244834997253233E-2"/>
    <n v="0.16053096443115725"/>
    <n v="0.13859459219394807"/>
    <n v="7"/>
    <n v="394418703.00868791"/>
    <n v="6"/>
    <n v="3304198.7619668599"/>
    <n v="1"/>
    <n v="391114504.24672103"/>
    <n v="0"/>
    <n v="0"/>
    <n v="7.5717024127196567E-3"/>
    <n v="6.3431093777362513E-5"/>
    <n v="7.5082713189422931E-3"/>
    <n v="0"/>
    <n v="23201100.176981643"/>
    <n v="4.4539425957174452E-4"/>
  </r>
  <r>
    <n v="94"/>
    <s v="JAM"/>
    <s v="Jamaica"/>
    <s v="Latin America &amp; Caribbean"/>
    <x v="0"/>
    <n v="1"/>
    <n v="0"/>
    <x v="0"/>
    <n v="2019"/>
    <n v="0"/>
    <s v="na"/>
    <n v="15830768549.891571"/>
    <n v="2"/>
    <n v="540000000"/>
    <n v="4"/>
    <n v="2140000000"/>
    <n v="6"/>
    <n v="2680000000"/>
    <n v="3.4110788639108658E-2"/>
    <n v="0.1351797920142454"/>
    <n v="0.16929058065335406"/>
    <n v="4.0219569054765649E-4"/>
    <n v="2.6913499509520337E-3"/>
    <n v="1.2506825086451095E-3"/>
    <n v="157647058.82352942"/>
    <n v="9.9582694501972983E-3"/>
    <n v="0"/>
    <s v="na"/>
    <s v="na"/>
    <s v="na"/>
    <s v="na"/>
    <s v="na"/>
    <s v="na"/>
    <n v="0"/>
    <s v="na"/>
    <s v="na"/>
    <s v="na"/>
    <n v="492158"/>
    <n v="36193"/>
    <n v="-455965"/>
    <n v="528351"/>
    <n v="6339233000"/>
    <n v="1586351000"/>
    <n v="-4752882000"/>
    <n v="7925584000"/>
    <n v="7.7636837137868263E-5"/>
    <n v="2.2815253370786162E-5"/>
    <n v="2.5371445826922493E-3"/>
    <n v="7.6674197273051401E-4"/>
    <n v="6.6663983373338795E-5"/>
    <n v="3.3374943126410549E-5"/>
    <n v="79"/>
    <n v="2417432921.7819471"/>
    <n v="52"/>
    <n v="392676844.9338299"/>
    <n v="24"/>
    <n v="2003071917.3938727"/>
    <n v="3"/>
    <n v="21684159.454244822"/>
    <n v="0.15270471008171646"/>
    <n v="2.4804660853722068E-2"/>
    <n v="0.12653030148732686"/>
    <n v="1.3697477406675459E-3"/>
    <n v="142201936.57540867"/>
    <n v="8.9826300048068512E-3"/>
  </r>
  <r>
    <n v="81"/>
    <s v="GUY"/>
    <s v="Guyana"/>
    <s v="Latin America &amp; Caribbean"/>
    <x v="0"/>
    <n v="0"/>
    <n v="0"/>
    <x v="0"/>
    <n v="2018"/>
    <n v="0"/>
    <s v="na"/>
    <n v="5173759527.5070505"/>
    <n v="4"/>
    <n v="920000000"/>
    <n v="4"/>
    <n v="1830000000"/>
    <n v="8"/>
    <n v="2750000000"/>
    <n v="0.17782040218697548"/>
    <n v="0.35370797391539688"/>
    <n v="0.53152837610237236"/>
    <n v="6.8522228759971106E-4"/>
    <n v="2.3014815001131876E-3"/>
    <n v="1.2833495890947951E-3"/>
    <n v="161764705.88235295"/>
    <n v="3.1266375064845434E-2"/>
    <n v="0"/>
    <s v="na"/>
    <s v="na"/>
    <s v="na"/>
    <s v="na"/>
    <s v="na"/>
    <s v="na"/>
    <n v="0"/>
    <s v="na"/>
    <s v="na"/>
    <s v="na"/>
    <n v="223322000"/>
    <n v="31056000"/>
    <n v="-192266000"/>
    <n v="254378000"/>
    <n v="5980170000"/>
    <n v="3842163000"/>
    <n v="-2138007000"/>
    <n v="9822333000"/>
    <n v="3.7343754441763362E-2"/>
    <n v="8.0829470274946698E-3"/>
    <n v="2.3934371743519617E-3"/>
    <n v="1.8570591490610776E-3"/>
    <n v="2.5897920585669414E-2"/>
    <n v="4.9166954638607013E-2"/>
    <n v="69"/>
    <n v="1083990022.7455916"/>
    <n v="61"/>
    <n v="502081136.62308753"/>
    <n v="7"/>
    <n v="581908886.12250423"/>
    <n v="1"/>
    <n v="0"/>
    <n v="0.2095168932731411"/>
    <n v="9.7043771353055669E-2"/>
    <n v="0.11247312192008546"/>
    <n v="0"/>
    <n v="63764118.985034801"/>
    <n v="1.2324523133714183E-2"/>
  </r>
  <r>
    <n v="154"/>
    <s v="POL"/>
    <s v="Poland"/>
    <s v="Europe &amp; Central Asia"/>
    <x v="1"/>
    <n v="2"/>
    <n v="0"/>
    <x v="0"/>
    <n v="2015"/>
    <n v="0"/>
    <s v="na"/>
    <n v="595862086928.21094"/>
    <n v="2"/>
    <n v="660000000"/>
    <n v="11"/>
    <n v="2150000000"/>
    <n v="13"/>
    <n v="2810000000"/>
    <n v="1.1076388554983132E-3"/>
    <n v="3.6082174838202629E-3"/>
    <n v="4.7158563393185759E-3"/>
    <n v="4.9157251066935794E-4"/>
    <n v="2.7039263525919966E-3"/>
    <n v="1.3113499437659543E-3"/>
    <n v="165294117.64705881"/>
    <n v="2.7740331407756329E-4"/>
    <n v="2"/>
    <n v="0"/>
    <n v="0"/>
    <n v="0"/>
    <n v="0"/>
    <n v="0"/>
    <n v="0"/>
    <n v="0"/>
    <n v="0"/>
    <n v="0"/>
    <n v="0"/>
    <n v="30414556000"/>
    <n v="2701584000"/>
    <n v="-27712972000"/>
    <n v="33116140000"/>
    <n v="246653880000"/>
    <n v="251864773000"/>
    <n v="5210893000"/>
    <n v="498518653000"/>
    <n v="0.12330864610765499"/>
    <n v="1.0726327337566973E-2"/>
    <n v="9.8718024001014676E-2"/>
    <n v="0.12173553829596546"/>
    <n v="6.6429089063594182E-2"/>
    <n v="5.5576853648669565E-2"/>
    <s v="na"/>
    <s v="na"/>
    <s v="na"/>
    <s v="na"/>
    <s v="na"/>
    <s v="na"/>
    <s v="na"/>
    <s v="na"/>
    <n v="0"/>
    <n v="0"/>
    <n v="0"/>
    <n v="0"/>
    <n v="0"/>
    <n v="0"/>
  </r>
  <r>
    <n v="134"/>
    <s v="NPL"/>
    <s v="Nepal"/>
    <s v="South Asia"/>
    <x v="2"/>
    <n v="1"/>
    <n v="0"/>
    <x v="0"/>
    <n v="2017"/>
    <n v="0"/>
    <s v="na"/>
    <n v="34186180694.928478"/>
    <n v="3"/>
    <n v="450000000"/>
    <n v="13"/>
    <n v="2480000000"/>
    <n v="16"/>
    <n v="2930000000"/>
    <n v="1.3163213639327587E-2"/>
    <n v="7.2543932945627596E-2"/>
    <n v="8.5707146584955179E-2"/>
    <n v="3.3516307545638038E-4"/>
    <n v="3.1189476067107679E-3"/>
    <n v="1.3673506531082728E-3"/>
    <n v="172352941.17647058"/>
    <n v="5.0415968579385394E-3"/>
    <n v="1"/>
    <n v="2"/>
    <n v="202300000"/>
    <n v="3"/>
    <n v="362000000"/>
    <n v="0"/>
    <n v="0"/>
    <n v="5"/>
    <n v="564300000"/>
    <n v="1.6506669903716794E-2"/>
    <n v="1.4156967985382924E-2"/>
    <n v="1939889"/>
    <n v="18116"/>
    <n v="-1921773"/>
    <n v="1958005"/>
    <n v="12325259000"/>
    <n v="959629000"/>
    <n v="-11365630000"/>
    <n v="13284888000"/>
    <n v="1.5739133757757139E-4"/>
    <n v="1.8878128943581321E-5"/>
    <n v="4.9329254977895426E-3"/>
    <n v="4.6382410484779873E-4"/>
    <n v="1.4738588688139486E-4"/>
    <n v="5.7274751381936916E-5"/>
    <n v="157"/>
    <n v="4542336114.3011894"/>
    <n v="142"/>
    <n v="2330204591.3633966"/>
    <n v="12"/>
    <n v="1759332002.6515505"/>
    <n v="3"/>
    <n v="452799520.28624201"/>
    <n v="0.13287053487595488"/>
    <n v="6.8162179687685398E-2"/>
    <n v="5.1463251140907572E-2"/>
    <n v="1.3245104047361888E-2"/>
    <n v="267196242.01771703"/>
    <n v="7.8159138162326395E-3"/>
  </r>
  <r>
    <n v="132"/>
    <s v="NAM"/>
    <s v="Namibia"/>
    <s v="Sub-Saharan Africa"/>
    <x v="0"/>
    <n v="0"/>
    <n v="0"/>
    <x v="0"/>
    <n v="2018"/>
    <n v="0"/>
    <s v="na"/>
    <n v="12565772084.744125"/>
    <n v="0"/>
    <n v="0"/>
    <n v="7"/>
    <n v="3250000000"/>
    <n v="7"/>
    <n v="3250000000"/>
    <n v="0"/>
    <n v="0.25863910136853158"/>
    <n v="0.25863910136853158"/>
    <n v="0"/>
    <n v="4.0873305329879013E-3"/>
    <n v="1.5166858780211216E-3"/>
    <n v="191176470.58823529"/>
    <n v="1.5214064786384209E-2"/>
    <n v="0"/>
    <s v="na"/>
    <s v="na"/>
    <s v="na"/>
    <s v="na"/>
    <s v="na"/>
    <s v="na"/>
    <n v="0"/>
    <s v="na"/>
    <s v="na"/>
    <s v="na"/>
    <n v="309760000"/>
    <n v="1645972000"/>
    <n v="1336212000"/>
    <n v="1955732000"/>
    <n v="7715202000"/>
    <n v="6439325000"/>
    <n v="-1275877000"/>
    <n v="14154527000"/>
    <n v="4.0149305228819675E-2"/>
    <n v="0.25561250596918156"/>
    <n v="3.0878472141150845E-3"/>
    <n v="3.112363375793199E-3"/>
    <n v="0.13817007096033657"/>
    <n v="0.15563962061467107"/>
    <n v="140"/>
    <n v="3212928697.5196543"/>
    <n v="117"/>
    <n v="350831970.32019562"/>
    <n v="22"/>
    <n v="2862096727.1994586"/>
    <n v="1"/>
    <n v="0"/>
    <n v="0.25568892033466151"/>
    <n v="2.7919650933835916E-2"/>
    <n v="0.22776926940082559"/>
    <n v="0"/>
    <n v="188995805.73645025"/>
    <n v="1.5040524725568325E-2"/>
  </r>
  <r>
    <n v="60"/>
    <s v="GNQ"/>
    <s v="Equatorial Guinea"/>
    <s v="Sub-Saharan Africa"/>
    <x v="0"/>
    <n v="0"/>
    <n v="0"/>
    <x v="0"/>
    <n v="2019"/>
    <n v="0"/>
    <s v="na"/>
    <n v="11417278044.985857"/>
    <n v="8"/>
    <n v="2080000000"/>
    <n v="5"/>
    <n v="1280000000"/>
    <n v="13"/>
    <n v="3360000000"/>
    <n v="0.18218002502912475"/>
    <n v="0.11211078463330754"/>
    <n v="0.29429080966243232"/>
    <n v="1.5491982154428249E-3"/>
    <n v="1.609779409915235E-3"/>
    <n v="1.5680198615849134E-3"/>
    <n v="197647058.82352942"/>
    <n v="1.7311224097790137E-2"/>
    <n v="0"/>
    <s v="na"/>
    <s v="na"/>
    <s v="na"/>
    <s v="na"/>
    <s v="na"/>
    <s v="na"/>
    <n v="0"/>
    <s v="na"/>
    <s v="na"/>
    <s v="na"/>
    <n v="113297000"/>
    <n v="1723012000"/>
    <n v="1609715000"/>
    <n v="1836309000"/>
    <n v="1028414000"/>
    <n v="5072616000"/>
    <n v="4044202000"/>
    <n v="6101030000"/>
    <n v="0.11016672274006382"/>
    <n v="0.33966931461005523"/>
    <n v="4.116010578669166E-4"/>
    <n v="2.4517824861864548E-3"/>
    <n v="0.30098344050103015"/>
    <n v="0.1608359709525034"/>
    <n v="121"/>
    <n v="9890268670.6055279"/>
    <n v="89"/>
    <n v="237978965.35684896"/>
    <n v="29"/>
    <n v="9256483708.7608376"/>
    <n v="3"/>
    <n v="395805996.48784"/>
    <n v="0.86625451632484785"/>
    <n v="2.0843756665921132E-2"/>
    <n v="0.81074347776141098"/>
    <n v="3.4667281897515556E-2"/>
    <n v="581780510.03561926"/>
    <n v="5.0956148019108694E-2"/>
  </r>
  <r>
    <n v="1"/>
    <s v="AFG"/>
    <s v="Afghanistan"/>
    <s v="South Asia"/>
    <x v="3"/>
    <n v="2"/>
    <n v="0"/>
    <x v="0"/>
    <n v="2013"/>
    <n v="0"/>
    <s v="na"/>
    <n v="19291104007.613544"/>
    <n v="2"/>
    <n v="3270000000"/>
    <n v="1"/>
    <n v="210000000"/>
    <n v="3"/>
    <n v="3480000000"/>
    <n v="0.16950818360159386"/>
    <n v="1.0885846653313368E-2"/>
    <n v="0.18039403025490724"/>
    <n v="2.4355183483163643E-3"/>
    <n v="2.6410443443921825E-4"/>
    <n v="1.6240205709272318E-3"/>
    <n v="204705882.35294119"/>
    <n v="1.0611413544406308E-2"/>
    <n v="1"/>
    <n v="0"/>
    <n v="0"/>
    <n v="0"/>
    <n v="0"/>
    <n v="0"/>
    <n v="0"/>
    <n v="0"/>
    <n v="0"/>
    <n v="0"/>
    <n v="0"/>
    <n v="1156686"/>
    <n v="31002"/>
    <n v="-1125684"/>
    <n v="1187688"/>
    <n v="6776781000"/>
    <n v="863833000"/>
    <n v="-5912948000"/>
    <n v="7640614000"/>
    <n v="1.7068369185901095E-4"/>
    <n v="3.5888881299973489E-5"/>
    <n v="2.7122639603626756E-3"/>
    <n v="4.1752236329142676E-4"/>
    <n v="1.5544405200943276E-4"/>
    <n v="6.1566616380859276E-5"/>
    <n v="123"/>
    <n v="1522264756.7167196"/>
    <n v="113"/>
    <n v="1454135259.3851943"/>
    <n v="6"/>
    <n v="18129497.3315253"/>
    <n v="4"/>
    <n v="50000000"/>
    <n v="7.8910193844579007E-2"/>
    <n v="7.5378540223063256E-2"/>
    <n v="9.3978537072684912E-4"/>
    <n v="2.5918682507888972E-3"/>
    <n v="89544985.689218804"/>
    <n v="4.6417761085046473E-3"/>
  </r>
  <r>
    <n v="124"/>
    <s v="MEX"/>
    <s v="Mexico"/>
    <s v="Latin America &amp; Caribbean"/>
    <x v="0"/>
    <n v="3"/>
    <n v="0"/>
    <x v="1"/>
    <s v="na"/>
    <n v="0"/>
    <s v="na"/>
    <n v="1268870527160.0325"/>
    <n v="15"/>
    <n v="3600000000"/>
    <n v="0"/>
    <n v="0"/>
    <n v="15"/>
    <n v="3600000000"/>
    <n v="2.837168901745608E-3"/>
    <n v="0"/>
    <n v="2.837168901745608E-3"/>
    <n v="2.681304603651043E-3"/>
    <n v="0"/>
    <n v="1.68002128026955E-3"/>
    <n v="211764705.88235295"/>
    <n v="1.6689228833797695E-4"/>
    <n v="0"/>
    <s v="na"/>
    <s v="na"/>
    <s v="na"/>
    <s v="na"/>
    <s v="na"/>
    <s v="na"/>
    <n v="0"/>
    <s v="na"/>
    <s v="na"/>
    <s v="na"/>
    <n v="83052434000"/>
    <n v="6930326000"/>
    <n v="-76122108000"/>
    <n v="89982760000"/>
    <n v="455289486000"/>
    <n v="460703804000"/>
    <n v="5414318000"/>
    <n v="915993290000"/>
    <n v="0.18241676242003094"/>
    <n v="1.5042910303384428E-2"/>
    <n v="0.18222003402645695"/>
    <n v="0.22267514788556383"/>
    <n v="9.8235173753292451E-2"/>
    <n v="7.0915635657010728E-2"/>
    <n v="59"/>
    <n v="6218525621.0088673"/>
    <n v="17"/>
    <n v="3157034942.0911288"/>
    <n v="36"/>
    <n v="2963256979.8272028"/>
    <n v="6"/>
    <n v="98233699.090534985"/>
    <n v="4.9008354185096255E-3"/>
    <n v="2.4880670442847769E-3"/>
    <n v="2.3353501530684311E-3"/>
    <n v="7.7418221156417137E-5"/>
    <n v="365795624.7652275"/>
    <n v="2.882844363829192E-4"/>
  </r>
  <r>
    <n v="187"/>
    <s v="SYR"/>
    <s v="Syria"/>
    <s v="Middle East &amp; North Africa"/>
    <x v="3"/>
    <n v="0"/>
    <n v="0"/>
    <x v="1"/>
    <s v="na"/>
    <n v="0"/>
    <s v="na"/>
    <s v="na"/>
    <n v="4"/>
    <n v="4060000000"/>
    <n v="0"/>
    <n v="0"/>
    <n v="4"/>
    <n v="4060000000"/>
    <n v="0"/>
    <n v="0"/>
    <n v="0"/>
    <n v="3.0239157474508988E-3"/>
    <n v="0"/>
    <n v="1.8946906660817703E-3"/>
    <n v="238823529.41176471"/>
    <n v="0"/>
    <n v="0"/>
    <s v="na"/>
    <s v="na"/>
    <s v="na"/>
    <s v="na"/>
    <s v="na"/>
    <s v="na"/>
    <n v="0"/>
    <s v="na"/>
    <s v="na"/>
    <s v="na"/>
    <n v="1315799000"/>
    <n v="1399000"/>
    <n v="-1314400000"/>
    <n v="1317198000"/>
    <n v="6283881000"/>
    <n v="736769000"/>
    <n v="-5547112000"/>
    <n v="7020650000"/>
    <n v="0.20939273038429596"/>
    <n v="1.898831248328852E-3"/>
    <n v="2.5149911097182825E-3"/>
    <n v="3.561076435837265E-4"/>
    <n v="0.18761767072849381"/>
    <s v="na"/>
    <n v="60"/>
    <n v="363754853.11969489"/>
    <n v="58"/>
    <n v="321470491.99145317"/>
    <n v="2"/>
    <n v="42284361.128241703"/>
    <n v="0"/>
    <n v="0"/>
    <n v="0"/>
    <n v="0"/>
    <n v="0"/>
    <n v="0"/>
    <n v="21397344.301158521"/>
    <n v="0"/>
  </r>
  <r>
    <n v="137"/>
    <s v="NZL"/>
    <s v="New Zealand"/>
    <s v="East Asia &amp; Pacific"/>
    <x v="1"/>
    <n v="0"/>
    <n v="1"/>
    <x v="0"/>
    <n v="2017"/>
    <n v="0"/>
    <s v="na"/>
    <n v="212891048340.60776"/>
    <n v="5"/>
    <n v="1350000000"/>
    <n v="10"/>
    <n v="2740000000"/>
    <n v="15"/>
    <n v="4090000000"/>
    <n v="6.3412717938243872E-3"/>
    <n v="1.2870433122280608E-2"/>
    <n v="1.9211704916104994E-2"/>
    <n v="1.0054892263691411E-3"/>
    <n v="3.4459340493498002E-3"/>
    <n v="1.9086908434173498E-3"/>
    <n v="240588235.29411766"/>
    <n v="1.1301002891826468E-3"/>
    <n v="1"/>
    <n v="0"/>
    <n v="0"/>
    <n v="0"/>
    <n v="0"/>
    <n v="0"/>
    <n v="0"/>
    <n v="0"/>
    <n v="0"/>
    <n v="0"/>
    <n v="0"/>
    <n v="8556490000"/>
    <n v="11014410000"/>
    <n v="2457920000"/>
    <n v="19570900000"/>
    <n v="42320991000"/>
    <n v="38183311000"/>
    <n v="-4137680000"/>
    <n v="80504302000"/>
    <n v="0.20218075706213967"/>
    <n v="0.28846136470459566"/>
    <n v="1.6938085893012208E-2"/>
    <n v="1.8455403124228331E-2"/>
    <n v="0.24310377847881967"/>
    <n v="9.192918233315385E-2"/>
    <s v="na"/>
    <s v="na"/>
    <s v="na"/>
    <s v="na"/>
    <s v="na"/>
    <s v="na"/>
    <s v="na"/>
    <s v="na"/>
    <n v="0"/>
    <n v="0"/>
    <n v="0"/>
    <n v="0"/>
    <n v="0"/>
    <n v="0"/>
  </r>
  <r>
    <n v="28"/>
    <s v="BRN"/>
    <s v="Brunei"/>
    <s v="East Asia &amp; Pacific"/>
    <x v="1"/>
    <n v="0"/>
    <n v="1"/>
    <x v="0"/>
    <n v="2018"/>
    <n v="0"/>
    <s v="na"/>
    <n v="13469422941.391878"/>
    <n v="1"/>
    <n v="140000000"/>
    <n v="3"/>
    <n v="3970000000"/>
    <n v="4"/>
    <n v="4110000000"/>
    <n v="1.0393912241761779E-2"/>
    <n v="0.29474165428424476"/>
    <n v="0.30513556652600654"/>
    <n v="1.0427295680865167E-4"/>
    <n v="4.9928314510652213E-3"/>
    <n v="1.9180242949744029E-3"/>
    <n v="241764705.88235295"/>
    <n v="1.7949150972118032E-2"/>
    <n v="1"/>
    <n v="0"/>
    <n v="0"/>
    <n v="0"/>
    <n v="0"/>
    <n v="0"/>
    <n v="0"/>
    <n v="0"/>
    <n v="0"/>
    <n v="0"/>
    <n v="0"/>
    <n v="670827000"/>
    <n v="428506000"/>
    <n v="-242321000"/>
    <n v="1099333000"/>
    <n v="5101654000"/>
    <n v="7249807000"/>
    <n v="2148153000"/>
    <n v="12351461000"/>
    <n v="0.1314920612021121"/>
    <n v="5.9105849300539998E-2"/>
    <n v="2.0418296359938572E-3"/>
    <n v="3.5040992321973448E-3"/>
    <n v="8.9004288642452911E-2"/>
    <n v="8.1616933760519303E-2"/>
    <n v="26"/>
    <n v="1770880321.4632452"/>
    <n v="0"/>
    <n v="0"/>
    <n v="26"/>
    <n v="1770880321.4632452"/>
    <n v="0"/>
    <n v="0"/>
    <n v="0.13147410465679898"/>
    <n v="0"/>
    <n v="0.13147410465679898"/>
    <n v="0"/>
    <n v="104169430.67430854"/>
    <n v="7.733770862164647E-3"/>
  </r>
  <r>
    <n v="18"/>
    <s v="BEL"/>
    <s v="Belgium"/>
    <s v="Europe &amp; Central Asia"/>
    <x v="1"/>
    <n v="0"/>
    <n v="0"/>
    <x v="1"/>
    <s v="na"/>
    <n v="0"/>
    <s v="na"/>
    <n v="533254518108.23444"/>
    <n v="10"/>
    <n v="4630000000"/>
    <n v="0"/>
    <n v="0"/>
    <n v="10"/>
    <n v="4630000000"/>
    <n v="8.6825330921251592E-3"/>
    <n v="0"/>
    <n v="8.6825330921251592E-3"/>
    <n v="3.4484556430289803E-3"/>
    <n v="0"/>
    <n v="2.1606940354577824E-3"/>
    <n v="272352941.17647058"/>
    <n v="5.1073724071324462E-4"/>
    <n v="2"/>
    <n v="0"/>
    <n v="0"/>
    <n v="0"/>
    <n v="0"/>
    <n v="0"/>
    <n v="0"/>
    <n v="0"/>
    <n v="0"/>
    <n v="0"/>
    <n v="0"/>
    <n v="18242346000"/>
    <n v="7921361000"/>
    <n v="-10320985000"/>
    <n v="26163707000"/>
    <n v="427766455000"/>
    <n v="446876870000"/>
    <n v="19110415000"/>
    <n v="874643325000"/>
    <n v="4.2645573973302792E-2"/>
    <n v="1.7726048340787923E-2"/>
    <n v="0.171204520162095"/>
    <n v="0.21599208048624638"/>
    <n v="2.9913573055622415E-2"/>
    <n v="4.906420126137509E-2"/>
    <s v="na"/>
    <s v="na"/>
    <s v="na"/>
    <s v="na"/>
    <s v="na"/>
    <s v="na"/>
    <s v="na"/>
    <s v="na"/>
    <n v="0"/>
    <n v="0"/>
    <n v="0"/>
    <n v="0"/>
    <n v="0"/>
    <n v="0"/>
  </r>
  <r>
    <n v="168"/>
    <s v="SEN"/>
    <s v="Senegal"/>
    <s v="Sub-Saharan Africa"/>
    <x v="2"/>
    <n v="0"/>
    <n v="0"/>
    <x v="0"/>
    <n v="2018"/>
    <n v="1"/>
    <n v="2005"/>
    <n v="23306213742.360191"/>
    <n v="2"/>
    <n v="490000000"/>
    <n v="6"/>
    <n v="4180000000"/>
    <n v="8"/>
    <n v="4670000000"/>
    <n v="2.1024436033099655E-2"/>
    <n v="0.17935131146603381"/>
    <n v="0.20037574749913345"/>
    <n v="3.6495534883028088E-4"/>
    <n v="5.2569358855044396E-3"/>
    <n v="2.1793609385718886E-3"/>
    <n v="274705882.35294116"/>
    <n v="1.1786808676419614E-2"/>
    <n v="3"/>
    <n v="0"/>
    <n v="0"/>
    <n v="0"/>
    <n v="0"/>
    <n v="0"/>
    <n v="0"/>
    <n v="0"/>
    <n v="0"/>
    <n v="0"/>
    <n v="0"/>
    <n v="871078000"/>
    <n v="276314000"/>
    <n v="-594764000"/>
    <n v="1147392000"/>
    <n v="8146866000"/>
    <n v="4175809000"/>
    <n v="-3971057000"/>
    <n v="12322675000"/>
    <n v="0.10692185191213406"/>
    <n v="6.617017205528318E-2"/>
    <n v="3.2606116446295122E-3"/>
    <n v="2.0183225719943663E-3"/>
    <n v="9.3112250383946674E-2"/>
    <n v="4.9231162671204656E-2"/>
    <n v="83"/>
    <n v="4271792281.2145119"/>
    <n v="67"/>
    <n v="2574765569.3663158"/>
    <n v="8"/>
    <n v="1365681223.5220661"/>
    <n v="8"/>
    <n v="331345488.32612902"/>
    <n v="0.18328984400629258"/>
    <n v="0.11047549798646841"/>
    <n v="5.8597301072540721E-2"/>
    <n v="1.4217044947283404E-2"/>
    <n v="251281898.89497128"/>
    <n v="1.0781755529781917E-2"/>
  </r>
  <r>
    <n v="113"/>
    <s v="LUX"/>
    <s v="Luxembourg"/>
    <s v="Europe &amp; Central Asia"/>
    <x v="1"/>
    <n v="0"/>
    <n v="0"/>
    <x v="0"/>
    <n v="2019"/>
    <n v="0"/>
    <s v="na"/>
    <n v="71104919108.141068"/>
    <n v="0"/>
    <n v="0"/>
    <n v="5"/>
    <n v="4680000000"/>
    <n v="5"/>
    <n v="4680000000"/>
    <n v="0"/>
    <n v="6.5818231125224211E-2"/>
    <n v="6.5818231125224211E-2"/>
    <n v="0"/>
    <n v="5.8857559675025784E-3"/>
    <n v="2.1840276643504152E-3"/>
    <n v="275294117.64705884"/>
    <n v="3.8716606544249538E-3"/>
    <n v="2"/>
    <n v="0"/>
    <n v="0"/>
    <n v="0"/>
    <n v="0"/>
    <n v="0"/>
    <n v="0"/>
    <n v="0"/>
    <n v="0"/>
    <n v="0"/>
    <n v="0"/>
    <n v="658564000"/>
    <n v="205707000"/>
    <n v="-452857000"/>
    <n v="864271000"/>
    <n v="22673693000"/>
    <n v="14667447000"/>
    <n v="-8006246000"/>
    <n v="37341140000"/>
    <n v="2.904529050472722E-2"/>
    <n v="1.4024731093284332E-2"/>
    <n v="9.0746683967251537E-3"/>
    <n v="7.0893183461291096E-3"/>
    <n v="2.314527622884572E-2"/>
    <n v="1.2154869323253985E-2"/>
    <s v="na"/>
    <s v="na"/>
    <s v="na"/>
    <s v="na"/>
    <s v="na"/>
    <s v="na"/>
    <s v="na"/>
    <s v="na"/>
    <n v="0"/>
    <n v="0"/>
    <n v="0"/>
    <n v="0"/>
    <n v="0"/>
    <n v="0"/>
  </r>
  <r>
    <n v="104"/>
    <s v="KGZ"/>
    <s v="Kyrgyzstan"/>
    <s v="Europe &amp; Central Asia"/>
    <x v="2"/>
    <n v="2"/>
    <n v="0"/>
    <x v="0"/>
    <n v="2013"/>
    <n v="0"/>
    <s v="na"/>
    <n v="8871019822.7670345"/>
    <n v="1"/>
    <n v="390000000"/>
    <n v="8"/>
    <n v="4340000000"/>
    <n v="9"/>
    <n v="4730000000"/>
    <n v="4.3963378257715562E-2"/>
    <n v="0.48923349138073213"/>
    <n v="0.5331968696384477"/>
    <n v="2.9047466539552967E-4"/>
    <n v="5.4581583117438437E-3"/>
    <n v="2.2073612932430476E-3"/>
    <n v="278235294.11764705"/>
    <n v="3.1364521743438102E-2"/>
    <n v="1"/>
    <n v="1"/>
    <n v="50000000"/>
    <n v="0"/>
    <n v="0"/>
    <n v="0"/>
    <n v="0"/>
    <n v="1"/>
    <n v="50000000"/>
    <n v="5.6363305458609694E-3"/>
    <n v="1.2543831282458731E-3"/>
    <n v="1733932000"/>
    <n v="81469000"/>
    <n v="-1652463000"/>
    <n v="1815401000"/>
    <n v="4903813000"/>
    <n v="1965502000"/>
    <n v="-2938311000"/>
    <n v="6869315000"/>
    <n v="0.35358852386907902"/>
    <n v="4.1449461766001762E-2"/>
    <n v="1.9626479398195062E-3"/>
    <n v="9.499996412431869E-4"/>
    <n v="0.26427686021095265"/>
    <n v="0.20464400218573101"/>
    <n v="96"/>
    <n v="3151288944.3117113"/>
    <n v="58"/>
    <n v="761839555.53911817"/>
    <n v="34"/>
    <n v="2325623547.1757441"/>
    <n v="4"/>
    <n v="63825841.59684895"/>
    <n v="0.35523412271316129"/>
    <n v="8.5879591158605523E-2"/>
    <n v="0.26215966074240371"/>
    <n v="7.1948708121520686E-3"/>
    <n v="185369937.90068889"/>
    <n v="2.0896124865480075E-2"/>
  </r>
  <r>
    <n v="47"/>
    <s v="CIV"/>
    <s v="Côte d'Ivoire"/>
    <s v="Sub-Saharan Africa"/>
    <x v="2"/>
    <n v="0"/>
    <n v="0"/>
    <x v="0"/>
    <n v="2017"/>
    <n v="0"/>
    <s v="na"/>
    <n v="58539424929.724831"/>
    <n v="3"/>
    <n v="1620000000"/>
    <n v="10"/>
    <n v="3250000000"/>
    <n v="13"/>
    <n v="4870000000"/>
    <n v="2.7673657572563636E-2"/>
    <n v="5.5518140191871491E-2"/>
    <n v="8.3191797764435124E-2"/>
    <n v="1.2065870716429694E-3"/>
    <n v="4.0873305329879013E-3"/>
    <n v="2.2726954541424193E-3"/>
    <n v="286470588.2352941"/>
    <n v="4.8936351626138307E-3"/>
    <n v="2"/>
    <n v="0"/>
    <n v="0"/>
    <n v="0"/>
    <n v="0"/>
    <n v="0"/>
    <n v="0"/>
    <n v="0"/>
    <n v="0"/>
    <n v="0"/>
    <n v="0"/>
    <n v="1801977"/>
    <n v="371260"/>
    <n v="-1430717"/>
    <n v="2173237"/>
    <n v="10482561000"/>
    <n v="12717852000"/>
    <n v="2235291000"/>
    <n v="23200413000"/>
    <n v="1.7190236240933871E-4"/>
    <n v="2.9192036516858349E-5"/>
    <n v="4.195424407635916E-3"/>
    <n v="6.1470071449349567E-3"/>
    <n v="9.3672341091514185E-5"/>
    <n v="3.7124331211126836E-5"/>
    <n v="94"/>
    <n v="3399096727.9645572"/>
    <n v="85"/>
    <n v="1322772802.478085"/>
    <n v="7"/>
    <n v="2076323925.4864721"/>
    <n v="2"/>
    <n v="0"/>
    <n v="5.806508574426706E-2"/>
    <n v="2.2596272581530172E-2"/>
    <n v="3.5468813162736888E-2"/>
    <n v="0"/>
    <n v="199946866.3508563"/>
    <n v="3.4155932790745332E-3"/>
  </r>
  <r>
    <n v="179"/>
    <s v="SSD"/>
    <s v="South Sudan"/>
    <s v="Sub-Saharan Africa"/>
    <x v="3"/>
    <n v="0"/>
    <n v="0"/>
    <x v="0"/>
    <n v="2018"/>
    <n v="0"/>
    <s v="na"/>
    <s v="na"/>
    <n v="5"/>
    <n v="2110000000"/>
    <n v="4"/>
    <n v="2790000000"/>
    <n v="9"/>
    <n v="4900000000"/>
    <n v="0"/>
    <n v="0"/>
    <n v="0"/>
    <n v="1.5715424204732502E-3"/>
    <n v="3.5088160575496141E-3"/>
    <n v="2.2866956314779988E-3"/>
    <n v="288235294.11764705"/>
    <n v="0"/>
    <n v="0"/>
    <s v="na"/>
    <s v="na"/>
    <s v="na"/>
    <s v="na"/>
    <s v="na"/>
    <s v="na"/>
    <n v="0"/>
    <s v="na"/>
    <s v="na"/>
    <s v="na"/>
    <n v="122630000"/>
    <n v="1510938000"/>
    <n v="1388308000"/>
    <n v="1633568000"/>
    <n v="610004000"/>
    <n v="1640256000"/>
    <n v="1030252000"/>
    <n v="2250260000"/>
    <n v="0.20103146864610724"/>
    <n v="0.92115986772796443"/>
    <n v="2.4414126188777147E-4"/>
    <n v="7.9279624825972432E-4"/>
    <n v="0.72594633509016737"/>
    <s v="na"/>
    <n v="120"/>
    <n v="4487661719.8055677"/>
    <n v="102"/>
    <n v="239328309.42801467"/>
    <n v="15"/>
    <n v="4198778654.9963436"/>
    <n v="3"/>
    <n v="49554755.381209098"/>
    <n v="0"/>
    <n v="0"/>
    <n v="0"/>
    <n v="0"/>
    <n v="263980101.1650334"/>
    <n v="0"/>
  </r>
  <r>
    <n v="22"/>
    <s v="BTN"/>
    <s v="Bhutan"/>
    <s v="South Asia"/>
    <x v="2"/>
    <n v="0"/>
    <n v="0"/>
    <x v="1"/>
    <s v="na"/>
    <n v="0"/>
    <s v="na"/>
    <n v="2530547157.566781"/>
    <n v="0"/>
    <n v="0"/>
    <n v="0"/>
    <n v="0"/>
    <n v="0"/>
    <n v="5060000000"/>
    <n v="0"/>
    <n v="0"/>
    <n v="1.9995675578973939"/>
    <n v="0"/>
    <n v="0"/>
    <n v="2.361363243934423E-3"/>
    <n v="297647058.82352942"/>
    <n v="0.11762162105278788"/>
    <n v="0"/>
    <s v="na"/>
    <s v="na"/>
    <s v="na"/>
    <s v="na"/>
    <s v="na"/>
    <s v="na"/>
    <n v="0"/>
    <s v="na"/>
    <s v="na"/>
    <s v="na"/>
    <n v="10805000"/>
    <n v="46000"/>
    <n v="-10759000"/>
    <n v="10851000"/>
    <n v="825067000"/>
    <n v="279132000"/>
    <n v="-545935000"/>
    <n v="1104199000"/>
    <n v="1.3095906150652007E-2"/>
    <n v="1.6479658369516931E-4"/>
    <n v="3.3021570108057968E-4"/>
    <n v="1.3491479523271573E-4"/>
    <n v="9.8270329895245329E-3"/>
    <n v="4.2880054487637589E-3"/>
    <n v="0"/>
    <s v="na"/>
    <s v="na"/>
    <s v="na"/>
    <s v="na"/>
    <s v="na"/>
    <s v="na"/>
    <s v="na"/>
    <n v="0"/>
    <n v="0"/>
    <n v="0"/>
    <n v="0"/>
    <n v="0"/>
    <n v="0"/>
  </r>
  <r>
    <n v="23"/>
    <s v="BOL"/>
    <s v="Bolivia"/>
    <s v="Latin America &amp; Caribbean"/>
    <x v="2"/>
    <n v="2"/>
    <n v="0"/>
    <x v="0"/>
    <n v="2018"/>
    <n v="0"/>
    <s v="na"/>
    <n v="40895322850.940666"/>
    <n v="1"/>
    <n v="170000000"/>
    <n v="17"/>
    <n v="4890000000"/>
    <n v="18"/>
    <n v="5060000000"/>
    <n v="4.1569545891502772E-3"/>
    <n v="0.11957357612320503"/>
    <n v="0.1237305307123553"/>
    <n v="1.2661716183907704E-4"/>
    <n v="6.1498604019417967E-3"/>
    <n v="2.361363243934423E-3"/>
    <n v="297647058.82352942"/>
    <n v="7.2782665124914887E-3"/>
    <n v="3"/>
    <n v="0"/>
    <n v="0"/>
    <n v="0"/>
    <n v="0"/>
    <n v="0"/>
    <n v="0"/>
    <n v="0"/>
    <n v="0"/>
    <n v="0"/>
    <n v="0"/>
    <n v="2126481000"/>
    <n v="403561000"/>
    <n v="-1722920000"/>
    <n v="2530042000"/>
    <n v="9784564000"/>
    <n v="8924398000"/>
    <n v="-860166000"/>
    <n v="18708962000"/>
    <n v="0.21733017434399735"/>
    <n v="4.5219968898742524E-2"/>
    <n v="3.916065799538463E-3"/>
    <n v="4.3134908528769823E-3"/>
    <n v="0.13523155373344603"/>
    <n v="6.1866292368487917E-2"/>
    <n v="103"/>
    <n v="5775620046.4463949"/>
    <n v="73"/>
    <n v="461907741.31260389"/>
    <n v="18"/>
    <n v="3300493884.6819634"/>
    <n v="12"/>
    <n v="2013218420.4518256"/>
    <n v="0.14122935445449222"/>
    <n v="1.1294879441255692E-2"/>
    <n v="8.0705901178771258E-2"/>
    <n v="4.9228573834465231E-2"/>
    <n v="339742355.67331737"/>
    <n v="8.3076090855583665E-3"/>
  </r>
  <r>
    <n v="150"/>
    <s v="PNG"/>
    <s v="Papua New Guinea"/>
    <s v="East Asia &amp; Pacific"/>
    <x v="2"/>
    <n v="0"/>
    <n v="0"/>
    <x v="0"/>
    <n v="2016"/>
    <n v="0"/>
    <s v="na"/>
    <n v="24829107011.07011"/>
    <n v="5"/>
    <n v="2290000000"/>
    <n v="11"/>
    <n v="3350000000"/>
    <n v="16"/>
    <n v="5640000000"/>
    <n v="9.2230461569922692E-2"/>
    <n v="0.13492229094290001"/>
    <n v="0.22715275251282271"/>
    <n v="1.7056076506558025E-3"/>
    <n v="4.2130945493875291E-3"/>
    <n v="2.632033339088962E-3"/>
    <n v="331764705.88235295"/>
    <n v="1.3361926618401337E-2"/>
    <n v="3"/>
    <n v="0"/>
    <n v="0"/>
    <n v="0"/>
    <n v="0"/>
    <n v="0"/>
    <n v="0"/>
    <n v="0"/>
    <n v="0"/>
    <n v="0"/>
    <n v="0"/>
    <n v="801931000"/>
    <n v="3064927000"/>
    <n v="2262996000"/>
    <n v="3866858000"/>
    <n v="4289754000"/>
    <n v="11801523000"/>
    <n v="7511769000"/>
    <n v="16091277000"/>
    <n v="0.18694102272531246"/>
    <n v="0.25970605658269702"/>
    <n v="1.7168837495296998E-3"/>
    <n v="5.7041115278047118E-3"/>
    <n v="0.24030771454621036"/>
    <n v="0.1557389074957852"/>
    <n v="145"/>
    <n v="10985457319.344872"/>
    <n v="124"/>
    <n v="1238557865.0704238"/>
    <n v="16"/>
    <n v="5311957729.7807856"/>
    <n v="5"/>
    <n v="4434941724.4936609"/>
    <n v="0.44244270703924155"/>
    <n v="4.9883302871835469E-2"/>
    <n v="0.21394074814742381"/>
    <n v="0.17861865601998222"/>
    <n v="646203371.72616887"/>
    <n v="2.6026041590543621E-2"/>
  </r>
  <r>
    <n v="85"/>
    <s v="HUN"/>
    <s v="Hungary"/>
    <s v="Europe &amp; Central Asia"/>
    <x v="1"/>
    <n v="1"/>
    <n v="0"/>
    <x v="0"/>
    <n v="2015"/>
    <n v="0"/>
    <s v="na"/>
    <n v="163503650313.08057"/>
    <n v="5"/>
    <n v="3480000000"/>
    <n v="4"/>
    <n v="2400000000"/>
    <n v="9"/>
    <n v="5880000000"/>
    <n v="2.1283928483164846E-2"/>
    <n v="1.4678571367699893E-2"/>
    <n v="3.5962499850864735E-2"/>
    <n v="2.5919277835293416E-3"/>
    <n v="3.0183363935910659E-3"/>
    <n v="2.7440347577735984E-3"/>
    <n v="345882352.94117647"/>
    <n v="2.1154411676979259E-3"/>
    <n v="2"/>
    <n v="1"/>
    <n v="216100000"/>
    <n v="0"/>
    <n v="0"/>
    <n v="0"/>
    <n v="0"/>
    <n v="1"/>
    <n v="216100000"/>
    <n v="1.3216830302333112E-3"/>
    <n v="5.4214438802786639E-3"/>
    <n v="7157898000"/>
    <n v="1666401000"/>
    <n v="-5491497000"/>
    <n v="8824299000"/>
    <n v="117324011000"/>
    <n v="122180658000"/>
    <n v="4856647000"/>
    <n v="239504669000"/>
    <n v="6.1009659821466555E-2"/>
    <n v="1.3638828168694262E-2"/>
    <n v="4.6956466015427398E-2"/>
    <n v="5.9054420329695163E-2"/>
    <n v="3.6843953969014277E-2"/>
    <n v="5.3970042767259495E-2"/>
    <s v="na"/>
    <s v="na"/>
    <s v="na"/>
    <s v="na"/>
    <s v="na"/>
    <s v="na"/>
    <s v="na"/>
    <s v="na"/>
    <n v="0"/>
    <n v="0"/>
    <n v="0"/>
    <n v="0"/>
    <n v="0"/>
    <n v="0"/>
  </r>
  <r>
    <n v="171"/>
    <s v="SLE"/>
    <s v="Sierra Leone"/>
    <s v="Sub-Saharan Africa"/>
    <x v="3"/>
    <n v="0"/>
    <n v="0"/>
    <x v="0"/>
    <n v="2018"/>
    <n v="0"/>
    <s v="na"/>
    <n v="4121733705.2916489"/>
    <n v="5"/>
    <n v="4050000000"/>
    <n v="4"/>
    <n v="1940000000"/>
    <n v="9"/>
    <n v="5990000000"/>
    <n v="0.98259623002826357"/>
    <n v="0.47067572500119292"/>
    <n v="1.4532719550294564"/>
    <n v="3.0164676791074236E-3"/>
    <n v="2.4398219181527782E-3"/>
    <n v="2.7953687413373902E-3"/>
    <n v="352352941.17647058"/>
    <n v="8.5486585589968023E-2"/>
    <n v="0"/>
    <s v="na"/>
    <s v="na"/>
    <s v="na"/>
    <s v="na"/>
    <s v="na"/>
    <s v="na"/>
    <n v="0"/>
    <s v="na"/>
    <s v="na"/>
    <s v="na"/>
    <n v="313687000"/>
    <n v="197455000"/>
    <n v="-116232000"/>
    <n v="511142000"/>
    <n v="1184904000"/>
    <n v="760200000"/>
    <n v="-424704000"/>
    <n v="1945104000"/>
    <n v="0.26473621491698907"/>
    <n v="0.25974085766903449"/>
    <n v="4.7423288663003512E-4"/>
    <n v="3.6743271045924683E-4"/>
    <n v="0.26278389227516885"/>
    <n v="0.12401140795286585"/>
    <n v="166"/>
    <n v="3394795029.1822715"/>
    <n v="150"/>
    <n v="497214732.22004497"/>
    <n v="12"/>
    <n v="2773640094.1698499"/>
    <n v="4"/>
    <n v="123940202.79237621"/>
    <n v="0.82363278947979968"/>
    <n v="0.12063242503553796"/>
    <n v="0.67293044444111905"/>
    <n v="3.0069920003142549E-2"/>
    <n v="199693825.24601597"/>
    <n v="4.8448987616458807E-2"/>
  </r>
  <r>
    <n v="17"/>
    <s v="BLR"/>
    <s v="Belarus"/>
    <s v="Europe &amp; Central Asia"/>
    <x v="0"/>
    <n v="3"/>
    <n v="0"/>
    <x v="0"/>
    <n v="2013"/>
    <n v="0"/>
    <s v="na"/>
    <n v="64409647193.804375"/>
    <n v="8"/>
    <n v="3460000000"/>
    <n v="9"/>
    <n v="2720000000"/>
    <n v="17"/>
    <n v="6180000000"/>
    <n v="5.3718660957559485E-2"/>
    <n v="4.2229698787445605E-2"/>
    <n v="9.5948359745005096E-2"/>
    <n v="2.5770316468423913E-3"/>
    <n v="3.4207812460698745E-3"/>
    <n v="2.8840365311293943E-3"/>
    <n v="363529411.7647059"/>
    <n v="5.6440211614708878E-3"/>
    <n v="2"/>
    <n v="0"/>
    <n v="0"/>
    <n v="2"/>
    <n v="231000000"/>
    <n v="0"/>
    <n v="0"/>
    <n v="2"/>
    <n v="231000000"/>
    <n v="3.5864192720220351E-3"/>
    <n v="5.7952500524959339E-3"/>
    <n v="1777676000"/>
    <n v="634666000"/>
    <n v="-1143010000"/>
    <n v="2412342000"/>
    <n v="39476679000"/>
    <n v="32955122000"/>
    <n v="-6521557000"/>
    <n v="72431801000"/>
    <n v="4.5031042251553126E-2"/>
    <n v="1.9258493414164874E-2"/>
    <n v="1.5799709880916335E-2"/>
    <n v="1.5928426466686605E-2"/>
    <n v="3.3305011979475697E-2"/>
    <n v="3.7453116188347103E-2"/>
    <n v="112"/>
    <n v="43845023715.92009"/>
    <n v="30"/>
    <n v="523596159.95291084"/>
    <n v="63"/>
    <n v="29055329693.990318"/>
    <n v="19"/>
    <n v="14266097861.976858"/>
    <n v="0.68072137678371858"/>
    <n v="8.1291573974539028E-3"/>
    <n v="0.45110214012762329"/>
    <n v="0.22149007925864136"/>
    <n v="2579119042.1129465"/>
    <n v="4.0042433928454038E-2"/>
  </r>
  <r>
    <n v="96"/>
    <s v="JOR"/>
    <s v="Jordan"/>
    <s v="Middle East &amp; North Africa"/>
    <x v="0"/>
    <n v="0"/>
    <n v="0"/>
    <x v="1"/>
    <s v="na"/>
    <n v="0"/>
    <s v="na"/>
    <n v="44502895915.492958"/>
    <n v="3"/>
    <n v="1940000000"/>
    <n v="7"/>
    <n v="4400000000"/>
    <n v="10"/>
    <n v="6340000000"/>
    <n v="4.3592668748655986E-2"/>
    <n v="9.8869970357776463E-2"/>
    <n v="0.14246263910643245"/>
    <n v="1.4449252586341732E-3"/>
    <n v="5.5336167215836209E-3"/>
    <n v="2.958704143585819E-3"/>
    <n v="372941176.47058821"/>
    <n v="8.3801552415548493E-3"/>
    <n v="1"/>
    <n v="1"/>
    <n v="250000000"/>
    <n v="0"/>
    <n v="0"/>
    <n v="0"/>
    <n v="0"/>
    <n v="1"/>
    <n v="250000000"/>
    <n v="5.6176119521463902E-3"/>
    <n v="6.2719156412293659E-3"/>
    <n v="3086738000"/>
    <n v="206890000"/>
    <n v="-2879848000"/>
    <n v="3293628000"/>
    <n v="19336709000"/>
    <n v="8312917000"/>
    <n v="-11023792000"/>
    <n v="27649626000"/>
    <n v="0.15963098994766897"/>
    <n v="2.4887774050913778E-2"/>
    <n v="7.7391107861860368E-3"/>
    <n v="4.0179395226687068E-3"/>
    <n v="0.11912016459101472"/>
    <n v="7.4009296074896036E-2"/>
    <n v="72"/>
    <n v="4727412211.0386553"/>
    <n v="56"/>
    <n v="282307787.39558607"/>
    <n v="15"/>
    <n v="1692278229.7153194"/>
    <n v="1"/>
    <n v="2752826193.9277501"/>
    <n v="0.10622706935781417"/>
    <n v="6.3435824026297849E-3"/>
    <n v="3.8026249638423652E-2"/>
    <n v="6.1857237316760738E-2"/>
    <n v="278083071.23756796"/>
    <n v="6.2486511386949514E-3"/>
  </r>
  <r>
    <n v="145"/>
    <s v="OMN"/>
    <s v="Oman"/>
    <s v="Middle East &amp; North Africa"/>
    <x v="1"/>
    <n v="0"/>
    <n v="0"/>
    <x v="0"/>
    <n v="2018"/>
    <n v="0"/>
    <s v="na"/>
    <n v="76331518668.577118"/>
    <n v="3"/>
    <n v="1030000000"/>
    <n v="9"/>
    <n v="5590000000"/>
    <n v="12"/>
    <n v="6620000000"/>
    <n v="1.3493770567727655E-2"/>
    <n v="7.3233182013201545E-2"/>
    <n v="8.6726952580929204E-2"/>
    <n v="7.6715103937793731E-4"/>
    <n v="7.030208516739191E-3"/>
    <n v="3.0893724653845616E-3"/>
    <n v="389411764.70588237"/>
    <n v="5.1015854459370126E-3"/>
    <n v="1"/>
    <n v="3"/>
    <n v="477100000"/>
    <n v="1"/>
    <n v="46000000"/>
    <n v="0"/>
    <n v="0"/>
    <n v="4"/>
    <n v="523100000"/>
    <n v="6.8530013436682883E-3"/>
    <n v="1.3123356287708325E-2"/>
    <n v="3020370000"/>
    <n v="19460465000"/>
    <n v="16440095000"/>
    <n v="22480835000"/>
    <n v="31690640000"/>
    <n v="42022781000"/>
    <n v="10332141000"/>
    <n v="73713421000"/>
    <n v="9.5307952127189607E-2"/>
    <n v="0.46309322079374043"/>
    <n v="1.2683511648499167E-2"/>
    <n v="2.031116064702097E-2"/>
    <n v="0.30497614538877527"/>
    <n v="0.29451575695237064"/>
    <n v="10"/>
    <n v="5408010964.3148966"/>
    <n v="0"/>
    <n v="0"/>
    <n v="10"/>
    <n v="5408010964.3148966"/>
    <n v="0"/>
    <n v="0"/>
    <n v="7.0848989495360004E-2"/>
    <n v="0"/>
    <n v="7.0848989495360004E-2"/>
    <n v="0"/>
    <n v="318118292.01852334"/>
    <n v="4.1675876173741183E-3"/>
  </r>
  <r>
    <n v="198"/>
    <s v="TKM"/>
    <s v="Turkmenistan"/>
    <s v="Europe &amp; Central Asia"/>
    <x v="0"/>
    <n v="2"/>
    <n v="0"/>
    <x v="1"/>
    <s v="na"/>
    <n v="0"/>
    <s v="na"/>
    <n v="45231428571.428574"/>
    <n v="3"/>
    <n v="6200000000"/>
    <n v="1"/>
    <n v="600000000"/>
    <n v="4"/>
    <n v="6800000000"/>
    <n v="0.13707283178573684"/>
    <n v="1.3265112753458404E-2"/>
    <n v="0.15033794453919525"/>
    <n v="4.6178023729545742E-3"/>
    <n v="7.5458409839776648E-4"/>
    <n v="3.173373529398039E-3"/>
    <n v="400000000"/>
    <n v="8.8434085023056021E-3"/>
    <n v="0"/>
    <s v="na"/>
    <s v="na"/>
    <s v="na"/>
    <s v="na"/>
    <s v="na"/>
    <s v="na"/>
    <n v="0"/>
    <s v="na"/>
    <s v="na"/>
    <s v="na"/>
    <n v="431024000"/>
    <n v="8685698000"/>
    <n v="8254674000"/>
    <n v="9116722000"/>
    <n v="3078798000"/>
    <n v="10962729000"/>
    <n v="7883931000"/>
    <n v="14041527000"/>
    <n v="0.13999749252792812"/>
    <n v="0.7922934152618385"/>
    <n v="1.2322240982313999E-3"/>
    <n v="5.2986914371220594E-3"/>
    <n v="0.64926855889676383"/>
    <n v="0.20155724211989134"/>
    <n v="38"/>
    <n v="9634636425.0091076"/>
    <n v="27"/>
    <n v="375606001.45091975"/>
    <n v="8"/>
    <n v="8985435792.6473618"/>
    <n v="3"/>
    <n v="273594630.91082501"/>
    <n v="0.21300756419387198"/>
    <n v="8.3040932668701859E-3"/>
    <n v="0.19865469821404691"/>
    <n v="6.0487727129548826E-3"/>
    <n v="566743319.11818278"/>
    <n v="1.2529856717286587E-2"/>
  </r>
  <r>
    <n v="183"/>
    <s v="SDN"/>
    <s v="Sudan"/>
    <s v="Sub-Saharan Africa"/>
    <x v="3"/>
    <n v="0"/>
    <n v="0"/>
    <x v="0"/>
    <n v="2018"/>
    <n v="0"/>
    <s v="na"/>
    <n v="32250448249.459461"/>
    <n v="18"/>
    <n v="5390000000"/>
    <n v="1"/>
    <n v="1450000000"/>
    <n v="19"/>
    <n v="6840000000"/>
    <n v="0.16712945997860168"/>
    <n v="4.4960615393130322E-2"/>
    <n v="0.21209007537173202"/>
    <n v="4.0145088371330894E-3"/>
    <n v="1.8235782377946021E-3"/>
    <n v="3.1920404325121452E-3"/>
    <n v="402352941.17647058"/>
    <n v="1.2475886786572471E-2"/>
    <n v="2"/>
    <n v="0"/>
    <n v="0"/>
    <n v="0"/>
    <n v="0"/>
    <n v="0"/>
    <n v="0"/>
    <n v="0"/>
    <n v="0"/>
    <n v="0"/>
    <n v="0"/>
    <n v="2292123000"/>
    <n v="740420000"/>
    <n v="-1551703000"/>
    <n v="3032543000"/>
    <n v="8154317000"/>
    <n v="4193398000"/>
    <n v="-3960919000"/>
    <n v="12347715000"/>
    <n v="0.28109319272233346"/>
    <n v="0.17656802430868712"/>
    <n v="3.2635937505539419E-3"/>
    <n v="2.0268239847071627E-3"/>
    <n v="0.24559548062131334"/>
    <n v="9.4031034128365248E-2"/>
    <n v="285"/>
    <n v="20177493061.799458"/>
    <n v="210"/>
    <n v="3907103924.7161674"/>
    <n v="46"/>
    <n v="12873324230.182573"/>
    <n v="29"/>
    <n v="3397064906.9007163"/>
    <n v="0.62565000355111799"/>
    <n v="0.12114882542079561"/>
    <n v="0.39916729623745117"/>
    <n v="0.10533388189287116"/>
    <n v="1186911356.5764387"/>
    <n v="3.6802941385359882E-2"/>
  </r>
  <r>
    <n v="139"/>
    <s v="NER"/>
    <s v="Niger"/>
    <s v="Sub-Saharan Africa"/>
    <x v="3"/>
    <n v="0"/>
    <n v="0"/>
    <x v="0"/>
    <s v="na"/>
    <n v="0"/>
    <s v="na"/>
    <n v="12911689659.350994"/>
    <n v="5"/>
    <n v="5740000000"/>
    <n v="4"/>
    <n v="1730000000"/>
    <n v="9"/>
    <n v="7470000000"/>
    <n v="0.44455839254492435"/>
    <n v="0.13398711134193714"/>
    <n v="0.57854550388686155"/>
    <n v="4.2751912291547189E-3"/>
    <n v="2.1757174837135598E-3"/>
    <n v="3.4860441565593165E-3"/>
    <n v="439411764.70588237"/>
    <n v="3.4032088463933033E-2"/>
    <n v="0"/>
    <s v="na"/>
    <s v="na"/>
    <s v="na"/>
    <s v="na"/>
    <s v="na"/>
    <s v="na"/>
    <n v="0"/>
    <s v="na"/>
    <s v="na"/>
    <s v="na"/>
    <n v="565338000"/>
    <n v="280000"/>
    <n v="-565058000"/>
    <n v="565618000"/>
    <n v="2772522000"/>
    <n v="854318000"/>
    <n v="-1918204000"/>
    <n v="3626840000"/>
    <n v="0.2039074892823213"/>
    <n v="3.2774681090647745E-4"/>
    <n v="1.10964357560214E-3"/>
    <n v="4.1292341269945132E-4"/>
    <n v="0.15595339193347377"/>
    <n v="4.3806660082661153E-2"/>
    <n v="115"/>
    <n v="3214830315.2802434"/>
    <n v="107"/>
    <n v="1892117308.0012741"/>
    <n v="4"/>
    <n v="1309496212.231102"/>
    <n v="4"/>
    <n v="13216795.047867401"/>
    <n v="0.24898602739820164"/>
    <n v="0.146542966716285"/>
    <n v="0.10141943051448185"/>
    <n v="1.023630167434782E-3"/>
    <n v="189107665.60472021"/>
    <n v="1.4646236905776567E-2"/>
  </r>
  <r>
    <n v="144"/>
    <s v="NOR"/>
    <s v="Norway"/>
    <s v="Europe &amp; Central Asia"/>
    <x v="1"/>
    <n v="0"/>
    <n v="0"/>
    <x v="1"/>
    <s v="na"/>
    <n v="0"/>
    <s v="na"/>
    <n v="405509999999.99994"/>
    <n v="11"/>
    <n v="7470000000"/>
    <n v="0"/>
    <n v="0"/>
    <n v="11"/>
    <n v="7470000000"/>
    <n v="1.8421247318191909E-2"/>
    <n v="0"/>
    <n v="1.8421247318191909E-2"/>
    <n v="5.5637070525759143E-3"/>
    <n v="0"/>
    <n v="3.4860441565593165E-3"/>
    <n v="439411764.70588237"/>
    <n v="1.0836027834230536E-3"/>
    <n v="2"/>
    <n v="0"/>
    <n v="0"/>
    <n v="0"/>
    <n v="0"/>
    <n v="0"/>
    <n v="0"/>
    <n v="0"/>
    <n v="0"/>
    <n v="0"/>
    <n v="0"/>
    <n v="8749234000"/>
    <n v="4248228000"/>
    <n v="-4501006000"/>
    <n v="12997462000"/>
    <n v="85927067000"/>
    <n v="102793716000"/>
    <n v="16866649000"/>
    <n v="188720783000"/>
    <n v="0.10182162973164206"/>
    <n v="4.1327701393731112E-2"/>
    <n v="3.4390500009336147E-2"/>
    <n v="4.9683995906416797E-2"/>
    <n v="6.8871386571133508E-2"/>
    <n v="3.2052136815368309E-2"/>
    <s v="na"/>
    <s v="na"/>
    <s v="na"/>
    <s v="na"/>
    <s v="na"/>
    <s v="na"/>
    <s v="na"/>
    <s v="na"/>
    <n v="0"/>
    <n v="0"/>
    <n v="0"/>
    <n v="0"/>
    <n v="0"/>
    <n v="0"/>
  </r>
  <r>
    <n v="207"/>
    <s v="UZB"/>
    <s v="Uzbekistan"/>
    <s v="Europe &amp; Central Asia"/>
    <x v="2"/>
    <n v="2"/>
    <n v="0"/>
    <x v="0"/>
    <n v="2015"/>
    <n v="0"/>
    <s v="na"/>
    <n v="57726542784.920425"/>
    <n v="7"/>
    <n v="4010000000"/>
    <n v="16"/>
    <n v="3690000000"/>
    <n v="23"/>
    <n v="7700000000"/>
    <n v="6.9465445296812561E-2"/>
    <n v="6.392206811601954E-2"/>
    <n v="0.13338751341283211"/>
    <n v="2.986675405733523E-3"/>
    <n v="4.6406922051462638E-3"/>
    <n v="3.5933788494654268E-3"/>
    <n v="452941176.47058821"/>
    <n v="7.8463243184018882E-3"/>
    <n v="1"/>
    <n v="7"/>
    <n v="1132600000"/>
    <n v="3"/>
    <n v="801300000"/>
    <n v="0"/>
    <n v="0"/>
    <n v="10"/>
    <n v="1933900000"/>
    <n v="3.3501053531048833E-2"/>
    <n v="4.8517030634293884E-2"/>
    <n v="5052269000"/>
    <n v="1767642000"/>
    <n v="-3284627000"/>
    <n v="6819911000"/>
    <n v="21855139000"/>
    <n v="14344696000"/>
    <n v="-7510443000"/>
    <n v="36199835000"/>
    <n v="0.23117075576595508"/>
    <n v="0.12322617363240043"/>
    <n v="8.7470593868116397E-3"/>
    <n v="6.9333208787081251E-3"/>
    <n v="0.18839619020362938"/>
    <n v="0.11814168441387289"/>
    <n v="149"/>
    <n v="12695736545.016287"/>
    <n v="64"/>
    <n v="2542801902.4255037"/>
    <n v="56"/>
    <n v="8886742719.4394569"/>
    <n v="29"/>
    <n v="1266191923.151324"/>
    <n v="0.21992892580313542"/>
    <n v="4.4049093878695697E-2"/>
    <n v="0.15394552125787256"/>
    <n v="2.1934310666567133E-2"/>
    <n v="746808032.05978155"/>
    <n v="1.2936995635478553E-2"/>
  </r>
  <r>
    <n v="201"/>
    <s v="UGA"/>
    <s v="Uganda"/>
    <s v="Sub-Saharan Africa"/>
    <x v="3"/>
    <n v="0"/>
    <n v="0"/>
    <x v="0"/>
    <n v="2018"/>
    <n v="0"/>
    <s v="na"/>
    <n v="35170037380.862961"/>
    <n v="7"/>
    <n v="5150000000"/>
    <n v="10"/>
    <n v="2640000000"/>
    <n v="17"/>
    <n v="7790000000"/>
    <n v="0.14643146221966385"/>
    <n v="7.5063895196099531E-2"/>
    <n v="0.22149535741576337"/>
    <n v="3.8357551968896866E-3"/>
    <n v="3.3201700329501724E-3"/>
    <n v="3.6353793814721653E-3"/>
    <n v="458235294.11764705"/>
    <n v="1.3029138671515493E-2"/>
    <n v="0"/>
    <s v="na"/>
    <s v="na"/>
    <s v="na"/>
    <s v="na"/>
    <s v="na"/>
    <s v="na"/>
    <n v="0"/>
    <s v="na"/>
    <s v="na"/>
    <s v="na"/>
    <n v="1256568000"/>
    <n v="40627000"/>
    <n v="-1215941000"/>
    <n v="1297195000"/>
    <n v="7696029000"/>
    <n v="3563785000"/>
    <n v="-4132244000"/>
    <n v="11259814000"/>
    <n v="0.16327485252459417"/>
    <n v="1.139995819051935E-2"/>
    <n v="3.0801736244104689E-3"/>
    <n v="1.7225087898500488E-3"/>
    <n v="0.11520572187071651"/>
    <n v="3.6883526336706184E-2"/>
    <n v="144"/>
    <n v="3764362664.242372"/>
    <n v="128"/>
    <n v="928849483.01561439"/>
    <n v="11"/>
    <n v="2465643586.7059298"/>
    <n v="5"/>
    <n v="369869594.52082771"/>
    <n v="0.10703322898060584"/>
    <n v="2.6410250093195191E-2"/>
    <n v="7.0106368099783656E-2"/>
    <n v="1.0516610787626985E-2"/>
    <n v="221433097.89661011"/>
    <n v="6.2960722929768136E-3"/>
  </r>
  <r>
    <n v="157"/>
    <s v="QAT"/>
    <s v="Qatar"/>
    <s v="Middle East &amp; North Africa"/>
    <x v="1"/>
    <n v="0"/>
    <n v="0"/>
    <x v="0"/>
    <n v="2019"/>
    <n v="0"/>
    <s v="na"/>
    <n v="175837550996.18515"/>
    <n v="10"/>
    <n v="3970000000"/>
    <n v="10"/>
    <n v="3830000000"/>
    <n v="20"/>
    <n v="7800000000"/>
    <n v="2.2577657488451544E-2"/>
    <n v="2.1781468055609425E-2"/>
    <n v="4.4359125544060969E-2"/>
    <n v="2.9568831323596224E-3"/>
    <n v="4.8167618281057421E-3"/>
    <n v="3.6400461072506919E-3"/>
    <n v="458823529.41176468"/>
    <n v="2.6093603261212331E-3"/>
    <n v="1"/>
    <n v="0"/>
    <n v="0"/>
    <n v="0"/>
    <n v="0"/>
    <n v="0"/>
    <n v="0"/>
    <n v="0"/>
    <n v="0"/>
    <n v="0"/>
    <n v="0"/>
    <n v="3485373000"/>
    <n v="9018816000"/>
    <n v="5533443000"/>
    <n v="12504189000"/>
    <n v="29178065000"/>
    <n v="72934956000"/>
    <n v="43756891000"/>
    <n v="102113021000"/>
    <n v="0.11945182108546266"/>
    <n v="0.12365560349415992"/>
    <n v="1.167790638838994E-2"/>
    <n v="3.5252155446337689E-2"/>
    <n v="0.12245440275437547"/>
    <n v="7.111216534329054E-2"/>
    <s v="na"/>
    <s v="na"/>
    <s v="na"/>
    <s v="na"/>
    <s v="na"/>
    <s v="na"/>
    <s v="na"/>
    <s v="na"/>
    <n v="0"/>
    <n v="0"/>
    <n v="0"/>
    <n v="0"/>
    <n v="0"/>
    <n v="0"/>
  </r>
  <r>
    <n v="127"/>
    <s v="MNG"/>
    <s v="Mongolia"/>
    <s v="East Asia &amp; Pacific"/>
    <x v="2"/>
    <n v="2"/>
    <n v="0"/>
    <x v="0"/>
    <n v="2013"/>
    <n v="0"/>
    <s v="na"/>
    <n v="13996719329.423601"/>
    <n v="6"/>
    <n v="2230000000"/>
    <n v="14"/>
    <n v="5630000000"/>
    <n v="20"/>
    <n v="7860000000"/>
    <n v="0.15932304903136424"/>
    <n v="0.40223711481909447"/>
    <n v="0.5615601638504587"/>
    <n v="1.6609192405949518E-3"/>
    <n v="7.0805141232990415E-3"/>
    <n v="3.6680464619218509E-3"/>
    <n v="462352941.17647058"/>
    <n v="3.3032950814732863E-2"/>
    <n v="1"/>
    <n v="2"/>
    <n v="121000000"/>
    <n v="0"/>
    <n v="0"/>
    <n v="0"/>
    <n v="0"/>
    <n v="2"/>
    <n v="121000000"/>
    <n v="8.6448829295045163E-3"/>
    <n v="3.0356071703550131E-3"/>
    <n v="2036805"/>
    <n v="6772663"/>
    <n v="4735858"/>
    <n v="8809468"/>
    <n v="6127356000"/>
    <n v="7619754000"/>
    <n v="1492398000"/>
    <n v="13747110000"/>
    <n v="3.3241172864772344E-4"/>
    <n v="8.8882961313449223E-4"/>
    <n v="2.4523452729418292E-3"/>
    <n v="3.6829082678935653E-3"/>
    <n v="6.4082327121845969E-4"/>
    <n v="6.293952027373248E-4"/>
    <n v="139"/>
    <n v="5225733735.4564066"/>
    <n v="80"/>
    <n v="804804606.9130677"/>
    <n v="50"/>
    <n v="4326680144.5949039"/>
    <n v="9"/>
    <n v="94248983.948433891"/>
    <n v="0.3733541848246526"/>
    <n v="5.7499517420573319E-2"/>
    <n v="0.30912101920193902"/>
    <n v="6.7336482021401771E-3"/>
    <n v="307396102.08567095"/>
    <n v="2.1962010872038387E-2"/>
  </r>
  <r>
    <n v="91"/>
    <s v="IRL"/>
    <s v="Ireland"/>
    <s v="Europe &amp; Central Asia"/>
    <x v="1"/>
    <n v="2"/>
    <n v="0"/>
    <x v="1"/>
    <s v="na"/>
    <n v="0"/>
    <s v="na"/>
    <n v="399122063504.14838"/>
    <n v="6"/>
    <n v="7930000000"/>
    <n v="0"/>
    <n v="0"/>
    <n v="6"/>
    <n v="7930000000"/>
    <n v="1.9868608441180744E-2"/>
    <n v="0"/>
    <n v="1.9868608441180744E-2"/>
    <n v="5.9063181963757696E-3"/>
    <n v="0"/>
    <n v="3.7007135423715366E-3"/>
    <n v="466470588.2352941"/>
    <n v="1.1687416730106321E-3"/>
    <n v="2"/>
    <n v="0"/>
    <n v="0"/>
    <n v="0"/>
    <n v="0"/>
    <n v="0"/>
    <n v="0"/>
    <n v="0"/>
    <n v="0"/>
    <n v="0"/>
    <n v="0"/>
    <n v="5706890000"/>
    <n v="9212614000"/>
    <n v="3505724000"/>
    <n v="14919504000"/>
    <n v="101473370000"/>
    <n v="170743383000"/>
    <n v="69270013000"/>
    <n v="272216753000"/>
    <n v="5.6240272694205388E-2"/>
    <n v="5.3955906449387851E-2"/>
    <n v="4.0612580572922032E-2"/>
    <n v="8.2526577227928569E-2"/>
    <n v="5.4807442361932808E-2"/>
    <n v="3.7380804932235799E-2"/>
    <s v="na"/>
    <s v="na"/>
    <s v="na"/>
    <s v="na"/>
    <s v="na"/>
    <s v="na"/>
    <s v="na"/>
    <s v="na"/>
    <n v="0"/>
    <n v="0"/>
    <n v="0"/>
    <n v="0"/>
    <n v="0"/>
    <n v="0"/>
  </r>
  <r>
    <n v="38"/>
    <s v="TCD"/>
    <s v="Chad"/>
    <s v="Sub-Saharan Africa"/>
    <x v="3"/>
    <n v="0"/>
    <n v="0"/>
    <x v="0"/>
    <n v="2018"/>
    <n v="1"/>
    <n v="2006"/>
    <n v="11314951342.780731"/>
    <n v="5"/>
    <n v="7730000000"/>
    <n v="3"/>
    <n v="550000000"/>
    <n v="8"/>
    <n v="8280000000"/>
    <n v="0.6831668794521123"/>
    <n v="4.8608251448727269E-2"/>
    <n v="0.73177513090083957"/>
    <n v="5.7573568295062674E-3"/>
    <n v="6.9170209019795261E-4"/>
    <n v="3.8640489446199653E-3"/>
    <n v="487058823.52941179"/>
    <n v="4.3045595935343503E-2"/>
    <n v="0"/>
    <s v="na"/>
    <s v="na"/>
    <s v="na"/>
    <s v="na"/>
    <s v="na"/>
    <s v="na"/>
    <n v="0"/>
    <s v="na"/>
    <s v="na"/>
    <s v="na"/>
    <n v="278769000"/>
    <n v="439827000"/>
    <n v="161058000"/>
    <n v="718596000"/>
    <n v="1006326000"/>
    <n v="1319682000"/>
    <n v="313356000"/>
    <n v="2326008000"/>
    <n v="0.27701659303247655"/>
    <n v="0.3332825635266678"/>
    <n v="4.0276080076601708E-4"/>
    <n v="6.3785100526740309E-4"/>
    <n v="0.3089396081182868"/>
    <n v="6.3508536469181129E-2"/>
    <n v="96"/>
    <n v="4127853844.9958119"/>
    <n v="85"/>
    <n v="2946617135.621397"/>
    <n v="6"/>
    <n v="736995321.85174417"/>
    <n v="5"/>
    <n v="444241387.52267027"/>
    <n v="0.3648141048020947"/>
    <n v="0.26041801209347881"/>
    <n v="6.5134643492918656E-2"/>
    <n v="3.9261449215697179E-2"/>
    <n v="242814932.05857718"/>
    <n v="2.145965322365263E-2"/>
  </r>
  <r>
    <n v="180"/>
    <s v="ESP"/>
    <s v="Spain"/>
    <s v="Europe &amp; Central Asia"/>
    <x v="1"/>
    <n v="3"/>
    <n v="0"/>
    <x v="1"/>
    <s v="na"/>
    <n v="0"/>
    <s v="na"/>
    <n v="1393046093137.2527"/>
    <n v="17"/>
    <n v="8510000000"/>
    <n v="0"/>
    <n v="0"/>
    <n v="17"/>
    <n v="8510000000"/>
    <n v="6.1089148750525478E-3"/>
    <n v="0"/>
    <n v="6.1089148750525478E-3"/>
    <n v="6.3383061602973268E-3"/>
    <n v="0"/>
    <n v="3.9713836375260755E-3"/>
    <n v="500588235.29411763"/>
    <n v="3.5934793382662046E-4"/>
    <n v="2"/>
    <n v="0"/>
    <n v="0"/>
    <n v="0"/>
    <n v="0"/>
    <n v="0"/>
    <n v="0"/>
    <n v="0"/>
    <n v="0"/>
    <n v="0"/>
    <n v="0"/>
    <n v="32639038000"/>
    <n v="7613577000"/>
    <n v="-25025461000"/>
    <n v="40252615000"/>
    <n v="375485170000"/>
    <n v="337215114000"/>
    <n v="-38270056000"/>
    <n v="712700284000"/>
    <n v="8.692497229650907E-2"/>
    <n v="2.257780474216823E-2"/>
    <n v="0.1502800362357368"/>
    <n v="0.16298850742547216"/>
    <n v="5.6479021972720304E-2"/>
    <n v="2.8895393482169601E-2"/>
    <s v="na"/>
    <s v="na"/>
    <s v="na"/>
    <s v="na"/>
    <s v="na"/>
    <s v="na"/>
    <s v="na"/>
    <s v="na"/>
    <n v="0"/>
    <n v="0"/>
    <n v="0"/>
    <n v="0"/>
    <n v="0"/>
    <n v="0"/>
  </r>
  <r>
    <n v="202"/>
    <s v="UKR"/>
    <s v="Ukraine"/>
    <s v="Europe &amp; Central Asia"/>
    <x v="2"/>
    <n v="2"/>
    <n v="0"/>
    <x v="0"/>
    <n v="2017"/>
    <n v="0"/>
    <s v="na"/>
    <n v="153929501862.34137"/>
    <n v="6"/>
    <n v="6020000000"/>
    <n v="9"/>
    <n v="3130000000"/>
    <n v="15"/>
    <n v="9150000000"/>
    <n v="3.9108812327500846E-2"/>
    <n v="2.0333983818119208E-2"/>
    <n v="5.944279614562005E-2"/>
    <n v="4.4837371427720223E-3"/>
    <n v="3.9364137133083479E-3"/>
    <n v="4.2700540873517731E-3"/>
    <n v="538235294.11764705"/>
    <n v="3.4966350673894149E-3"/>
    <n v="0"/>
    <s v="na"/>
    <s v="na"/>
    <s v="na"/>
    <s v="na"/>
    <s v="na"/>
    <s v="na"/>
    <n v="0"/>
    <s v="na"/>
    <s v="na"/>
    <s v="na"/>
    <n v="9203749000"/>
    <n v="3590068000"/>
    <n v="-5613681000"/>
    <n v="12793817000"/>
    <n v="60684881000"/>
    <n v="49853049000"/>
    <n v="-10831832000"/>
    <n v="110537930000"/>
    <n v="0.15166461313485974"/>
    <n v="7.2013007669801704E-2"/>
    <n v="2.4287846349940731E-2"/>
    <n v="2.4095818098826157E-2"/>
    <n v="0.1157414201622918"/>
    <n v="8.3114782060695988E-2"/>
    <n v="70"/>
    <n v="31397707013.803066"/>
    <n v="32"/>
    <n v="1843879105.019238"/>
    <n v="29"/>
    <n v="6769559487.0643797"/>
    <n v="9"/>
    <n v="22784268421.719448"/>
    <n v="0.20397458988649186"/>
    <n v="1.197872456358764E-2"/>
    <n v="4.3978310883630183E-2"/>
    <n v="0.14801755443927403"/>
    <n v="1846923941.9884157"/>
    <n v="1.1998505287440698E-2"/>
  </r>
  <r>
    <n v="155"/>
    <s v="PRT"/>
    <s v="Portugal"/>
    <s v="Europe &amp; Central Asia"/>
    <x v="1"/>
    <n v="3"/>
    <n v="0"/>
    <x v="0"/>
    <n v="2018"/>
    <n v="0"/>
    <s v="na"/>
    <n v="239510770948.27414"/>
    <n v="4"/>
    <n v="4590000000"/>
    <n v="8"/>
    <n v="4630000000"/>
    <n v="12"/>
    <n v="9220000000"/>
    <n v="1.9164065072427485E-2"/>
    <n v="1.9331072175455176E-2"/>
    <n v="3.8495137247882658E-2"/>
    <n v="3.4186633696550802E-3"/>
    <n v="5.8228739593027641E-3"/>
    <n v="4.3027211678014592E-3"/>
    <n v="542352941.17647064"/>
    <n v="2.264419838110745E-3"/>
    <n v="2"/>
    <n v="0"/>
    <n v="0"/>
    <n v="0"/>
    <n v="0"/>
    <n v="0"/>
    <n v="0"/>
    <n v="0"/>
    <n v="0"/>
    <n v="0"/>
    <n v="0"/>
    <n v="3306270000"/>
    <n v="673894000"/>
    <n v="-2632376000"/>
    <n v="3980164000"/>
    <n v="89541380000"/>
    <n v="67064074000"/>
    <n v="-22477306000"/>
    <n v="156605454000"/>
    <n v="3.6924492340859615E-2"/>
    <n v="1.0048509728174284E-2"/>
    <n v="3.5837052715019017E-2"/>
    <n v="3.2414541547302694E-2"/>
    <n v="2.5415232345611667E-2"/>
    <n v="1.6617891480377619E-2"/>
    <s v="na"/>
    <s v="na"/>
    <s v="na"/>
    <s v="na"/>
    <s v="na"/>
    <s v="na"/>
    <s v="na"/>
    <s v="na"/>
    <n v="0"/>
    <n v="0"/>
    <n v="0"/>
    <n v="0"/>
    <n v="0"/>
    <n v="0"/>
  </r>
  <r>
    <n v="100"/>
    <s v="KOR"/>
    <s v="Korea Republic"/>
    <s v="East Asia &amp; Pacific"/>
    <x v="3"/>
    <n v="2"/>
    <n v="1"/>
    <x v="0"/>
    <n v="2018"/>
    <n v="0"/>
    <s v="na"/>
    <n v="1646739219509.8928"/>
    <n v="4"/>
    <n v="2120000000"/>
    <n v="14"/>
    <n v="7240000000"/>
    <n v="18"/>
    <n v="9360000000"/>
    <n v="1.2873926696365199E-3"/>
    <n v="4.39656741894736E-3"/>
    <n v="5.6839600885838799E-3"/>
    <n v="1.5789904888167253E-3"/>
    <n v="9.1053147873330475E-3"/>
    <n v="4.3680553287008305E-3"/>
    <n v="550588235.29411769"/>
    <n v="3.3435059344611063E-4"/>
    <n v="1"/>
    <n v="0"/>
    <n v="0"/>
    <n v="0"/>
    <n v="0"/>
    <n v="0"/>
    <n v="0"/>
    <n v="0"/>
    <n v="0"/>
    <n v="0"/>
    <n v="0"/>
    <n v="107219763000"/>
    <n v="136213398000"/>
    <n v="28993635000"/>
    <n v="243433161000"/>
    <n v="503259397000"/>
    <n v="542333337000"/>
    <n v="39073940000"/>
    <n v="1045592734000"/>
    <n v="0.21305069242452715"/>
    <n v="0.25116176474322099"/>
    <n v="0.20141898125333429"/>
    <n v="0.26212971321536199"/>
    <n v="0.23281833651303854"/>
    <n v="0.14782739010275789"/>
    <s v="na"/>
    <s v="na"/>
    <s v="na"/>
    <s v="na"/>
    <s v="na"/>
    <s v="na"/>
    <s v="na"/>
    <s v="na"/>
    <n v="0"/>
    <n v="0"/>
    <n v="0"/>
    <n v="0"/>
    <n v="0"/>
    <n v="0"/>
  </r>
  <r>
    <n v="131"/>
    <s v="MMR"/>
    <s v="Myanmar"/>
    <s v="East Asia &amp; Pacific"/>
    <x v="2"/>
    <n v="4"/>
    <n v="1"/>
    <x v="0"/>
    <n v="2016"/>
    <n v="0"/>
    <s v="na"/>
    <n v="79844294296.064682"/>
    <n v="7"/>
    <n v="4180000000"/>
    <n v="16"/>
    <n v="5700000000"/>
    <n v="23"/>
    <n v="9880000000"/>
    <n v="5.2351893605577543E-2"/>
    <n v="7.1388945825787559E-2"/>
    <n v="0.1237408394313651"/>
    <n v="3.1132925675726002E-3"/>
    <n v="7.1685489347787807E-3"/>
    <n v="4.61072506918421E-3"/>
    <n v="581176470.58823526"/>
    <n v="7.2788729077273582E-3"/>
    <n v="1"/>
    <n v="1"/>
    <n v="20000000"/>
    <n v="0"/>
    <n v="0"/>
    <n v="0"/>
    <n v="0"/>
    <n v="1"/>
    <n v="20000000"/>
    <n v="2.5048752921328965E-4"/>
    <n v="5.0175325129834928E-4"/>
    <n v="6447069000"/>
    <n v="5753615000"/>
    <n v="-693454000"/>
    <n v="12200684000"/>
    <n v="18610892000"/>
    <n v="18105886000"/>
    <n v="-505006000"/>
    <n v="36716778000"/>
    <n v="0.34641375598762275"/>
    <n v="0.31777594313804913"/>
    <n v="7.4486178086324521E-3"/>
    <n v="8.7512427890635777E-3"/>
    <n v="0.33229179314154417"/>
    <n v="0.15280595949360579"/>
    <n v="280"/>
    <n v="17089617367.982758"/>
    <n v="182"/>
    <n v="3050070955.9996686"/>
    <n v="81"/>
    <n v="7760284650.3226576"/>
    <n v="17"/>
    <n v="6279261761.6604366"/>
    <n v="0.21403680148532617"/>
    <n v="3.8200236884678669E-2"/>
    <n v="9.7192726402557009E-2"/>
    <n v="7.8643838198090565E-2"/>
    <n v="1005271609.8813387"/>
    <n v="1.2590400087372128E-2"/>
  </r>
  <r>
    <n v="34"/>
    <s v="CMR"/>
    <s v="Cameroon"/>
    <s v="Sub-Saharan Africa"/>
    <x v="2"/>
    <n v="0"/>
    <n v="0"/>
    <x v="0"/>
    <n v="2015"/>
    <n v="0"/>
    <s v="na"/>
    <n v="39007354359.279823"/>
    <n v="15"/>
    <n v="5970000000"/>
    <n v="10"/>
    <n v="3990000000"/>
    <n v="25"/>
    <n v="9960000000"/>
    <n v="0.15304806229648182"/>
    <n v="0.10228840344438232"/>
    <n v="0.25533646574086416"/>
    <n v="4.4464968010546465E-3"/>
    <n v="5.017984254345147E-3"/>
    <n v="4.6480588754124223E-3"/>
    <n v="585882352.94117641"/>
    <n v="1.5019792102403772E-2"/>
    <n v="0"/>
    <s v="na"/>
    <s v="na"/>
    <s v="na"/>
    <s v="na"/>
    <s v="na"/>
    <s v="na"/>
    <n v="0"/>
    <s v="na"/>
    <s v="na"/>
    <s v="na"/>
    <n v="1676311000"/>
    <n v="1015043000"/>
    <n v="-661268000"/>
    <n v="2691354000"/>
    <n v="6165015000"/>
    <n v="5721600000"/>
    <n v="-443415000"/>
    <n v="11886615000"/>
    <n v="0.27190704321076264"/>
    <n v="0.17740544602908279"/>
    <n v="2.4674174950607528E-3"/>
    <n v="2.7654604001100063E-3"/>
    <n v="0.22641887534844865"/>
    <n v="6.8996066106178477E-2"/>
    <n v="132"/>
    <n v="6758834345.7368317"/>
    <n v="103"/>
    <n v="1578225644.3265741"/>
    <n v="18"/>
    <n v="4176630992.847837"/>
    <n v="11"/>
    <n v="1003977708.5624185"/>
    <n v="0.17327077051891651"/>
    <n v="4.0459694594773644E-2"/>
    <n v="0.10707291128689991"/>
    <n v="2.5738164637242895E-2"/>
    <n v="397578490.92569596"/>
    <n v="1.0192398265818617E-2"/>
  </r>
  <r>
    <n v="191"/>
    <s v="THA"/>
    <s v="Thailand"/>
    <s v="East Asia &amp; Pacific"/>
    <x v="0"/>
    <n v="4"/>
    <n v="1"/>
    <x v="0"/>
    <n v="2014"/>
    <n v="0"/>
    <s v="na"/>
    <n v="544263968873.60052"/>
    <n v="8"/>
    <n v="1780000000"/>
    <n v="29"/>
    <n v="8360000000"/>
    <n v="37"/>
    <n v="10140000000"/>
    <n v="3.2704718698977221E-3"/>
    <n v="1.5360193726036492E-2"/>
    <n v="1.8630665595934216E-2"/>
    <n v="1.3257561651385712E-3"/>
    <n v="1.0513871771008879E-2"/>
    <n v="4.7320599394258993E-3"/>
    <n v="596470588.2352941"/>
    <n v="1.0959215056431891E-3"/>
    <n v="1"/>
    <n v="0"/>
    <n v="0"/>
    <n v="1"/>
    <n v="500000000"/>
    <n v="0"/>
    <n v="0"/>
    <n v="1"/>
    <n v="500000000"/>
    <n v="9.1867187356677591E-4"/>
    <n v="1.2543831282458732E-2"/>
    <n v="50953351000"/>
    <n v="29002027000"/>
    <n v="-21951324000"/>
    <n v="79955378000"/>
    <n v="240139196000"/>
    <n v="245380465000"/>
    <n v="5241269000"/>
    <n v="485519661000"/>
    <n v="0.21218256681429049"/>
    <n v="0.11819207775973528"/>
    <n v="9.6110658848392594E-2"/>
    <n v="0.11860143297645404"/>
    <n v="0.16468000046655165"/>
    <n v="0.14690551381799954"/>
    <n v="55"/>
    <n v="2707817429.782577"/>
    <n v="23"/>
    <n v="17890173.653132062"/>
    <n v="27"/>
    <n v="2677493910.3410997"/>
    <n v="5"/>
    <n v="12433345.7883453"/>
    <n v="4.9751914229902638E-3"/>
    <n v="3.2870398696715605E-5"/>
    <n v="4.9194766941533822E-3"/>
    <n v="2.2844330140165517E-5"/>
    <n v="159283378.22250453"/>
    <n v="2.9265831899942724E-4"/>
  </r>
  <r>
    <n v="216"/>
    <s v="ZWE"/>
    <s v="Zimbabwe"/>
    <s v="Sub-Saharan Africa"/>
    <x v="2"/>
    <n v="0"/>
    <n v="0"/>
    <x v="0"/>
    <n v="2018"/>
    <n v="0"/>
    <s v="na"/>
    <n v="16932434838.692844"/>
    <n v="9"/>
    <n v="1690000000"/>
    <n v="15"/>
    <n v="8580000000"/>
    <n v="24"/>
    <n v="10270000000"/>
    <n v="9.9808445512994226E-2"/>
    <n v="0.50671980029673991"/>
    <n v="0.60652824580973419"/>
    <n v="1.2587235500472953E-3"/>
    <n v="1.0790552607088061E-2"/>
    <n v="4.7927273745467444E-3"/>
    <n v="604117647.05882359"/>
    <n v="3.5678132106454957E-2"/>
    <n v="0"/>
    <s v="na"/>
    <s v="na"/>
    <s v="na"/>
    <s v="na"/>
    <s v="na"/>
    <s v="na"/>
    <n v="0"/>
    <s v="na"/>
    <s v="na"/>
    <s v="na"/>
    <n v="411593000"/>
    <n v="3247000"/>
    <n v="-408346000"/>
    <n v="414840000"/>
    <n v="4793889000"/>
    <n v="4279384000"/>
    <n v="-514505000"/>
    <n v="9073273000"/>
    <n v="8.5857849441236547E-2"/>
    <n v="7.5875406366897661E-4"/>
    <n v="1.9186531724544539E-3"/>
    <n v="2.0683841912864168E-3"/>
    <n v="4.5721097557628876E-2"/>
    <n v="2.4499725169592028E-2"/>
    <n v="204"/>
    <n v="17281064864.699394"/>
    <n v="141"/>
    <n v="8254176990.2777405"/>
    <n v="52"/>
    <n v="8899474794.6103668"/>
    <n v="11"/>
    <n v="127413079.81127936"/>
    <n v="1.0205894798549517"/>
    <n v="0.48747726295192106"/>
    <n v="0.52558742315510909"/>
    <n v="7.524793747921219E-3"/>
    <n v="1016533227.3352585"/>
    <n v="6.0034675285585398E-2"/>
  </r>
  <r>
    <n v="130"/>
    <s v="MOZ"/>
    <s v="Mozambique"/>
    <s v="Sub-Saharan Africa"/>
    <x v="3"/>
    <n v="0"/>
    <n v="0"/>
    <x v="0"/>
    <n v="2018"/>
    <n v="0"/>
    <s v="na"/>
    <n v="15291448211.603004"/>
    <n v="9"/>
    <n v="7360000000"/>
    <n v="7"/>
    <n v="3050000000"/>
    <n v="16"/>
    <n v="10410000000"/>
    <n v="0.48131477791719574"/>
    <n v="0.19945789030535965"/>
    <n v="0.68077266822255533"/>
    <n v="5.4817783007976885E-3"/>
    <n v="3.8358025001886458E-3"/>
    <n v="4.8580615354461157E-3"/>
    <n v="612352941.17647064"/>
    <n v="4.0045451071915025E-2"/>
    <n v="0"/>
    <s v="na"/>
    <s v="na"/>
    <s v="na"/>
    <s v="na"/>
    <s v="na"/>
    <s v="na"/>
    <n v="0"/>
    <s v="na"/>
    <s v="na"/>
    <s v="na"/>
    <n v="861515000"/>
    <n v="323799000"/>
    <n v="-537716000"/>
    <n v="1185314000"/>
    <n v="7638740000"/>
    <n v="4722313000"/>
    <n v="-2916427000"/>
    <n v="12361053000"/>
    <n v="0.11278234368495328"/>
    <n v="6.8567881883305912E-2"/>
    <n v="3.0572449079556779E-3"/>
    <n v="2.2824681205300414E-3"/>
    <n v="9.5891021582061017E-2"/>
    <n v="7.7514829439149863E-2"/>
    <n v="117"/>
    <n v="9474383767.6672211"/>
    <n v="85"/>
    <n v="1791185758.9066896"/>
    <n v="17"/>
    <n v="3154804544.1743064"/>
    <n v="15"/>
    <n v="4528393464.5862246"/>
    <n v="0.61958708139090113"/>
    <n v="0.11713643692345341"/>
    <n v="0.2063116913792685"/>
    <n v="0.29613895308817922"/>
    <n v="557316692.21571887"/>
    <n v="3.6446298905347126E-2"/>
  </r>
  <r>
    <n v="74"/>
    <s v="GRC"/>
    <s v="Greece"/>
    <s v="Europe &amp; Central Asia"/>
    <x v="1"/>
    <n v="3"/>
    <n v="0"/>
    <x v="0"/>
    <n v="2018"/>
    <n v="0"/>
    <s v="na"/>
    <n v="205326724570.22711"/>
    <n v="3"/>
    <n v="6040000000"/>
    <n v="8"/>
    <n v="4500000000"/>
    <n v="11"/>
    <n v="10540000000"/>
    <n v="2.9416531202367483E-2"/>
    <n v="2.1916289803088358E-2"/>
    <n v="5.1332821005455838E-2"/>
    <n v="4.4986332794589726E-3"/>
    <n v="5.6593807379832486E-3"/>
    <n v="4.9187289705669608E-3"/>
    <n v="620000000"/>
    <n v="3.0195777062032845E-3"/>
    <n v="2"/>
    <n v="0"/>
    <n v="0"/>
    <n v="0"/>
    <n v="0"/>
    <n v="0"/>
    <n v="0"/>
    <n v="0"/>
    <n v="0"/>
    <n v="0"/>
    <n v="0"/>
    <n v="4546496000"/>
    <n v="999093000"/>
    <n v="-3547403000"/>
    <n v="5545589000"/>
    <n v="62198045000"/>
    <n v="37885527000"/>
    <n v="-24312518000"/>
    <n v="100083572000"/>
    <n v="7.3097088501736671E-2"/>
    <n v="2.6371363396898242E-2"/>
    <n v="2.4893458392489874E-2"/>
    <n v="1.8311473129159404E-2"/>
    <n v="5.5409583103208988E-2"/>
    <n v="2.7008607922848656E-2"/>
    <s v="na"/>
    <s v="na"/>
    <s v="na"/>
    <s v="na"/>
    <s v="na"/>
    <s v="na"/>
    <s v="na"/>
    <s v="na"/>
    <n v="0"/>
    <n v="0"/>
    <n v="0"/>
    <n v="0"/>
    <n v="0"/>
    <n v="0"/>
  </r>
  <r>
    <n v="169"/>
    <s v="SRB"/>
    <s v="Serbia"/>
    <s v="Europe &amp; Central Asia"/>
    <x v="0"/>
    <n v="2"/>
    <n v="0"/>
    <x v="0"/>
    <n v="2015"/>
    <n v="0"/>
    <s v="na"/>
    <n v="51475016532.129341"/>
    <n v="3"/>
    <n v="930000000"/>
    <n v="24"/>
    <n v="9730000000"/>
    <n v="27"/>
    <n v="10660000000"/>
    <n v="1.8067017024064842E-2"/>
    <n v="0.18902373725177518"/>
    <n v="0.20709075427584001"/>
    <n v="6.9267035594318611E-4"/>
    <n v="1.2236838795683779E-2"/>
    <n v="4.9747296799092788E-3"/>
    <n v="627058823.52941179"/>
    <n v="1.2181809075049413E-2"/>
    <n v="2"/>
    <n v="0"/>
    <n v="0"/>
    <n v="0"/>
    <n v="0"/>
    <n v="0"/>
    <n v="0"/>
    <n v="0"/>
    <n v="0"/>
    <n v="0"/>
    <n v="0"/>
    <n v="2506052000"/>
    <n v="318351000"/>
    <n v="-2187701000"/>
    <n v="2824403000"/>
    <n v="26548364000"/>
    <n v="19557555000"/>
    <n v="-6990809000"/>
    <n v="46105919000"/>
    <n v="9.439572246335029E-2"/>
    <n v="1.6277648202957885E-2"/>
    <n v="1.0625423912000385E-2"/>
    <n v="9.4528879815914176E-3"/>
    <n v="6.1259011017652638E-2"/>
    <n v="5.4869394713784742E-2"/>
    <n v="66"/>
    <n v="4251444743.7936091"/>
    <n v="38"/>
    <n v="1195786657.3237548"/>
    <n v="24"/>
    <n v="2571020557.8682885"/>
    <n v="4"/>
    <n v="484637528.60156596"/>
    <n v="8.2592392003215193E-2"/>
    <n v="2.3230427844105235E-2"/>
    <n v="4.9946959342179631E-2"/>
    <n v="9.4150048169303266E-3"/>
    <n v="250084984.92903584"/>
    <n v="4.8583760001891293E-3"/>
  </r>
  <r>
    <n v="43"/>
    <s v="COG"/>
    <s v="Congo"/>
    <s v="Sub-Saharan Africa"/>
    <x v="2"/>
    <n v="0"/>
    <n v="0"/>
    <x v="0"/>
    <s v="na"/>
    <n v="0"/>
    <s v="na"/>
    <n v="12693562947.785587"/>
    <n v="10"/>
    <n v="4280000000"/>
    <n v="12"/>
    <n v="6710000000"/>
    <n v="22"/>
    <n v="10990000000"/>
    <n v="0.33717877459666695"/>
    <n v="0.5286143872765503"/>
    <n v="0.86579316187321731"/>
    <n v="3.1877732510073513E-3"/>
    <n v="8.438765500415021E-3"/>
    <n v="5.1287316306006542E-3"/>
    <n v="646470588.2352941"/>
    <n v="5.0929009521953957E-2"/>
    <n v="0"/>
    <s v="na"/>
    <s v="na"/>
    <s v="na"/>
    <s v="na"/>
    <s v="na"/>
    <s v="na"/>
    <n v="0"/>
    <s v="na"/>
    <s v="na"/>
    <s v="na"/>
    <n v="256304000"/>
    <n v="3333674000"/>
    <n v="3077370000"/>
    <n v="3589978000"/>
    <n v="2302133000"/>
    <n v="5577729000"/>
    <n v="3275596000"/>
    <n v="7879862000"/>
    <n v="0.11133327223057921"/>
    <n v="0.59767586413753693"/>
    <n v="9.2138027890551692E-4"/>
    <n v="2.6959222371443631E-3"/>
    <n v="0.45558894305509412"/>
    <n v="0.28281878104415731"/>
    <n v="168"/>
    <n v="14102108181.011784"/>
    <n v="142"/>
    <n v="8393094901.1244373"/>
    <n v="10"/>
    <n v="2265789246.255024"/>
    <n v="16"/>
    <n v="3443224033.6323285"/>
    <n v="1.1109653167530806"/>
    <n v="0.66120875089595132"/>
    <n v="0.17849907512770435"/>
    <n v="0.27125749072942557"/>
    <n v="829535775.35363436"/>
    <n v="6.535090098547533E-2"/>
  </r>
  <r>
    <n v="103"/>
    <s v="KWT"/>
    <s v="Kuwait"/>
    <s v="Middle East &amp; North Africa"/>
    <x v="1"/>
    <n v="0"/>
    <n v="0"/>
    <x v="0"/>
    <n v="2018"/>
    <n v="0"/>
    <s v="na"/>
    <n v="136196760180.97563"/>
    <n v="7"/>
    <n v="2690000000"/>
    <n v="20"/>
    <n v="8420000000"/>
    <n v="27"/>
    <n v="11110000000"/>
    <n v="1.975083692464916E-2"/>
    <n v="6.1822322269719676E-2"/>
    <n v="8.1573159194368833E-2"/>
    <n v="2.0035303843948071E-3"/>
    <n v="1.0589330180848655E-2"/>
    <n v="5.1847323399429723E-3"/>
    <n v="653529411.7647059"/>
    <n v="4.7984211290805203E-3"/>
    <n v="3"/>
    <n v="0"/>
    <n v="0"/>
    <n v="0"/>
    <n v="0"/>
    <n v="0"/>
    <n v="0"/>
    <n v="0"/>
    <n v="0"/>
    <n v="0"/>
    <n v="0"/>
    <n v="5988380000"/>
    <n v="910739000"/>
    <n v="-5077641000"/>
    <n v="6899119000"/>
    <n v="33530893000"/>
    <n v="64482097000"/>
    <n v="30951204000"/>
    <n v="98012990000"/>
    <n v="0.17859291728377172"/>
    <n v="1.4123904810353794E-2"/>
    <n v="1.3420034178864141E-2"/>
    <n v="3.1166576791378679E-2"/>
    <n v="7.0389843223842063E-2"/>
    <n v="5.065552947685821E-2"/>
    <s v="na"/>
    <s v="na"/>
    <s v="na"/>
    <s v="na"/>
    <s v="na"/>
    <s v="na"/>
    <s v="na"/>
    <s v="na"/>
    <n v="0"/>
    <n v="0"/>
    <n v="0"/>
    <n v="0"/>
    <n v="0"/>
    <n v="0"/>
  </r>
  <r>
    <n v="95"/>
    <s v="JPN"/>
    <s v="Japan"/>
    <s v="East Asia &amp; Pacific"/>
    <x v="1"/>
    <n v="0"/>
    <n v="0"/>
    <x v="1"/>
    <s v="na"/>
    <n v="0"/>
    <s v="na"/>
    <n v="5148781948478.1729"/>
    <n v="26"/>
    <n v="11800000000"/>
    <n v="0"/>
    <n v="0"/>
    <n v="26"/>
    <n v="11800000000"/>
    <n v="2.2918041816643118E-3"/>
    <n v="0"/>
    <n v="2.2918041816643118E-3"/>
    <n v="8.7887206453006409E-3"/>
    <n v="0"/>
    <n v="5.5067364186613035E-3"/>
    <n v="694117647.05882359"/>
    <n v="1.34812010686136E-4"/>
    <n v="0"/>
    <s v="na"/>
    <s v="na"/>
    <s v="na"/>
    <s v="na"/>
    <s v="na"/>
    <s v="na"/>
    <n v="0"/>
    <s v="na"/>
    <s v="na"/>
    <s v="na"/>
    <n v="169236468000"/>
    <n v="134719884000"/>
    <n v="-34516584000"/>
    <n v="303956352000"/>
    <n v="720964445000"/>
    <n v="705842013000"/>
    <n v="-15122432000"/>
    <n v="1426806458000"/>
    <n v="0.23473621920426327"/>
    <n v="0.19086407654796259"/>
    <n v="0.28855084454940749"/>
    <n v="0.34115948959826486"/>
    <n v="0.21303264384299556"/>
    <n v="5.90346134370364E-2"/>
    <s v="na"/>
    <s v="na"/>
    <s v="na"/>
    <s v="na"/>
    <s v="na"/>
    <s v="na"/>
    <s v="na"/>
    <s v="na"/>
    <n v="0"/>
    <n v="0"/>
    <n v="0"/>
    <n v="0"/>
    <n v="0"/>
    <n v="0"/>
  </r>
  <r>
    <n v="73"/>
    <s v="GHA"/>
    <s v="Ghana"/>
    <s v="Sub-Saharan Africa"/>
    <x v="2"/>
    <n v="0"/>
    <n v="0"/>
    <x v="0"/>
    <n v="2018"/>
    <n v="0"/>
    <s v="na"/>
    <n v="67234292582.760582"/>
    <n v="12"/>
    <n v="4550000000"/>
    <n v="19"/>
    <n v="7970000000"/>
    <n v="31"/>
    <n v="12520000000"/>
    <n v="6.7673798967978691E-2"/>
    <n v="0.11854069841204179"/>
    <n v="0.18621449738002047"/>
    <n v="3.3888710962811795E-3"/>
    <n v="1.0023392107050331E-2"/>
    <n v="5.8427406747152133E-3"/>
    <n v="736470588.2352941"/>
    <n v="1.0953793963530616E-2"/>
    <n v="2"/>
    <n v="0"/>
    <n v="0"/>
    <n v="0"/>
    <n v="0"/>
    <n v="0"/>
    <n v="0"/>
    <n v="0"/>
    <n v="0"/>
    <n v="0"/>
    <n v="0"/>
    <n v="1895911"/>
    <n v="2808597"/>
    <n v="912686"/>
    <n v="4704508"/>
    <n v="10439795000"/>
    <n v="16768275000"/>
    <n v="6328480000"/>
    <n v="27208070000"/>
    <n v="1.8160423648165506E-4"/>
    <n v="1.6749468863076257E-4"/>
    <n v="4.1783082162570187E-3"/>
    <n v="8.1047260365377898E-3"/>
    <n v="1.7290855249931363E-4"/>
    <n v="6.9971852447307131E-5"/>
    <n v="156"/>
    <n v="33441115748.742939"/>
    <n v="118"/>
    <n v="5949626326.3930635"/>
    <n v="27"/>
    <n v="12773336941.599604"/>
    <n v="11"/>
    <n v="14718152480.750273"/>
    <n v="0.49738183394402979"/>
    <n v="8.8490948559762139E-2"/>
    <n v="0.18998246952441039"/>
    <n v="0.21890841585985729"/>
    <n v="1967124455.8084083"/>
    <n v="2.9257754937884108E-2"/>
  </r>
  <r>
    <n v="92"/>
    <s v="ISR"/>
    <s v="Israel"/>
    <s v="Middle East &amp; North Africa"/>
    <x v="1"/>
    <n v="0"/>
    <n v="0"/>
    <x v="1"/>
    <s v="na"/>
    <n v="0"/>
    <s v="na"/>
    <n v="394652208893.13806"/>
    <n v="3"/>
    <n v="1820000000"/>
    <n v="15"/>
    <n v="10960000000"/>
    <n v="18"/>
    <n v="12780000000"/>
    <n v="4.6116554246699035E-3"/>
    <n v="2.7771287612297878E-2"/>
    <n v="3.238294303696778E-2"/>
    <n v="1.3555484385124718E-3"/>
    <n v="1.3783736197399201E-2"/>
    <n v="5.9640755449569026E-3"/>
    <n v="751764705.88235295"/>
    <n v="1.9048790021745756E-3"/>
    <n v="1"/>
    <n v="0"/>
    <n v="0"/>
    <n v="0"/>
    <n v="0"/>
    <n v="0"/>
    <n v="0"/>
    <n v="0"/>
    <n v="0"/>
    <n v="0"/>
    <n v="0"/>
    <n v="10230484000"/>
    <n v="4721776000"/>
    <n v="-5508708000"/>
    <n v="14952260000"/>
    <n v="76491065000"/>
    <n v="58448249000"/>
    <n v="-18042816000"/>
    <n v="134939314000"/>
    <n v="0.13374743834459621"/>
    <n v="8.0785585210602293E-2"/>
    <n v="3.0613938813908677E-2"/>
    <n v="2.8250195411295663E-2"/>
    <n v="0.11080729223212148"/>
    <n v="3.7887181835205938E-2"/>
    <n v="15"/>
    <n v="2654539877.4793816"/>
    <n v="0"/>
    <n v="0"/>
    <n v="15"/>
    <n v="2654539877.4793816"/>
    <n v="0"/>
    <n v="0"/>
    <n v="6.726276497791412E-3"/>
    <n v="0"/>
    <n v="6.726276497791412E-3"/>
    <n v="0"/>
    <n v="156149404.55761069"/>
    <n v="3.9566332339949488E-4"/>
  </r>
  <r>
    <n v="79"/>
    <s v="GIN"/>
    <s v="Guinea"/>
    <s v="Sub-Saharan Africa"/>
    <x v="3"/>
    <n v="0"/>
    <n v="0"/>
    <x v="0"/>
    <n v="2018"/>
    <n v="0"/>
    <s v="na"/>
    <n v="13513809258.208292"/>
    <n v="2"/>
    <n v="1800000000"/>
    <n v="16"/>
    <n v="11010000000"/>
    <n v="18"/>
    <n v="12810000000"/>
    <n v="0.13319708496748831"/>
    <n v="0.81472216971780342"/>
    <n v="0.94791925468529181"/>
    <n v="1.3406523018255215E-3"/>
    <n v="1.3846618205599013E-2"/>
    <n v="5.9780757222924821E-3"/>
    <n v="753529411.7647059"/>
    <n v="5.575995615795834E-2"/>
    <n v="2"/>
    <n v="0"/>
    <n v="0"/>
    <n v="0"/>
    <n v="0"/>
    <n v="0"/>
    <n v="0"/>
    <n v="0"/>
    <n v="0"/>
    <n v="0"/>
    <n v="0"/>
    <n v="1718196000"/>
    <n v="2504860000"/>
    <n v="786664000"/>
    <n v="4223056000"/>
    <n v="4499351000"/>
    <n v="6696489000"/>
    <n v="2197138000"/>
    <n v="11195840000"/>
    <n v="0.38187640839756665"/>
    <n v="0.3740557178545354"/>
    <n v="1.8007705372686186E-3"/>
    <n v="3.2366602260333224E-3"/>
    <n v="0.37719867379312316"/>
    <n v="0.31249930491914518"/>
    <n v="101"/>
    <n v="22998381265.191792"/>
    <n v="89"/>
    <n v="22130339937.752663"/>
    <n v="7"/>
    <n v="579789711.17455518"/>
    <n v="5"/>
    <n v="288251616.2645728"/>
    <n v="1.7018429686080234"/>
    <n v="1.6376093161379119"/>
    <n v="4.2903499679218186E-2"/>
    <n v="2.1330152790893411E-2"/>
    <n v="1352845956.7759876"/>
    <n v="0.10010840991811902"/>
  </r>
  <r>
    <n v="57"/>
    <s v="ECU"/>
    <s v="Ecuador"/>
    <s v="Latin America &amp; Caribbean"/>
    <x v="0"/>
    <n v="3"/>
    <n v="0"/>
    <x v="0"/>
    <n v="2018"/>
    <n v="0"/>
    <s v="na"/>
    <n v="108108009000"/>
    <n v="14"/>
    <n v="8310000000"/>
    <n v="13"/>
    <n v="5690000000"/>
    <n v="27"/>
    <n v="14000000000"/>
    <n v="7.6867570468345234E-2"/>
    <n v="5.263254825088861E-2"/>
    <n v="0.12950011871923384"/>
    <n v="6.1893447934278246E-3"/>
    <n v="7.1559725331388187E-3"/>
    <n v="6.5334160899371396E-3"/>
    <n v="823529411.7647059"/>
    <n v="7.6176540423078731E-3"/>
    <n v="2"/>
    <n v="1"/>
    <n v="50000000"/>
    <n v="0"/>
    <n v="0"/>
    <n v="0"/>
    <n v="0"/>
    <n v="1"/>
    <n v="50000000"/>
    <n v="4.625004239972637E-4"/>
    <n v="1.2543831282458731E-3"/>
    <n v="4496520000"/>
    <n v="2896831000"/>
    <n v="-1599689000"/>
    <n v="7393351000"/>
    <n v="22393118000"/>
    <n v="22329379000"/>
    <n v="-63739000"/>
    <n v="44722497000"/>
    <n v="0.20079919196603171"/>
    <n v="0.1297318210237732"/>
    <n v="8.9623741584018597E-3"/>
    <n v="1.0792612797739789E-2"/>
    <n v="0.16531614949853984"/>
    <n v="6.8388559445211869E-2"/>
    <n v="122"/>
    <n v="33929188045.953293"/>
    <n v="80"/>
    <n v="6998072030.8370457"/>
    <n v="34"/>
    <n v="26758269325.671894"/>
    <n v="8"/>
    <n v="172846689.44435728"/>
    <n v="0.31384527714272575"/>
    <n v="6.4732225628510512E-2"/>
    <n v="0.24751421817112454"/>
    <n v="1.5988333430907722E-3"/>
    <n v="1995834590.9384289"/>
    <n v="1.8461486890748575E-2"/>
  </r>
  <r>
    <n v="178"/>
    <s v="ZAF"/>
    <s v="South Africa"/>
    <s v="Sub-Saharan Africa"/>
    <x v="0"/>
    <n v="3"/>
    <n v="0"/>
    <x v="0"/>
    <n v="2015"/>
    <n v="0"/>
    <s v="na"/>
    <n v="351431649241.43854"/>
    <n v="12"/>
    <n v="9470000000"/>
    <n v="9"/>
    <n v="4910000000"/>
    <n v="21"/>
    <n v="14380000000"/>
    <n v="2.6946918470322448E-2"/>
    <n v="1.3971422353672991E-2"/>
    <n v="4.0918340823995439E-2"/>
    <n v="7.053320721270938E-3"/>
    <n v="6.1750132052217216E-3"/>
    <n v="6.7107516695211469E-3"/>
    <n v="845882352.94117641"/>
    <n v="2.4069612249409079E-3"/>
    <n v="3"/>
    <n v="0"/>
    <n v="0"/>
    <n v="0"/>
    <n v="0"/>
    <n v="0"/>
    <n v="0"/>
    <n v="0"/>
    <n v="0"/>
    <n v="0"/>
    <n v="0"/>
    <n v="16289345000"/>
    <n v="9659694000"/>
    <n v="-6629651000"/>
    <n v="25949039000"/>
    <n v="88216179000"/>
    <n v="90419473000"/>
    <n v="2203294000"/>
    <n v="178635652000"/>
    <n v="0.1846525794321697"/>
    <n v="0.10683200951635717"/>
    <n v="3.5306668907052287E-2"/>
    <n v="4.3703067669937763E-2"/>
    <n v="0.1452623746126557"/>
    <n v="7.3838082187562576E-2"/>
    <n v="105"/>
    <n v="17600242592.929501"/>
    <n v="23"/>
    <n v="14242439.259523757"/>
    <n v="70"/>
    <n v="6556835451.6622343"/>
    <n v="12"/>
    <n v="11029164702.007742"/>
    <n v="5.0081552503650241E-2"/>
    <n v="4.0526911250782078E-5"/>
    <n v="1.8657498451875618E-2"/>
    <n v="3.1383527140523844E-2"/>
    <n v="1035308387.8193824"/>
    <n v="2.9459736766853086E-3"/>
  </r>
  <r>
    <n v="181"/>
    <s v="LKA"/>
    <s v="Sri Lanka"/>
    <s v="South Asia"/>
    <x v="2"/>
    <n v="2"/>
    <n v="1"/>
    <x v="0"/>
    <n v="2017"/>
    <n v="0"/>
    <s v="na"/>
    <n v="83975584254.403229"/>
    <n v="21"/>
    <n v="5960000000"/>
    <n v="21"/>
    <n v="8860000000"/>
    <n v="42"/>
    <n v="14820000000"/>
    <n v="7.0973010225737002E-2"/>
    <n v="0.1055068574832265"/>
    <n v="0.17647986770896351"/>
    <n v="4.4390487327111714E-3"/>
    <n v="1.1142691853007017E-2"/>
    <n v="6.9160876037763141E-3"/>
    <n v="871764705.88235295"/>
    <n v="1.0381168688762559E-2"/>
    <n v="1"/>
    <n v="3"/>
    <n v="460000000"/>
    <n v="2"/>
    <n v="102000000"/>
    <n v="0"/>
    <n v="0"/>
    <n v="5"/>
    <n v="562000000"/>
    <n v="6.6924214340376171E-3"/>
    <n v="1.4099266361483615E-2"/>
    <n v="4032819000"/>
    <n v="256587000"/>
    <n v="-3776232000"/>
    <n v="4289406000"/>
    <n v="19474314000"/>
    <n v="11974156000"/>
    <n v="-7500158000"/>
    <n v="31448470000"/>
    <n v="0.20708400819664302"/>
    <n v="2.1428399630003151E-2"/>
    <n v="7.7941842911828348E-3"/>
    <n v="5.7875514266533187E-3"/>
    <n v="0.13639474352806352"/>
    <n v="5.1079204010123773E-2"/>
    <n v="174"/>
    <n v="15644917570.613316"/>
    <n v="117"/>
    <n v="6130186630.0136003"/>
    <n v="47"/>
    <n v="8665415491.7066727"/>
    <n v="10"/>
    <n v="849315448.89303958"/>
    <n v="0.18630317025502541"/>
    <n v="7.2999630600273743E-2"/>
    <n v="0.10318970172871771"/>
    <n v="1.0113837926033912E-2"/>
    <n v="920289268.85960674"/>
    <n v="1.0959010015001493E-2"/>
  </r>
  <r>
    <n v="190"/>
    <s v="TZA"/>
    <s v="Tanzania"/>
    <s v="Sub-Saharan Africa"/>
    <x v="2"/>
    <n v="1"/>
    <n v="0"/>
    <x v="0"/>
    <n v="2018"/>
    <n v="0"/>
    <s v="na"/>
    <n v="61136873747.332352"/>
    <n v="6"/>
    <n v="1400000000"/>
    <n v="24"/>
    <n v="13550000000"/>
    <n v="30"/>
    <n v="14950000000"/>
    <n v="2.2899437183948053E-2"/>
    <n v="0.22163383845892579"/>
    <n v="0.24453327564287386"/>
    <n v="1.0427295680865167E-3"/>
    <n v="1.7041024222149558E-2"/>
    <n v="6.9767550388971592E-3"/>
    <n v="879411764.70588231"/>
    <n v="1.4384310331933756E-2"/>
    <n v="0"/>
    <s v="na"/>
    <s v="na"/>
    <s v="na"/>
    <s v="na"/>
    <s v="na"/>
    <s v="na"/>
    <n v="0"/>
    <s v="na"/>
    <s v="na"/>
    <s v="na"/>
    <n v="1992547000"/>
    <n v="230712000"/>
    <n v="-1761835000"/>
    <n v="2223259000"/>
    <n v="9077091000"/>
    <n v="4932713000"/>
    <n v="-4144378000"/>
    <n v="14009804000"/>
    <n v="0.21951382882467521"/>
    <n v="4.6771827187188877E-2"/>
    <n v="3.632914621887944E-3"/>
    <n v="2.3841622040352054E-3"/>
    <n v="0.15869308378618288"/>
    <n v="3.6365271295819401E-2"/>
    <n v="204"/>
    <n v="14476993314.021706"/>
    <n v="174"/>
    <n v="10042915638.938545"/>
    <n v="22"/>
    <n v="2193990114.9791784"/>
    <n v="8"/>
    <n v="2240087560.1039782"/>
    <n v="0.23679642786205429"/>
    <n v="0.16426936844111625"/>
    <n v="3.58865277286919E-2"/>
    <n v="3.6640531692246077E-2"/>
    <n v="851587842.00127685"/>
    <n v="1.392920163894437E-2"/>
  </r>
  <r>
    <n v="39"/>
    <s v="CHL"/>
    <s v="Chile"/>
    <s v="Latin America &amp; Caribbean"/>
    <x v="1"/>
    <n v="2"/>
    <n v="1"/>
    <x v="0"/>
    <n v="2018"/>
    <n v="0"/>
    <s v="na"/>
    <n v="279385487344.5257"/>
    <n v="2"/>
    <n v="2100000000"/>
    <n v="11"/>
    <n v="13110000000"/>
    <n v="13"/>
    <n v="15210000000"/>
    <n v="7.5164963647892484E-3"/>
    <n v="4.6924413020184311E-2"/>
    <n v="5.4440909384973556E-2"/>
    <n v="1.5640943521297752E-3"/>
    <n v="1.6487662549991195E-2"/>
    <n v="7.0980899091388494E-3"/>
    <n v="894705882.35294116"/>
    <n v="3.2024064344102093E-3"/>
    <n v="2"/>
    <n v="0"/>
    <n v="0"/>
    <n v="0"/>
    <n v="0"/>
    <n v="0"/>
    <n v="0"/>
    <n v="0"/>
    <n v="0"/>
    <n v="0"/>
    <n v="0"/>
    <n v="14642138000"/>
    <n v="21677089000"/>
    <n v="7034951000"/>
    <n v="36319227000"/>
    <n v="64119106000"/>
    <n v="69145962000"/>
    <n v="5026856000"/>
    <n v="133265068000"/>
    <n v="0.22835842408657414"/>
    <n v="0.31349754017450793"/>
    <n v="2.5662322624041445E-2"/>
    <n v="3.3420794836848317E-2"/>
    <n v="0.27253373704803124"/>
    <n v="0.12999682748450264"/>
    <n v="32"/>
    <n v="1502672359.4791894"/>
    <n v="8"/>
    <n v="6355155.097238021"/>
    <n v="21"/>
    <n v="1215003113.1098843"/>
    <n v="3"/>
    <n v="281314091.27206707"/>
    <n v="5.3784911083307671E-3"/>
    <n v="2.2746904850505452E-5"/>
    <n v="4.3488411823324122E-3"/>
    <n v="1.0069030211478491E-3"/>
    <n v="88392491.734069958"/>
    <n v="3.1638182990180978E-4"/>
  </r>
  <r>
    <n v="185"/>
    <s v="SWE"/>
    <s v="Sweden"/>
    <s v="Europe &amp; Central Asia"/>
    <x v="1"/>
    <n v="0"/>
    <n v="0"/>
    <x v="1"/>
    <s v="na"/>
    <n v="0"/>
    <s v="na"/>
    <n v="533879529188.45374"/>
    <n v="16"/>
    <n v="15340000000"/>
    <n v="0"/>
    <n v="0"/>
    <n v="16"/>
    <n v="15340000000"/>
    <n v="2.8733073963930062E-2"/>
    <n v="0"/>
    <n v="2.8733073963930062E-2"/>
    <n v="1.1425336838890833E-2"/>
    <n v="0"/>
    <n v="7.1587573442596936E-3"/>
    <n v="902352941.17647064"/>
    <n v="1.6901808214076508E-3"/>
    <n v="2"/>
    <n v="0"/>
    <n v="0"/>
    <n v="0"/>
    <n v="0"/>
    <n v="0"/>
    <n v="0"/>
    <n v="0"/>
    <n v="0"/>
    <n v="0"/>
    <n v="0"/>
    <n v="9665818000"/>
    <n v="7538779000"/>
    <n v="-2127039000"/>
    <n v="17204597000"/>
    <n v="158959381000"/>
    <n v="160567911000"/>
    <n v="1608530000"/>
    <n v="319527292000"/>
    <n v="6.0806842220906737E-2"/>
    <n v="4.6950719811008811E-2"/>
    <n v="6.3620146533857225E-2"/>
    <n v="7.7608396147736292E-2"/>
    <n v="5.3843904513796587E-2"/>
    <n v="3.2225616565880653E-2"/>
    <s v="na"/>
    <s v="na"/>
    <s v="na"/>
    <s v="na"/>
    <s v="na"/>
    <s v="na"/>
    <s v="na"/>
    <s v="na"/>
    <n v="0"/>
    <n v="0"/>
    <n v="0"/>
    <n v="0"/>
    <n v="0"/>
    <n v="0"/>
  </r>
  <r>
    <n v="197"/>
    <s v="TUR"/>
    <s v="Turkey"/>
    <s v="Europe &amp; Central Asia"/>
    <x v="0"/>
    <n v="2"/>
    <n v="0"/>
    <x v="0"/>
    <n v="2015"/>
    <n v="0"/>
    <s v="na"/>
    <n v="761428183369.17065"/>
    <n v="15"/>
    <n v="10000000000"/>
    <n v="13"/>
    <n v="6310000000"/>
    <n v="28"/>
    <n v="16310000000"/>
    <n v="1.313321494845641E-2"/>
    <n v="8.2870586324759951E-3"/>
    <n v="2.1420273580932403E-2"/>
    <n v="7.4480683434751194E-3"/>
    <n v="7.93570943481651E-3"/>
    <n v="7.6114297447767675E-3"/>
    <n v="959411764.70588231"/>
    <n v="1.2600160929960237E-3"/>
    <n v="1"/>
    <n v="12"/>
    <n v="2704600000"/>
    <n v="3"/>
    <n v="567000000"/>
    <n v="0"/>
    <n v="0"/>
    <n v="15"/>
    <n v="3271600000"/>
    <n v="4.2966626025369992E-3"/>
    <n v="8.2076796847383976E-2"/>
    <n v="19127972000"/>
    <n v="2726571000"/>
    <n v="-16401401000"/>
    <n v="21854543000"/>
    <n v="210346890000"/>
    <n v="180870841000"/>
    <n v="-29476049000"/>
    <n v="391217731000"/>
    <n v="9.0935368714032336E-2"/>
    <n v="1.5074685255651574E-2"/>
    <n v="8.4186915428043504E-2"/>
    <n v="8.742155137026239E-2"/>
    <n v="5.5862864252438499E-2"/>
    <n v="2.8702041081928337E-2"/>
    <n v="59"/>
    <n v="9626239800.4556942"/>
    <n v="9"/>
    <n v="2263951.8206853508"/>
    <n v="37"/>
    <n v="6908789199.9155893"/>
    <n v="13"/>
    <n v="2715186648.719419"/>
    <n v="1.2642347644477076E-2"/>
    <n v="2.9732965894009953E-6"/>
    <n v="9.0734613596065612E-3"/>
    <n v="3.5659129882811137E-3"/>
    <n v="566249400.02680552"/>
    <n v="7.4366750849865155E-4"/>
  </r>
  <r>
    <n v="66"/>
    <s v="FIN"/>
    <s v="Finland"/>
    <s v="Europe &amp; Central Asia"/>
    <x v="1"/>
    <n v="0"/>
    <n v="0"/>
    <x v="1"/>
    <s v="na"/>
    <n v="0"/>
    <s v="na"/>
    <n v="268782471380.39172"/>
    <n v="8"/>
    <n v="16330000000"/>
    <n v="0"/>
    <n v="0"/>
    <n v="8"/>
    <n v="16330000000"/>
    <n v="6.0755449996920112E-2"/>
    <n v="0"/>
    <n v="6.0755449996920112E-2"/>
    <n v="1.216269560489487E-2"/>
    <n v="0"/>
    <n v="7.6207631963338199E-3"/>
    <n v="960588235.29411769"/>
    <n v="3.5738499998188302E-3"/>
    <n v="2"/>
    <n v="0"/>
    <n v="0"/>
    <n v="0"/>
    <n v="0"/>
    <n v="0"/>
    <n v="0"/>
    <n v="0"/>
    <n v="0"/>
    <n v="0"/>
    <n v="0"/>
    <n v="5494261000"/>
    <n v="3842829000"/>
    <n v="-1651432000"/>
    <n v="9337090000"/>
    <n v="73719857000"/>
    <n v="72839176000"/>
    <n v="-880681000"/>
    <n v="146559033000"/>
    <n v="7.4528915594613804E-2"/>
    <n v="5.2757722025850481E-2"/>
    <n v="2.9504821139150011E-2"/>
    <n v="3.5205861438171698E-2"/>
    <n v="6.370873093847447E-2"/>
    <n v="3.4738463234032013E-2"/>
    <s v="na"/>
    <s v="na"/>
    <s v="na"/>
    <s v="na"/>
    <s v="na"/>
    <s v="na"/>
    <s v="na"/>
    <s v="na"/>
    <n v="0"/>
    <n v="0"/>
    <n v="0"/>
    <n v="0"/>
    <n v="0"/>
    <n v="0"/>
  </r>
  <r>
    <n v="44"/>
    <s v="COD"/>
    <s v="Congo, Democratic Republic of the"/>
    <s v="Sub-Saharan Africa"/>
    <x v="3"/>
    <n v="1"/>
    <n v="0"/>
    <x v="0"/>
    <n v="2021"/>
    <n v="0"/>
    <s v="na"/>
    <n v="50400746171.423866"/>
    <n v="28"/>
    <n v="16340000000"/>
    <n v="0"/>
    <n v="0"/>
    <n v="28"/>
    <n v="16340000000"/>
    <n v="0.32420154940611629"/>
    <n v="0"/>
    <n v="0.32420154940611629"/>
    <n v="1.2170143673238345E-2"/>
    <n v="0"/>
    <n v="7.625429922112347E-3"/>
    <n v="961176470.58823526"/>
    <n v="1.9070679376830369E-2"/>
    <n v="0"/>
    <s v="na"/>
    <s v="na"/>
    <s v="na"/>
    <s v="na"/>
    <s v="na"/>
    <s v="na"/>
    <n v="0"/>
    <s v="na"/>
    <s v="na"/>
    <s v="na"/>
    <n v="2055303000"/>
    <n v="3565623000"/>
    <n v="1510320000"/>
    <n v="5620926000"/>
    <n v="8824802000"/>
    <n v="13382299000"/>
    <n v="4557497000"/>
    <n v="22207101000"/>
    <n v="0.23290074950123527"/>
    <n v="0.26644323221294042"/>
    <n v="3.5319412597126076E-3"/>
    <n v="6.4681588973244785E-3"/>
    <n v="0.25311390262060768"/>
    <n v="0.11152465840251674"/>
    <n v="249"/>
    <n v="13037513170.499128"/>
    <n v="154"/>
    <n v="1001809010.4741279"/>
    <n v="62"/>
    <n v="10544151469.910511"/>
    <n v="33"/>
    <n v="1491552690.11449"/>
    <n v="0.2586769871651447"/>
    <n v="1.9876868629419855E-2"/>
    <n v="0.20920625726546915"/>
    <n v="2.959386127025572E-2"/>
    <n v="766912539.44112515"/>
    <n v="1.5216293362655571E-2"/>
  </r>
  <r>
    <n v="98"/>
    <s v="KEN"/>
    <s v="Kenya"/>
    <s v="Sub-Saharan Africa"/>
    <x v="2"/>
    <n v="0"/>
    <n v="0"/>
    <x v="0"/>
    <n v="2017"/>
    <n v="0"/>
    <s v="na"/>
    <n v="95503088538.09198"/>
    <n v="10"/>
    <n v="7340000000"/>
    <n v="32"/>
    <n v="9220000000"/>
    <n v="42"/>
    <n v="16560000000"/>
    <n v="7.6856153160663451E-2"/>
    <n v="9.6541380400724394E-2"/>
    <n v="0.17339753356138785"/>
    <n v="5.4668821641107382E-3"/>
    <n v="1.1595442312045677E-2"/>
    <n v="7.7280978892399306E-3"/>
    <n v="974117647.05882359"/>
    <n v="1.0199854915375757E-2"/>
    <n v="3"/>
    <n v="0"/>
    <n v="0"/>
    <n v="0"/>
    <n v="0"/>
    <n v="0"/>
    <n v="0"/>
    <n v="0"/>
    <n v="0"/>
    <n v="0"/>
    <n v="0"/>
    <n v="3590419000"/>
    <n v="148552000"/>
    <n v="-3441867000"/>
    <n v="3738971000"/>
    <n v="17220379000"/>
    <n v="5836027000"/>
    <n v="-11384352000"/>
    <n v="23056406000"/>
    <n v="0.20849825662954341"/>
    <n v="2.5454303072963851E-2"/>
    <n v="6.8920942473257212E-3"/>
    <n v="2.8207671914277123E-3"/>
    <n v="0.1621662543589838"/>
    <n v="3.9150262648403135E-2"/>
    <n v="191"/>
    <n v="15971557294.632847"/>
    <n v="133"/>
    <n v="2806509408.8657408"/>
    <n v="36"/>
    <n v="7976308103.5065899"/>
    <n v="22"/>
    <n v="5188739782.2605143"/>
    <n v="0.16723602910771304"/>
    <n v="2.9386582694091067E-2"/>
    <n v="8.351884976290784E-2"/>
    <n v="5.4330596650714123E-2"/>
    <n v="939503370.27252042"/>
    <n v="9.8374134769242966E-3"/>
  </r>
  <r>
    <n v="215"/>
    <s v="ZMB"/>
    <s v="Zambia"/>
    <s v="Sub-Saharan Africa"/>
    <x v="2"/>
    <n v="0"/>
    <n v="0"/>
    <x v="0"/>
    <n v="2018"/>
    <n v="0"/>
    <s v="na"/>
    <n v="23308688906.12878"/>
    <n v="19"/>
    <n v="5820000000"/>
    <n v="30"/>
    <n v="10800000000"/>
    <n v="49"/>
    <n v="16620000000"/>
    <n v="0.24969229386684597"/>
    <n v="0.46334652470136367"/>
    <n v="0.71303881856820961"/>
    <n v="4.3347757759025201E-3"/>
    <n v="1.3582513771159795E-2"/>
    <n v="7.7560982439110896E-3"/>
    <n v="977647058.82352936"/>
    <n v="4.1943459915777033E-2"/>
    <n v="0"/>
    <s v="na"/>
    <s v="na"/>
    <s v="na"/>
    <s v="na"/>
    <s v="na"/>
    <s v="na"/>
    <n v="0"/>
    <s v="na"/>
    <s v="na"/>
    <s v="na"/>
    <n v="1019957000"/>
    <n v="1506024000"/>
    <n v="486067000"/>
    <n v="2525981000"/>
    <n v="7226897000"/>
    <n v="6962507000"/>
    <n v="-264390000"/>
    <n v="14189404000"/>
    <n v="0.14113346295097329"/>
    <n v="0.21630484536676228"/>
    <n v="2.8924134155070289E-3"/>
    <n v="3.3652365411753218E-3"/>
    <n v="0.17801882305979871"/>
    <n v="0.10837078868626623"/>
    <n v="167"/>
    <n v="9911112078.2602673"/>
    <n v="116"/>
    <n v="2841730205.5317831"/>
    <n v="36"/>
    <n v="4926950738.8012905"/>
    <n v="15"/>
    <n v="2142431133.9271944"/>
    <n v="0.42521104975811153"/>
    <n v="0.12191720508074477"/>
    <n v="0.21137828724059204"/>
    <n v="9.191555743677475E-2"/>
    <n v="583006592.83883929"/>
    <n v="2.5012414691653623E-2"/>
  </r>
  <r>
    <n v="153"/>
    <s v="PHL"/>
    <s v="Philippines"/>
    <s v="East Asia &amp; Pacific"/>
    <x v="2"/>
    <n v="0"/>
    <n v="1"/>
    <x v="0"/>
    <n v="2017"/>
    <n v="0"/>
    <s v="na"/>
    <n v="376823278560.84857"/>
    <n v="6"/>
    <n v="3820000000"/>
    <n v="23"/>
    <n v="13860000000"/>
    <n v="29"/>
    <n v="17680000000"/>
    <n v="1.0137377962925279E-2"/>
    <n v="3.6781167163912137E-2"/>
    <n v="4.6918545126837415E-2"/>
    <n v="2.8451621072074955E-3"/>
    <n v="1.7430892672988405E-2"/>
    <n v="8.2507711764349019E-3"/>
    <n v="1040000000"/>
    <n v="2.7599144192257305E-3"/>
    <n v="1"/>
    <n v="3"/>
    <n v="1257600000"/>
    <n v="0"/>
    <n v="0"/>
    <n v="0"/>
    <n v="0"/>
    <n v="3"/>
    <n v="1257600000"/>
    <n v="3.3373734361714217E-3"/>
    <n v="3.1550244441640202E-2"/>
    <n v="25749016000"/>
    <n v="9628984000"/>
    <n v="-16120032000"/>
    <n v="35378000000"/>
    <n v="112908749000"/>
    <n v="70334023000"/>
    <n v="-42574726000"/>
    <n v="183242772000"/>
    <n v="0.22805155692584991"/>
    <n v="0.13690364334768679"/>
    <n v="4.5189350330538246E-2"/>
    <n v="3.3995028556160239E-2"/>
    <n v="0.19306627821587419"/>
    <n v="9.3884858003238356E-2"/>
    <n v="92"/>
    <n v="31484642653.510399"/>
    <n v="55"/>
    <n v="10910181587.909098"/>
    <n v="32"/>
    <n v="17148159172.128071"/>
    <n v="5"/>
    <n v="3426301893.4732318"/>
    <n v="8.3552806964993093E-2"/>
    <n v="2.8953045654655188E-2"/>
    <n v="4.5507165156090601E-2"/>
    <n v="9.0925961542473021E-3"/>
    <n v="1852037803.1476705"/>
    <n v="4.91487099794077E-3"/>
  </r>
  <r>
    <n v="33"/>
    <s v="KHM"/>
    <s v="Cambodia"/>
    <s v="East Asia &amp; Pacific"/>
    <x v="2"/>
    <n v="4"/>
    <n v="1"/>
    <x v="0"/>
    <n v="2013"/>
    <n v="0"/>
    <s v="na"/>
    <n v="27089389786.968418"/>
    <n v="15"/>
    <n v="5690000000"/>
    <n v="32"/>
    <n v="12530000000"/>
    <n v="47"/>
    <n v="18220000000"/>
    <n v="0.21004533674424897"/>
    <n v="0.46254271870042873"/>
    <n v="0.6725880554446777"/>
    <n v="4.2379508874373431E-3"/>
    <n v="1.5758231254873356E-2"/>
    <n v="8.5027743684753347E-3"/>
    <n v="1071764705.8823529"/>
    <n v="3.9564003261451632E-2"/>
    <n v="1"/>
    <n v="2"/>
    <n v="135000000"/>
    <n v="1"/>
    <n v="50000000"/>
    <n v="0"/>
    <n v="0"/>
    <n v="3"/>
    <n v="185000000"/>
    <n v="6.8292420558323476E-3"/>
    <n v="4.641217574509731E-3"/>
    <n v="7585748000"/>
    <n v="1012148000"/>
    <n v="-6573600000"/>
    <n v="8597896000"/>
    <n v="20279485000"/>
    <n v="14824722000"/>
    <n v="-5454763000"/>
    <n v="35104207000"/>
    <n v="0.37406018939830077"/>
    <n v="6.827433256421267E-2"/>
    <n v="8.1164370370262039E-3"/>
    <n v="7.1653351568861179E-3"/>
    <n v="0.24492494589038857"/>
    <n v="0.31738979975606874"/>
    <n v="308"/>
    <n v="14819153501.184505"/>
    <n v="199"/>
    <n v="3733341709.0953841"/>
    <n v="97"/>
    <n v="10598719750.883251"/>
    <n v="12"/>
    <n v="487092041.20587224"/>
    <n v="0.5470464125520238"/>
    <n v="0.13781564437052546"/>
    <n v="0.39124985222006942"/>
    <n v="1.7980915961429002E-2"/>
    <n v="871714911.83438265"/>
    <n v="3.2179200738354341E-2"/>
  </r>
  <r>
    <n v="210"/>
    <s v="VEN"/>
    <s v="Venezuela"/>
    <s v="Latin America &amp; Caribbean"/>
    <x v="4"/>
    <n v="3"/>
    <n v="0"/>
    <x v="0"/>
    <n v="2018"/>
    <n v="0"/>
    <s v="na"/>
    <s v="na"/>
    <n v="18"/>
    <n v="11630000000"/>
    <n v="10"/>
    <n v="8140000000"/>
    <n v="28"/>
    <n v="19770000000"/>
    <n v="0"/>
    <n v="0"/>
    <n v="0"/>
    <n v="8.662103483461565E-3"/>
    <n v="1.0237190934929698E-2"/>
    <n v="9.2261168641469462E-3"/>
    <n v="1162941176.4705882"/>
    <n v="0"/>
    <n v="3"/>
    <n v="0"/>
    <n v="0"/>
    <n v="0"/>
    <n v="0"/>
    <n v="0"/>
    <n v="0"/>
    <n v="0"/>
    <n v="0"/>
    <s v="na"/>
    <n v="0"/>
    <n v="1539866000"/>
    <n v="4788365000"/>
    <n v="3248499000"/>
    <n v="6328231000"/>
    <n v="6177724000"/>
    <n v="17015898000"/>
    <n v="10838174000"/>
    <n v="23193622000"/>
    <n v="0.24926105471853388"/>
    <n v="0.28140536573503205"/>
    <n v="2.4725040048169701E-3"/>
    <n v="8.2244113694265684E-3"/>
    <n v="0.27284358605137221"/>
    <s v="na"/>
    <n v="84"/>
    <n v="173012228093.00427"/>
    <n v="9"/>
    <n v="92644565.738441646"/>
    <n v="63"/>
    <n v="166305580599.91101"/>
    <n v="12"/>
    <n v="6614002927.354825"/>
    <n v="0"/>
    <n v="0"/>
    <n v="0"/>
    <n v="0"/>
    <n v="10177189887.82378"/>
    <n v="0"/>
  </r>
  <r>
    <n v="135"/>
    <s v="NLD"/>
    <s v="Netherlands"/>
    <s v="Europe &amp; Central Asia"/>
    <x v="1"/>
    <n v="0"/>
    <n v="0"/>
    <x v="1"/>
    <s v="na"/>
    <n v="0"/>
    <s v="na"/>
    <n v="910194347568.62598"/>
    <n v="23"/>
    <n v="20330000000"/>
    <n v="0"/>
    <n v="0"/>
    <n v="23"/>
    <n v="20330000000"/>
    <n v="2.2335889092595335E-2"/>
    <n v="0"/>
    <n v="2.2335889092595335E-2"/>
    <n v="1.5141922942284919E-2"/>
    <n v="0"/>
    <n v="9.4874535077444314E-3"/>
    <n v="1195882352.9411764"/>
    <n v="1.313875828976196E-3"/>
    <n v="2"/>
    <n v="0"/>
    <n v="0"/>
    <n v="0"/>
    <n v="0"/>
    <n v="0"/>
    <n v="0"/>
    <n v="0"/>
    <n v="0"/>
    <n v="0"/>
    <n v="0"/>
    <n v="48168518000"/>
    <n v="14317292000"/>
    <n v="-33851226000"/>
    <n v="62485810000"/>
    <n v="514857688000"/>
    <n v="576784455000"/>
    <n v="61926767000"/>
    <n v="1091642143000"/>
    <n v="9.3556955878650497E-2"/>
    <n v="2.4822603792260662E-2"/>
    <n v="0.20606095311004605"/>
    <n v="0.27878120974928899"/>
    <n v="5.7240195791891484E-2"/>
    <n v="6.8651063552434069E-2"/>
    <s v="na"/>
    <s v="na"/>
    <s v="na"/>
    <s v="na"/>
    <s v="na"/>
    <s v="na"/>
    <s v="na"/>
    <s v="na"/>
    <n v="0"/>
    <n v="0"/>
    <n v="0"/>
    <n v="0"/>
    <n v="0"/>
    <n v="0"/>
  </r>
  <r>
    <n v="7"/>
    <s v="ARG"/>
    <s v="Argentina"/>
    <s v="Latin America &amp; Caribbean"/>
    <x v="0"/>
    <n v="3"/>
    <n v="0"/>
    <x v="1"/>
    <s v="na"/>
    <n v="0"/>
    <s v="na"/>
    <n v="445445177459.45306"/>
    <n v="31"/>
    <n v="22810000000"/>
    <n v="0"/>
    <n v="0"/>
    <n v="31"/>
    <n v="22810000000"/>
    <n v="5.1207199346268141E-2"/>
    <n v="0"/>
    <n v="5.1207199346268141E-2"/>
    <n v="1.6989043891466746E-2"/>
    <n v="0"/>
    <n v="1.064480150081901E-2"/>
    <n v="1341764705.8823528"/>
    <n v="3.0121881968393021E-3"/>
    <n v="2"/>
    <n v="0"/>
    <n v="0"/>
    <n v="0"/>
    <n v="0"/>
    <n v="0"/>
    <n v="0"/>
    <n v="0"/>
    <n v="0"/>
    <n v="0"/>
    <n v="0"/>
    <n v="9258744000"/>
    <n v="6325086000"/>
    <n v="-2933658000"/>
    <n v="15583830000"/>
    <n v="49125030000"/>
    <n v="65115327000"/>
    <n v="15990297000"/>
    <n v="114240357000"/>
    <n v="0.18847304520730063"/>
    <n v="9.713666952789779E-2"/>
    <n v="1.9661259294159759E-2"/>
    <n v="3.1472640215798708E-2"/>
    <n v="0.13641265144155668"/>
    <n v="3.498484390128688E-2"/>
    <n v="67"/>
    <n v="34167061581.110947"/>
    <n v="2"/>
    <n v="502647697.70549798"/>
    <n v="55"/>
    <n v="16417355731.435488"/>
    <n v="10"/>
    <n v="17247058151.969959"/>
    <n v="7.6703179897420773E-2"/>
    <n v="1.1284165215847506E-3"/>
    <n v="3.6856063466822221E-2"/>
    <n v="3.8718699909013797E-2"/>
    <n v="2009827151.8300557"/>
    <n v="4.5119517586718096E-3"/>
  </r>
  <r>
    <n v="3"/>
    <s v="DZA"/>
    <s v="Algeria"/>
    <s v="Middle East &amp; North Africa"/>
    <x v="2"/>
    <n v="3"/>
    <n v="0"/>
    <x v="0"/>
    <n v="2018"/>
    <n v="0"/>
    <s v="na"/>
    <n v="171157803367.47278"/>
    <n v="21"/>
    <n v="16220000000"/>
    <n v="19"/>
    <n v="8390000000"/>
    <n v="40"/>
    <n v="24610000000"/>
    <n v="9.4766348252179583E-2"/>
    <n v="4.9019091358556512E-2"/>
    <n v="0.14378543961073609"/>
    <n v="1.2080766853116645E-2"/>
    <n v="1.0551600975928768E-2"/>
    <n v="1.1484812140953786E-2"/>
    <n v="1447647058.8235295"/>
    <n v="8.4579670359256533E-3"/>
    <n v="2"/>
    <n v="0"/>
    <n v="0"/>
    <n v="0"/>
    <n v="0"/>
    <n v="0"/>
    <n v="0"/>
    <n v="0"/>
    <n v="0"/>
    <n v="0"/>
    <n v="0"/>
    <n v="6945571000"/>
    <n v="1141660000"/>
    <n v="-5803911000"/>
    <n v="8087231000"/>
    <n v="42521470000"/>
    <n v="36767788000"/>
    <n v="-5753682000"/>
    <n v="79289258000"/>
    <n v="0.16334268311984509"/>
    <n v="3.1050548920702001E-2"/>
    <n v="1.7018323393163025E-2"/>
    <n v="1.7771228627244111E-2"/>
    <n v="0.10199655292523989"/>
    <n v="4.7250144842282522E-2"/>
    <n v="40"/>
    <n v="3648671293.308445"/>
    <n v="34"/>
    <n v="300781939.017712"/>
    <n v="5"/>
    <n v="3347889354.2907329"/>
    <n v="1"/>
    <n v="0"/>
    <n v="2.1317586586892635E-2"/>
    <n v="1.7573369901922526E-3"/>
    <n v="1.9560249596700382E-2"/>
    <n v="0"/>
    <n v="214627723.13579088"/>
    <n v="1.2539756815819199E-3"/>
  </r>
  <r>
    <n v="58"/>
    <s v="EGY"/>
    <s v="Egypt"/>
    <s v="Middle East &amp; North Africa"/>
    <x v="2"/>
    <n v="0"/>
    <n v="0"/>
    <x v="0"/>
    <n v="2016"/>
    <n v="0"/>
    <s v="na"/>
    <n v="303080865603.64465"/>
    <n v="14"/>
    <n v="8700000000"/>
    <n v="19"/>
    <n v="16000000000"/>
    <n v="33"/>
    <n v="24700000000"/>
    <n v="2.870521034929821E-2"/>
    <n v="5.2791191446985214E-2"/>
    <n v="8.1496401796283424E-2"/>
    <n v="6.4798194588233538E-3"/>
    <n v="2.0122242623940439E-2"/>
    <n v="1.1526812672960525E-2"/>
    <n v="1452941176.4705882"/>
    <n v="4.7939059880166713E-3"/>
    <n v="2"/>
    <n v="3"/>
    <n v="660000000"/>
    <n v="2"/>
    <n v="649000000"/>
    <n v="0"/>
    <n v="0"/>
    <n v="5"/>
    <n v="1309000000"/>
    <n v="4.318979350256478E-3"/>
    <n v="3.2839750297476961E-2"/>
    <n v="12040871000"/>
    <n v="556922000"/>
    <n v="-11483949000"/>
    <n v="12597793000"/>
    <n v="78657518000"/>
    <n v="30632553000"/>
    <n v="-48024965000"/>
    <n v="109290071000"/>
    <n v="0.15307972214429649"/>
    <n v="1.8180724277209282E-2"/>
    <n v="3.1481016028550787E-2"/>
    <n v="1.4805843169003595E-2"/>
    <n v="0.11526932762263463"/>
    <n v="4.1565781379530632E-2"/>
    <n v="71"/>
    <n v="6470899582.0142622"/>
    <n v="48"/>
    <n v="956566800.48591578"/>
    <n v="16"/>
    <n v="2572561247.8118019"/>
    <n v="7"/>
    <n v="2941771533.7165456"/>
    <n v="2.1350406166770718E-2"/>
    <n v="3.1561438185176306E-3"/>
    <n v="8.4880358338954992E-3"/>
    <n v="9.7062265143575913E-3"/>
    <n v="380641151.88319188"/>
    <n v="1.2559062451041598E-3"/>
  </r>
  <r>
    <n v="5"/>
    <s v="AGO"/>
    <s v="Angola"/>
    <s v="Sub-Saharan Africa"/>
    <x v="2"/>
    <n v="2"/>
    <n v="0"/>
    <x v="0"/>
    <n v="2018"/>
    <n v="0"/>
    <s v="na"/>
    <n v="89417190341.253281"/>
    <n v="21"/>
    <n v="15070000000"/>
    <n v="20"/>
    <n v="9780000000"/>
    <n v="41"/>
    <n v="24850000000"/>
    <n v="0.16853582563360128"/>
    <n v="0.10937494191749307"/>
    <n v="0.27791076755109434"/>
    <n v="1.1224238993617006E-2"/>
    <n v="1.2299720803883593E-2"/>
    <n v="1.1596813559638422E-2"/>
    <n v="1461764705.8823528"/>
    <n v="1.6347692208887901E-2"/>
    <n v="0"/>
    <s v="na"/>
    <s v="na"/>
    <s v="na"/>
    <s v="na"/>
    <s v="na"/>
    <s v="na"/>
    <n v="0"/>
    <s v="na"/>
    <s v="na"/>
    <s v="na"/>
    <n v="2030002"/>
    <n v="21357868"/>
    <n v="19327866"/>
    <n v="23387870"/>
    <n v="14160146000"/>
    <n v="34819241000"/>
    <n v="20659095000"/>
    <n v="48979387000"/>
    <n v="1.4336024501442288E-4"/>
    <n v="6.133926928504846E-4"/>
    <n v="5.6673003995958704E-3"/>
    <n v="1.6829423963119886E-2"/>
    <n v="4.7750434279628692E-4"/>
    <n v="2.6155899006379126E-4"/>
    <n v="350"/>
    <n v="88449059776.888641"/>
    <n v="78"/>
    <n v="310799325.71688968"/>
    <n v="199"/>
    <n v="72542723598.448303"/>
    <n v="73"/>
    <n v="15595536852.723465"/>
    <n v="0.98917288095644862"/>
    <n v="3.4758341716033558E-3"/>
    <n v="0.81128386299765209"/>
    <n v="0.17441318378719342"/>
    <n v="5202885869.2287436"/>
    <n v="5.8186640056261688E-2"/>
  </r>
  <r>
    <n v="64"/>
    <s v="ETH"/>
    <s v="Ethiopia"/>
    <s v="Sub-Saharan Africa"/>
    <x v="3"/>
    <n v="1"/>
    <n v="0"/>
    <x v="0"/>
    <n v="2018"/>
    <n v="0"/>
    <s v="na"/>
    <n v="95912590628.141235"/>
    <n v="21"/>
    <n v="13780000000"/>
    <n v="39"/>
    <n v="11220000000"/>
    <n v="60"/>
    <n v="25000000000"/>
    <n v="0.14367248251510453"/>
    <n v="0.11698151333958438"/>
    <n v="0.2606539958546889"/>
    <n v="1.0263438177308714E-2"/>
    <n v="1.4110722640038232E-2"/>
    <n v="1.166681444631632E-2"/>
    <n v="1470588235.2941177"/>
    <n v="1.533258799145229E-2"/>
    <n v="2"/>
    <n v="0"/>
    <n v="0"/>
    <n v="0"/>
    <n v="0"/>
    <n v="0"/>
    <n v="0"/>
    <n v="0"/>
    <n v="0"/>
    <n v="0"/>
    <n v="0"/>
    <n v="4283703000"/>
    <n v="124363000"/>
    <n v="-4159340000"/>
    <n v="4408066000"/>
    <n v="15575890000"/>
    <n v="2678468000"/>
    <n v="-12897422000"/>
    <n v="18254358000"/>
    <n v="0.27502139524611435"/>
    <n v="4.6430646175350983E-2"/>
    <n v="6.2339221376009335E-3"/>
    <n v="1.2946024166250434E-3"/>
    <n v="0.24148019886538874"/>
    <n v="4.5959200675647807E-2"/>
    <n v="218"/>
    <n v="24549040327.122738"/>
    <n v="155"/>
    <n v="9669275552.7825241"/>
    <n v="48"/>
    <n v="12633865805.844887"/>
    <n v="15"/>
    <n v="2245898968.4953279"/>
    <n v="0.25595221822649766"/>
    <n v="0.10081341239411283"/>
    <n v="0.13172270421541557"/>
    <n v="2.3416101616969252E-2"/>
    <n v="1444061195.7131023"/>
    <n v="1.5056012836852803E-2"/>
  </r>
  <r>
    <n v="90"/>
    <s v="IRN"/>
    <s v="Iraq"/>
    <s v="Middle East &amp; North Africa"/>
    <x v="0"/>
    <n v="0"/>
    <n v="0"/>
    <x v="0"/>
    <n v="2015"/>
    <n v="0"/>
    <s v="na"/>
    <n v="222434137055.83755"/>
    <n v="11"/>
    <n v="13760000000"/>
    <n v="28"/>
    <n v="11370000000"/>
    <n v="39"/>
    <n v="25130000000"/>
    <n v="6.1861008306228787E-2"/>
    <n v="5.1116254683271897E-2"/>
    <n v="0.11297726298950068"/>
    <n v="1.0248542040621764E-2"/>
    <n v="1.4299368664637675E-2"/>
    <n v="1.1727481881437164E-2"/>
    <n v="1478235294.1176472"/>
    <n v="6.6457213523235708E-3"/>
    <n v="0"/>
    <s v="na"/>
    <s v="na"/>
    <s v="na"/>
    <s v="na"/>
    <s v="na"/>
    <s v="na"/>
    <n v="0"/>
    <s v="na"/>
    <s v="na"/>
    <s v="na"/>
    <n v="9473787000"/>
    <n v="23806377000"/>
    <n v="14332590000"/>
    <n v="33280164000"/>
    <n v="51027496000"/>
    <n v="91224183000"/>
    <n v="40196687000"/>
    <n v="142251679000"/>
    <n v="0.18566043295559712"/>
    <n v="0.26096563671060774"/>
    <n v="2.0422681268341208E-2"/>
    <n v="4.4092013705762108E-2"/>
    <n v="0.233952697317548"/>
    <n v="0.14961805971196632"/>
    <n v="20"/>
    <n v="8213165570.2614946"/>
    <n v="19"/>
    <n v="8213165570.2614946"/>
    <n v="1"/>
    <n v="0"/>
    <n v="0"/>
    <n v="0"/>
    <n v="3.6924033689126355E-2"/>
    <n v="3.6924033689126355E-2"/>
    <n v="0"/>
    <n v="0"/>
    <n v="483127386.48597026"/>
    <n v="2.172001981713315E-3"/>
  </r>
  <r>
    <n v="89"/>
    <s v="IRQ"/>
    <s v="Iran"/>
    <s v="Middle East &amp; North Africa"/>
    <x v="2"/>
    <n v="0"/>
    <n v="0"/>
    <x v="0"/>
    <n v="2018"/>
    <n v="0"/>
    <s v="na"/>
    <n v="258245497664.39365"/>
    <n v="17"/>
    <n v="14680000000"/>
    <n v="17"/>
    <n v="11880000000"/>
    <n v="34"/>
    <n v="26560000000"/>
    <n v="5.6845134311218806E-2"/>
    <n v="4.6002738121068081E-2"/>
    <n v="0.10284787243228689"/>
    <n v="1.0933764328221476E-2"/>
    <n v="1.4940765148275775E-2"/>
    <n v="1.2394823667766458E-2"/>
    <n v="1562352941.1764705"/>
    <n v="6.0498748489580525E-3"/>
    <n v="1"/>
    <n v="0"/>
    <n v="0"/>
    <n v="0"/>
    <n v="0"/>
    <n v="0"/>
    <n v="0"/>
    <n v="0"/>
    <n v="0"/>
    <n v="0"/>
    <n v="0"/>
    <n v="9608726000"/>
    <n v="13401559000"/>
    <n v="3792833000"/>
    <n v="23010285000"/>
    <n v="35276061000"/>
    <n v="30798216000"/>
    <n v="-4477845000"/>
    <n v="66074277000"/>
    <n v="0.27238659100855961"/>
    <n v="0.43514075620483994"/>
    <n v="1.4118500939288924E-2"/>
    <n v="1.4885914209667646E-2"/>
    <n v="0.34824875949834455"/>
    <n v="8.9102366577958003E-2"/>
    <n v="77"/>
    <n v="89177687080.527771"/>
    <n v="10"/>
    <n v="6566530.3152619414"/>
    <n v="41"/>
    <n v="28422188032.474449"/>
    <n v="26"/>
    <n v="60748932517.738075"/>
    <n v="0.34532136237441713"/>
    <n v="2.5427472597394757E-5"/>
    <n v="0.1100587940139459"/>
    <n v="0.2352371408878739"/>
    <n v="5245746298.8545752"/>
    <n v="2.0313021316142186E-2"/>
  </r>
  <r>
    <n v="152"/>
    <s v="PER"/>
    <s v="Peru"/>
    <s v="Latin America &amp; Caribbean"/>
    <x v="0"/>
    <n v="3"/>
    <n v="1"/>
    <x v="0"/>
    <n v="2019"/>
    <n v="0"/>
    <s v="na"/>
    <n v="228470919605.66925"/>
    <n v="8"/>
    <n v="5790000000"/>
    <n v="15"/>
    <n v="21480000000"/>
    <n v="23"/>
    <n v="27270000000"/>
    <n v="2.534239372780258E-2"/>
    <n v="9.4016341497961911E-2"/>
    <n v="0.11935873522576448"/>
    <n v="4.3124315708720946E-3"/>
    <n v="2.7014110722640039E-2"/>
    <n v="1.2726161198041841E-2"/>
    <n v="1604117647.0588236"/>
    <n v="7.0211020721037938E-3"/>
    <n v="3"/>
    <n v="0"/>
    <n v="0"/>
    <n v="0"/>
    <n v="0"/>
    <n v="0"/>
    <n v="0"/>
    <n v="0"/>
    <n v="0"/>
    <n v="0"/>
    <n v="0"/>
    <n v="10255204000"/>
    <n v="13159187000"/>
    <n v="2903983000"/>
    <n v="23414391000"/>
    <n v="42364042000"/>
    <n v="45135222000"/>
    <n v="2771180000"/>
    <n v="87499264000"/>
    <n v="0.24207331302334181"/>
    <n v="0.29155028859722903"/>
    <n v="1.6955316149642543E-2"/>
    <n v="2.1815518227624082E-2"/>
    <n v="0.26759529085867512"/>
    <n v="0.10248302515003752"/>
    <n v="97"/>
    <n v="11259526051.707972"/>
    <n v="69"/>
    <n v="184206605.39112389"/>
    <n v="25"/>
    <n v="10913683461.076916"/>
    <n v="3"/>
    <n v="161635985.2399314"/>
    <n v="4.9282097131404808E-2"/>
    <n v="8.0625843196611795E-4"/>
    <n v="4.7768370171194882E-2"/>
    <n v="7.0746852824380454E-4"/>
    <n v="662325061.86517477"/>
    <n v="2.898946890082636E-3"/>
  </r>
  <r>
    <n v="93"/>
    <s v="ITA"/>
    <s v="Italy"/>
    <s v="Europe &amp; Central Asia"/>
    <x v="1"/>
    <n v="3"/>
    <n v="0"/>
    <x v="0"/>
    <n v="2019"/>
    <n v="0"/>
    <s v="na"/>
    <n v="2004913357799.9968"/>
    <n v="7"/>
    <n v="3550000000"/>
    <n v="25"/>
    <n v="23780000000"/>
    <n v="32"/>
    <n v="27330000000"/>
    <n v="1.7706500813059751E-3"/>
    <n v="1.1860861671396081E-2"/>
    <n v="1.3631511752702056E-2"/>
    <n v="2.6440642619336677E-3"/>
    <n v="2.9906683099831476E-2"/>
    <n v="1.2754161552713E-2"/>
    <n v="1607647058.8235295"/>
    <n v="8.0185363251188569E-4"/>
    <n v="2"/>
    <n v="0"/>
    <n v="0"/>
    <n v="0"/>
    <n v="0"/>
    <n v="0"/>
    <n v="0"/>
    <n v="0"/>
    <n v="0"/>
    <n v="0"/>
    <n v="0"/>
    <n v="35449437000"/>
    <n v="14519418000"/>
    <n v="-20930019000"/>
    <n v="49968855000"/>
    <n v="474957328000"/>
    <n v="537748429000"/>
    <n v="62791101000"/>
    <n v="1012705757000"/>
    <n v="7.4637098766902277E-2"/>
    <n v="2.7000391292635463E-2"/>
    <n v="0.19009167382634237"/>
    <n v="0.25991365800141003"/>
    <n v="4.9341928447238004E-2"/>
    <n v="2.4923199202399011E-2"/>
    <s v="na"/>
    <s v="na"/>
    <s v="na"/>
    <s v="na"/>
    <s v="na"/>
    <s v="na"/>
    <s v="na"/>
    <s v="na"/>
    <n v="0"/>
    <n v="0"/>
    <n v="0"/>
    <n v="0"/>
    <n v="0"/>
    <n v="0"/>
  </r>
  <r>
    <n v="15"/>
    <s v="BGD"/>
    <s v="Bangladesh"/>
    <s v="South Asia"/>
    <x v="2"/>
    <n v="1"/>
    <n v="1"/>
    <x v="0"/>
    <n v="2019"/>
    <n v="0"/>
    <s v="na"/>
    <n v="302563398919.92755"/>
    <n v="15"/>
    <n v="3590000000"/>
    <n v="46"/>
    <n v="25260000000"/>
    <n v="61"/>
    <n v="28850000000"/>
    <n v="1.1865281831230624E-2"/>
    <n v="8.3486634834787063E-2"/>
    <n v="9.5351916666017694E-2"/>
    <n v="2.6738565353075679E-3"/>
    <n v="3.1767990542545969E-2"/>
    <n v="1.3463503871049033E-2"/>
    <n v="1697058823.5294118"/>
    <n v="5.6089362744716296E-3"/>
    <n v="1"/>
    <n v="14"/>
    <n v="2639000000"/>
    <n v="5"/>
    <n v="1634400000"/>
    <n v="0"/>
    <n v="0"/>
    <n v="19"/>
    <n v="4273400000"/>
    <n v="1.4123981999326171E-2"/>
    <n v="0.10720961720491828"/>
    <n v="17335124000"/>
    <n v="1036436000"/>
    <n v="-16298688000"/>
    <n v="18371560000"/>
    <n v="58004860000"/>
    <n v="47632799000"/>
    <n v="-10372061000"/>
    <n v="105637659000"/>
    <n v="0.29885640617010367"/>
    <n v="2.1758872494559895E-2"/>
    <n v="2.321522435266575E-2"/>
    <n v="2.3022689349290325E-2"/>
    <n v="0.17391108600768973"/>
    <n v="6.0719703921828218E-2"/>
    <n v="120"/>
    <n v="13120697227.954836"/>
    <n v="79"/>
    <n v="4313536700.984539"/>
    <n v="35"/>
    <n v="8051891621.6969776"/>
    <n v="6"/>
    <n v="755268905.27331805"/>
    <n v="4.3365117111958368E-2"/>
    <n v="1.4256637505999536E-2"/>
    <n v="2.6612246062941294E-2"/>
    <n v="2.4962335430175333E-3"/>
    <n v="771805719.29146099"/>
    <n v="2.5508892418799043E-3"/>
  </r>
  <r>
    <n v="211"/>
    <s v="VNM"/>
    <s v="Vietnam"/>
    <s v="East Asia &amp; Pacific"/>
    <x v="2"/>
    <n v="4"/>
    <n v="1"/>
    <x v="0"/>
    <n v="2017"/>
    <n v="0"/>
    <s v="na"/>
    <n v="261921244843.1723"/>
    <n v="28"/>
    <n v="15620000000"/>
    <n v="30"/>
    <n v="13290000000"/>
    <n v="58"/>
    <n v="28910000000"/>
    <n v="5.9636246801410157E-2"/>
    <n v="5.0740443021174197E-2"/>
    <n v="0.11037668982258435"/>
    <n v="1.1633882752508137E-2"/>
    <n v="1.6714037779510527E-2"/>
    <n v="1.3491504225720192E-2"/>
    <n v="1700588235.2941177"/>
    <n v="6.4927464601520204E-3"/>
    <n v="1"/>
    <n v="1"/>
    <n v="100000000"/>
    <n v="1"/>
    <n v="47500000"/>
    <n v="0"/>
    <n v="0"/>
    <n v="2"/>
    <n v="147500000"/>
    <n v="5.6314637664583848E-4"/>
    <n v="3.7004302283253259E-3"/>
    <n v="75586138000"/>
    <n v="41434238000"/>
    <n v="-34151900000"/>
    <n v="117020376000"/>
    <n v="253442016000"/>
    <n v="264610323000"/>
    <n v="11168307000"/>
    <n v="518052339000"/>
    <n v="0.29823838680323628"/>
    <n v="0.15658587136829125"/>
    <n v="0.101434832561132"/>
    <n v="0.12789593290632309"/>
    <n v="0.22588523820949297"/>
    <n v="0.44677695415683827"/>
    <n v="111"/>
    <n v="20984102031.97514"/>
    <n v="54"/>
    <n v="1423612922.7701159"/>
    <n v="44"/>
    <n v="16354113571.873787"/>
    <n v="13"/>
    <n v="3206375537.3312359"/>
    <n v="8.0116074755751707E-2"/>
    <n v="5.4352709098588661E-3"/>
    <n v="6.2439049500035627E-2"/>
    <n v="1.2241754345857213E-2"/>
    <n v="1234358943.0573611"/>
    <n v="4.7127102797501009E-3"/>
  </r>
  <r>
    <n v="105"/>
    <s v="LAO"/>
    <s v="Laos"/>
    <s v="East Asia &amp; Pacific"/>
    <x v="2"/>
    <n v="4"/>
    <n v="1"/>
    <x v="0"/>
    <n v="2018"/>
    <n v="0"/>
    <s v="na"/>
    <n v="18245925331.239628"/>
    <n v="17"/>
    <n v="7700000000"/>
    <n v="36"/>
    <n v="22110000000"/>
    <n v="53"/>
    <n v="29810000000"/>
    <n v="0.42201203064316511"/>
    <n v="1.211777402275374"/>
    <n v="1.6337894329185392"/>
    <n v="5.735012624475842E-3"/>
    <n v="2.7806424025957694E-2"/>
    <n v="1.3911509545787581E-2"/>
    <n v="1753529411.7647059"/>
    <n v="9.6105260759914074E-2"/>
    <n v="1"/>
    <n v="2"/>
    <n v="70000000"/>
    <n v="0"/>
    <n v="0"/>
    <n v="0"/>
    <n v="0"/>
    <n v="2"/>
    <n v="70000000"/>
    <n v="3.8364730058469553E-3"/>
    <n v="1.7561363795442224E-3"/>
    <n v="1681038"/>
    <n v="1672285"/>
    <n v="-8753"/>
    <n v="3353323"/>
    <n v="5797445000"/>
    <n v="5809346000"/>
    <n v="11901000"/>
    <n v="11606791000"/>
    <n v="2.8996187113461186E-4"/>
    <n v="2.8786114650427089E-4"/>
    <n v="2.3203053390222872E-3"/>
    <n v="2.8078712796311286E-3"/>
    <n v="2.8891043183253666E-4"/>
    <n v="1.8378475956265329E-4"/>
    <n v="240"/>
    <n v="15505734362.315592"/>
    <n v="148"/>
    <n v="2178454652.0293546"/>
    <n v="63"/>
    <n v="12583814821.697277"/>
    <n v="29"/>
    <n v="743464888.58896065"/>
    <n v="0.84981901881224742"/>
    <n v="0.11939403524246202"/>
    <n v="0.68967808391454888"/>
    <n v="4.0746899655236597E-2"/>
    <n v="912102021.31268191"/>
    <n v="4.9989354047779266E-2"/>
  </r>
  <r>
    <n v="67"/>
    <s v="FRA"/>
    <s v="France"/>
    <s v="Europe &amp; Central Asia"/>
    <x v="1"/>
    <n v="3"/>
    <n v="0"/>
    <x v="1"/>
    <s v="na"/>
    <n v="0"/>
    <s v="na"/>
    <n v="2728870246705.8779"/>
    <n v="44"/>
    <n v="33980000000"/>
    <n v="0"/>
    <n v="0"/>
    <n v="44"/>
    <n v="33980000000"/>
    <n v="1.2452039462491314E-2"/>
    <n v="0"/>
    <n v="1.2452039462491314E-2"/>
    <n v="2.5308536231128456E-2"/>
    <n v="0"/>
    <n v="1.5857534195433141E-2"/>
    <n v="1998823529.4117646"/>
    <n v="7.3247290955831253E-4"/>
    <n v="2"/>
    <n v="0"/>
    <n v="0"/>
    <n v="0"/>
    <n v="0"/>
    <n v="0"/>
    <n v="0"/>
    <n v="0"/>
    <n v="0"/>
    <n v="0"/>
    <n v="0"/>
    <n v="59613001000"/>
    <n v="23438669000"/>
    <n v="-36174332000"/>
    <n v="83051670000"/>
    <n v="643953084000"/>
    <n v="556550374000"/>
    <n v="-87402710000"/>
    <n v="1200503458000"/>
    <n v="9.2573515806005521E-2"/>
    <n v="4.211419144603791E-2"/>
    <n v="0.25772866821247414"/>
    <n v="0.26900133178890762"/>
    <n v="6.9180700352468288E-2"/>
    <n v="3.0434451802996056E-2"/>
    <s v="na"/>
    <s v="na"/>
    <s v="na"/>
    <s v="na"/>
    <s v="na"/>
    <s v="na"/>
    <s v="na"/>
    <s v="na"/>
    <n v="0"/>
    <n v="0"/>
    <n v="0"/>
    <n v="0"/>
    <n v="0"/>
    <n v="0"/>
  </r>
  <r>
    <n v="87"/>
    <s v="IND"/>
    <s v="India"/>
    <s v="South Asia"/>
    <x v="2"/>
    <n v="3"/>
    <n v="1"/>
    <x v="1"/>
    <s v="na"/>
    <n v="0"/>
    <s v="na"/>
    <n v="2870504096717.4771"/>
    <n v="71"/>
    <n v="34560000000"/>
    <n v="0"/>
    <n v="0"/>
    <n v="71"/>
    <n v="34560000000"/>
    <n v="1.203969715267802E-2"/>
    <n v="0"/>
    <n v="1.203969715267802E-2"/>
    <n v="2.5740524195050015E-2"/>
    <n v="0"/>
    <n v="1.6128204290587679E-2"/>
    <n v="2032941176.4705882"/>
    <n v="7.0821747956929533E-4"/>
    <n v="1"/>
    <n v="27"/>
    <n v="6674670000"/>
    <n v="16"/>
    <n v="5207850000"/>
    <n v="1"/>
    <n v="35000000"/>
    <n v="44"/>
    <n v="11882520000"/>
    <n v="4.1395237908171184E-3"/>
    <n v="0.29810465218088306"/>
    <n v="68402093000"/>
    <n v="17278833000"/>
    <n v="-51123260000"/>
    <n v="85680926000"/>
    <n v="478883729000"/>
    <n v="323250726000"/>
    <n v="-155633003000"/>
    <n v="802134455000"/>
    <n v="0.14283653600600826"/>
    <n v="5.3453346304317348E-2"/>
    <n v="0.19166313318532593"/>
    <n v="0.15623900343606861"/>
    <n v="0.10681616462915809"/>
    <n v="2.9848738449103476E-2"/>
    <n v="55"/>
    <n v="39265828068.341133"/>
    <n v="7"/>
    <n v="1318426.1142835901"/>
    <n v="40"/>
    <n v="37901803538.01329"/>
    <n v="8"/>
    <n v="1362706104.213562"/>
    <n v="1.3679070555322668E-2"/>
    <n v="4.5930124809480572E-7"/>
    <n v="1.3203884147511004E-2"/>
    <n v="4.7472710656357002E-4"/>
    <n v="2309754592.2553606"/>
    <n v="8.0465120913662748E-4"/>
  </r>
  <r>
    <n v="97"/>
    <s v="KAZ"/>
    <s v="Kazakhstan"/>
    <s v="Europe &amp; Central Asia"/>
    <x v="0"/>
    <n v="3"/>
    <n v="0"/>
    <x v="0"/>
    <n v="2015"/>
    <n v="0"/>
    <s v="na"/>
    <n v="181667190075.54071"/>
    <n v="19"/>
    <n v="22190000000"/>
    <n v="27"/>
    <n v="12490000000"/>
    <n v="46"/>
    <n v="34680000000"/>
    <n v="0.12214643706864718"/>
    <n v="6.8752095492897847E-2"/>
    <n v="0.19089853256154504"/>
    <n v="1.652726365417129E-2"/>
    <n v="1.5707925648313505E-2"/>
    <n v="1.6184204999930001E-2"/>
    <n v="2040000000"/>
    <n v="1.1229325444796767E-2"/>
    <n v="1"/>
    <n v="2"/>
    <n v="796700000"/>
    <n v="0"/>
    <n v="0"/>
    <n v="0"/>
    <n v="0"/>
    <n v="2"/>
    <n v="796700000"/>
    <n v="4.3854919518968548E-3"/>
    <n v="1.9987340765469742E-2"/>
    <n v="6537806000"/>
    <n v="7823406000"/>
    <n v="1285600000"/>
    <n v="14361212000"/>
    <n v="38356664000"/>
    <n v="57722942000"/>
    <n v="19366278000"/>
    <n v="96079606000"/>
    <n v="0.17044772193953051"/>
    <n v="0.13553373630886659"/>
    <n v="1.535144745077943E-2"/>
    <n v="2.7899627775245857E-2"/>
    <n v="0.14947201178156372"/>
    <n v="7.905231535770621E-2"/>
    <n v="124"/>
    <n v="83520871989.101364"/>
    <n v="52"/>
    <n v="27212651292.361855"/>
    <n v="59"/>
    <n v="50505760818.666328"/>
    <n v="13"/>
    <n v="5802459878.0731754"/>
    <n v="0.45974659460726935"/>
    <n v="0.14979397920475521"/>
    <n v="0.27801256130875951"/>
    <n v="3.1940054093754632E-2"/>
    <n v="4912992469.9471388"/>
    <n v="2.7043917329839372E-2"/>
  </r>
  <r>
    <n v="203"/>
    <s v="ARE"/>
    <s v="United Arab Emirates"/>
    <s v="Middle East &amp; North Africa"/>
    <x v="1"/>
    <n v="2"/>
    <n v="0"/>
    <x v="0"/>
    <n v="2018"/>
    <n v="0"/>
    <s v="na"/>
    <n v="421142267937.37238"/>
    <n v="15"/>
    <n v="7630000000"/>
    <n v="58"/>
    <n v="28530000000"/>
    <n v="73"/>
    <n v="36160000000"/>
    <n v="1.8117393054298339E-2"/>
    <n v="6.7744328157160097E-2"/>
    <n v="8.5861721211458436E-2"/>
    <n v="5.6828761460715168E-3"/>
    <n v="3.5880473878813796E-2"/>
    <n v="1.6874880415151925E-2"/>
    <n v="2127058823.5294118"/>
    <n v="5.0506894830269671E-3"/>
    <n v="1"/>
    <n v="0"/>
    <n v="0"/>
    <n v="0"/>
    <n v="0"/>
    <n v="0"/>
    <n v="0"/>
    <n v="0"/>
    <n v="0"/>
    <n v="0"/>
    <n v="0"/>
    <n v="40777643"/>
    <n v="9367965"/>
    <n v="-31409678"/>
    <n v="50145608"/>
    <n v="267937296000"/>
    <n v="315942728000"/>
    <n v="48005432000"/>
    <n v="583880024000"/>
    <n v="1.5219099247758326E-4"/>
    <n v="2.9650832792707925E-5"/>
    <n v="0.10723626329046587"/>
    <n v="0.15270677834639385"/>
    <n v="8.5883410870038598E-5"/>
    <n v="1.1907047052198784E-4"/>
    <s v="na"/>
    <s v="na"/>
    <s v="na"/>
    <s v="na"/>
    <s v="na"/>
    <s v="na"/>
    <s v="na"/>
    <s v="na"/>
    <n v="0"/>
    <n v="0"/>
    <n v="0"/>
    <n v="0"/>
    <n v="0"/>
    <n v="0"/>
  </r>
  <r>
    <n v="140"/>
    <s v="NGA"/>
    <s v="Nigeria"/>
    <s v="Sub-Saharan Africa"/>
    <x v="2"/>
    <n v="2"/>
    <n v="0"/>
    <x v="0"/>
    <n v="2018"/>
    <n v="0"/>
    <s v="na"/>
    <n v="448120428858.76923"/>
    <n v="19"/>
    <n v="13670000000"/>
    <n v="33"/>
    <n v="26480000000"/>
    <n v="52"/>
    <n v="40150000000"/>
    <n v="3.0505192621575999E-2"/>
    <n v="5.9091258275006033E-2"/>
    <n v="8.9596450896582039E-2"/>
    <n v="1.0181509425530489E-2"/>
    <n v="3.3302311542621428E-2"/>
    <n v="1.873690400078401E-2"/>
    <n v="2361764705.8823528"/>
    <n v="5.2703794645048256E-3"/>
    <n v="0"/>
    <s v="na"/>
    <s v="na"/>
    <s v="na"/>
    <s v="na"/>
    <s v="na"/>
    <s v="na"/>
    <n v="0"/>
    <s v="na"/>
    <s v="na"/>
    <s v="na"/>
    <n v="12064658000"/>
    <n v="1665243000"/>
    <n v="-10399415000"/>
    <n v="13729901000"/>
    <n v="47387304000"/>
    <n v="53624701000"/>
    <n v="6237397000"/>
    <n v="101012005000"/>
    <n v="0.25459684307003411"/>
    <n v="3.1053655665138347E-2"/>
    <n v="1.8965771037598833E-2"/>
    <n v="2.5918796679816742E-2"/>
    <n v="0.13592345781078199"/>
    <n v="3.0638864277993338E-2"/>
    <n v="104"/>
    <n v="61819759640.81562"/>
    <n v="52"/>
    <n v="5425238555.5450525"/>
    <n v="39"/>
    <n v="43009874223.82708"/>
    <n v="13"/>
    <n v="13384646861.443499"/>
    <n v="0.13795345103603587"/>
    <n v="1.2106653047176487E-2"/>
    <n v="9.5978383162223971E-2"/>
    <n v="2.986841482663545E-2"/>
    <n v="3636456449.4597425"/>
    <n v="8.1149088844726987E-3"/>
  </r>
  <r>
    <n v="167"/>
    <s v="SAU"/>
    <s v="Saudi Arabia"/>
    <s v="Middle East &amp; North Africa"/>
    <x v="1"/>
    <n v="0"/>
    <n v="0"/>
    <x v="0"/>
    <n v="2018"/>
    <n v="0"/>
    <s v="na"/>
    <n v="792966838160"/>
    <n v="29"/>
    <n v="16650000000"/>
    <n v="48"/>
    <n v="26150000000"/>
    <n v="77"/>
    <n v="42800000000"/>
    <n v="2.0997094958768583E-2"/>
    <n v="3.2977419409717629E-2"/>
    <n v="5.3974514368486208E-2"/>
    <n v="1.2401033791886075E-2"/>
    <n v="3.2887290288502652E-2"/>
    <n v="1.9973586332093538E-2"/>
    <n v="2517647058.8235292"/>
    <n v="3.1749714334403652E-3"/>
    <n v="1"/>
    <n v="0"/>
    <n v="0"/>
    <n v="0"/>
    <n v="0"/>
    <n v="0"/>
    <n v="0"/>
    <n v="0"/>
    <n v="0"/>
    <n v="0"/>
    <n v="0"/>
    <n v="27066620000"/>
    <n v="9339878000"/>
    <n v="-17726742000"/>
    <n v="36406498000"/>
    <n v="144334893000"/>
    <n v="251800458000"/>
    <n v="107465565000"/>
    <n v="396135351000"/>
    <n v="0.18752651862221562"/>
    <n v="3.7092378918548274E-2"/>
    <n v="5.7767003022039971E-2"/>
    <n v="0.12170445248331986"/>
    <n v="9.1904188576191981E-2"/>
    <n v="4.5911753490823937E-2"/>
    <s v="na"/>
    <s v="na"/>
    <s v="na"/>
    <s v="na"/>
    <s v="na"/>
    <s v="na"/>
    <s v="na"/>
    <s v="na"/>
    <n v="0"/>
    <n v="0"/>
    <n v="0"/>
    <n v="0"/>
    <n v="0"/>
    <n v="0"/>
  </r>
  <r>
    <n v="117"/>
    <s v="MYS"/>
    <s v="Malaysia"/>
    <s v="East Asia &amp; Pacific"/>
    <x v="0"/>
    <n v="3"/>
    <n v="1"/>
    <x v="0"/>
    <n v="2017"/>
    <n v="0"/>
    <s v="na"/>
    <n v="364681367531.68378"/>
    <n v="30"/>
    <n v="13210000000"/>
    <n v="61"/>
    <n v="30610000000"/>
    <n v="91"/>
    <n v="43820000000"/>
    <n v="3.6223402608723372E-2"/>
    <n v="8.3936287195535378E-2"/>
    <n v="0.12015968980425874"/>
    <n v="9.8388982817306323E-3"/>
    <n v="3.849636541992605E-2"/>
    <n v="2.0449592361503247E-2"/>
    <n v="2577647058.8235292"/>
    <n v="7.0682170473093378E-3"/>
    <n v="1"/>
    <n v="0"/>
    <n v="0"/>
    <n v="0"/>
    <n v="0"/>
    <n v="0"/>
    <n v="0"/>
    <n v="0"/>
    <n v="0"/>
    <n v="0"/>
    <n v="0"/>
    <n v="42395009000"/>
    <n v="33706910000"/>
    <n v="-8688099000"/>
    <n v="76101919000"/>
    <n v="204988314000"/>
    <n v="238161125000"/>
    <n v="33172811000"/>
    <n v="443149439000"/>
    <n v="0.20681671151263775"/>
    <n v="0.14152985715028008"/>
    <n v="8.204225816913778E-2"/>
    <n v="0.1151120595695521"/>
    <n v="0.17172969725907744"/>
    <n v="0.2086805792001101"/>
    <n v="39"/>
    <n v="26661440552.418114"/>
    <n v="12"/>
    <n v="3803445.9413302299"/>
    <n v="22"/>
    <n v="26032408950.268303"/>
    <n v="5"/>
    <n v="625228156.20847774"/>
    <n v="7.3108864137682458E-2"/>
    <n v="1.0429504438555621E-5"/>
    <n v="7.1383984124186409E-2"/>
    <n v="1.7144505090574925E-3"/>
    <n v="1568320032.4951832"/>
    <n v="4.3005214198636741E-3"/>
  </r>
  <r>
    <n v="72"/>
    <s v="DEU"/>
    <s v="Germany"/>
    <s v="Europe &amp; Central Asia"/>
    <x v="1"/>
    <n v="2"/>
    <n v="0"/>
    <x v="1"/>
    <s v="na"/>
    <n v="0"/>
    <s v="na"/>
    <n v="3888326788627.4448"/>
    <n v="72"/>
    <n v="48190000000"/>
    <n v="0"/>
    <n v="0"/>
    <n v="72"/>
    <n v="48190000000"/>
    <n v="1.2393505643853244E-2"/>
    <n v="0"/>
    <n v="1.2393505643853244E-2"/>
    <n v="3.5892241347206602E-2"/>
    <n v="0"/>
    <n v="2.2488951526719338E-2"/>
    <n v="2834705882.352941"/>
    <n v="7.2902974375607318E-4"/>
    <n v="2"/>
    <n v="0"/>
    <n v="0"/>
    <n v="0"/>
    <n v="0"/>
    <n v="0"/>
    <n v="0"/>
    <n v="0"/>
    <n v="0"/>
    <n v="0"/>
    <n v="0"/>
    <n v="123165529000"/>
    <n v="107451431000"/>
    <n v="-15714098000"/>
    <n v="230616960000"/>
    <n v="1236217435000"/>
    <n v="1486877250000"/>
    <n v="250659815000"/>
    <n v="2723094685000"/>
    <n v="9.9630959338475919E-2"/>
    <n v="7.2266510903976774E-2"/>
    <n v="0.49477000896480033"/>
    <n v="0.71866263889462145"/>
    <n v="8.4689291661556754E-2"/>
    <n v="5.9310076682471013E-2"/>
    <s v="na"/>
    <s v="na"/>
    <s v="na"/>
    <s v="na"/>
    <s v="na"/>
    <s v="na"/>
    <s v="na"/>
    <s v="na"/>
    <n v="0"/>
    <n v="0"/>
    <n v="0"/>
    <n v="0"/>
    <n v="0"/>
    <n v="0"/>
  </r>
  <r>
    <n v="172"/>
    <s v="SGP"/>
    <s v="Singapore"/>
    <s v="East Asia &amp; Pacific"/>
    <x v="1"/>
    <n v="0"/>
    <n v="0"/>
    <x v="0"/>
    <n v="2018"/>
    <n v="0"/>
    <s v="na"/>
    <n v="374386306993.1095"/>
    <n v="20"/>
    <n v="11970000000"/>
    <n v="84"/>
    <n v="38730000000"/>
    <n v="104"/>
    <n v="50700000000"/>
    <n v="3.1972323176393057E-2"/>
    <n v="0.10344929629253993"/>
    <n v="0.135421619468933"/>
    <n v="8.9153378071397185E-3"/>
    <n v="4.8708403551575824E-2"/>
    <n v="2.3660299697129496E-2"/>
    <n v="2982352941.1764708"/>
    <n v="7.9659776158195889E-3"/>
    <n v="1"/>
    <n v="2"/>
    <n v="134000000"/>
    <n v="0"/>
    <n v="0"/>
    <n v="0"/>
    <n v="0"/>
    <n v="2"/>
    <n v="134000000"/>
    <n v="3.5791907315260398E-4"/>
    <n v="3.36174678369894E-3"/>
    <n v="49037427000"/>
    <n v="51626378000"/>
    <n v="2588951000"/>
    <n v="100663805000"/>
    <n v="359008256000"/>
    <n v="390386234000"/>
    <n v="31377978000"/>
    <n v="749394490000"/>
    <n v="0.13659136295740229"/>
    <n v="0.13224436085008059"/>
    <n v="0.14368549820651683"/>
    <n v="0.18868807167139937"/>
    <n v="0.13432685500529901"/>
    <n v="0.26887683422100345"/>
    <s v="na"/>
    <s v="na"/>
    <s v="na"/>
    <s v="na"/>
    <s v="na"/>
    <s v="na"/>
    <s v="na"/>
    <s v="na"/>
    <n v="0"/>
    <n v="0"/>
    <n v="0"/>
    <n v="0"/>
    <n v="0"/>
    <n v="0"/>
  </r>
  <r>
    <n v="88"/>
    <s v="IDN"/>
    <s v="Indonesia"/>
    <s v="East Asia &amp; Pacific"/>
    <x v="2"/>
    <n v="0"/>
    <n v="1"/>
    <x v="0"/>
    <n v="2015"/>
    <n v="0"/>
    <s v="na"/>
    <n v="1119091259074.6206"/>
    <n v="42"/>
    <n v="15520000000"/>
    <n v="81"/>
    <n v="39550000000"/>
    <n v="123"/>
    <n v="55070000000"/>
    <n v="1.3868395337868628E-2"/>
    <n v="3.5341174975045374E-2"/>
    <n v="4.9209570312914001E-2"/>
    <n v="1.1559402069073386E-2"/>
    <n v="4.9739668486052768E-2"/>
    <n v="2.5699658862345591E-2"/>
    <n v="3239411764.7058825"/>
    <n v="2.8946806066420003E-3"/>
    <n v="1"/>
    <n v="10"/>
    <n v="2899900000"/>
    <n v="1"/>
    <n v="250000000"/>
    <n v="0"/>
    <n v="0"/>
    <n v="11"/>
    <n v="3149900000"/>
    <n v="2.8146944893526022E-3"/>
    <n v="7.9023628313233521E-2"/>
    <n v="44930621000"/>
    <n v="27961887000"/>
    <n v="-16968734000"/>
    <n v="72892508000"/>
    <n v="171275737000"/>
    <n v="167682996000"/>
    <n v="-3592741000"/>
    <n v="338958733000"/>
    <n v="0.26232916457980271"/>
    <n v="0.16675445732136132"/>
    <n v="6.854950879328342E-2"/>
    <n v="8.1047379266254993E-2"/>
    <n v="0.21504832566151938"/>
    <n v="6.5135445754687604E-2"/>
    <n v="257"/>
    <n v="99427299972.997116"/>
    <n v="94"/>
    <n v="6537878994.209197"/>
    <n v="147"/>
    <n v="42066840342.080299"/>
    <n v="16"/>
    <n v="50822580636.707619"/>
    <n v="8.8846462848091404E-2"/>
    <n v="5.842132123894333E-3"/>
    <n v="3.7590178639108913E-2"/>
    <n v="4.5414152085088165E-2"/>
    <n v="5848664704.2939482"/>
    <n v="5.226262520475965E-3"/>
  </r>
  <r>
    <n v="35"/>
    <s v="CAN"/>
    <s v="Canada"/>
    <s v="North America"/>
    <x v="1"/>
    <n v="2"/>
    <n v="0"/>
    <x v="1"/>
    <s v="na"/>
    <n v="0"/>
    <s v="na"/>
    <n v="1741576393905.9792"/>
    <n v="71"/>
    <n v="57130000000"/>
    <n v="0"/>
    <n v="0"/>
    <n v="71"/>
    <n v="57130000000"/>
    <n v="3.2803614127927955E-2"/>
    <n v="0"/>
    <n v="3.2803614127927955E-2"/>
    <n v="4.2550814446273358E-2"/>
    <n v="0"/>
    <n v="2.6661004372722053E-2"/>
    <n v="3360588235.2941175"/>
    <n v="1.9296243604663501E-3"/>
    <n v="2"/>
    <n v="0"/>
    <n v="0"/>
    <n v="0"/>
    <n v="0"/>
    <n v="0"/>
    <n v="0"/>
    <n v="0"/>
    <n v="0"/>
    <n v="0"/>
    <n v="0"/>
    <n v="56516369000"/>
    <n v="17521099000"/>
    <n v="-38995270000"/>
    <n v="74037468000"/>
    <n v="453157225000"/>
    <n v="446562311000"/>
    <n v="-6594914000"/>
    <n v="899719536000"/>
    <n v="0.12471691033945227"/>
    <n v="3.923550771842902E-2"/>
    <n v="0.18136664144015577"/>
    <n v="0.21584004251470026"/>
    <n v="8.2289496934964859E-2"/>
    <n v="4.2511754442163728E-2"/>
    <s v="na"/>
    <s v="na"/>
    <s v="na"/>
    <s v="na"/>
    <s v="na"/>
    <s v="na"/>
    <s v="na"/>
    <s v="na"/>
    <n v="0"/>
    <n v="0"/>
    <n v="0"/>
    <n v="0"/>
    <n v="0"/>
    <n v="0"/>
  </r>
  <r>
    <n v="159"/>
    <s v="RUS"/>
    <s v="Russia"/>
    <s v="Europe &amp; Central Asia"/>
    <x v="0"/>
    <n v="4"/>
    <n v="0"/>
    <x v="0"/>
    <s v="na"/>
    <n v="0"/>
    <s v="na"/>
    <n v="1687448525466.6135"/>
    <n v="32"/>
    <n v="20910000000"/>
    <n v="51"/>
    <n v="37190000000"/>
    <n v="83"/>
    <n v="58100000000"/>
    <n v="1.239148909399649E-2"/>
    <n v="2.2039190789370132E-2"/>
    <n v="3.4430679883366622E-2"/>
    <n v="1.5573910906206476E-2"/>
    <n v="4.6771637699021554E-2"/>
    <n v="2.7113676773239129E-2"/>
    <n v="3417647058.8235292"/>
    <n v="2.0253341107862718E-3"/>
    <n v="1"/>
    <n v="2"/>
    <n v="800000000"/>
    <n v="1"/>
    <n v="300000000"/>
    <n v="0"/>
    <n v="0"/>
    <n v="3"/>
    <n v="1100000000"/>
    <n v="6.5187173617389479E-4"/>
    <n v="2.7596428821409211E-2"/>
    <n v="54126998000"/>
    <n v="56791577000"/>
    <n v="2664579000"/>
    <n v="110918575000"/>
    <n v="243780553000"/>
    <n v="422777167000"/>
    <n v="178996614000"/>
    <n v="666557720000"/>
    <n v="0.22203164827507796"/>
    <n v="0.13432981114611614"/>
    <n v="9.7568035345864529E-2"/>
    <n v="0.20434380477649519"/>
    <n v="0.16640505641431924"/>
    <n v="6.5731530962894871E-2"/>
    <n v="146"/>
    <n v="182518866954.12195"/>
    <n v="0"/>
    <n v="0"/>
    <n v="146"/>
    <n v="182518866954.12195"/>
    <n v="0"/>
    <n v="0"/>
    <n v="0.10816262789625053"/>
    <n v="0"/>
    <n v="0.10816262789625053"/>
    <n v="0"/>
    <n v="10736403938.477762"/>
    <n v="6.3625075233088545E-3"/>
  </r>
  <r>
    <n v="186"/>
    <s v="CHE"/>
    <s v="Switzerland"/>
    <s v="Europe &amp; Central Asia"/>
    <x v="1"/>
    <n v="0"/>
    <n v="1"/>
    <x v="1"/>
    <s v="na"/>
    <n v="0"/>
    <s v="na"/>
    <n v="731767398052.87915"/>
    <n v="18"/>
    <n v="61210000000"/>
    <n v="0"/>
    <n v="0"/>
    <n v="18"/>
    <n v="61210000000"/>
    <n v="8.3646798371819278E-2"/>
    <n v="0"/>
    <n v="8.3646798371819278E-2"/>
    <n v="4.5589626330411206E-2"/>
    <n v="0"/>
    <n v="2.856502849036088E-2"/>
    <n v="3600588235.2941175"/>
    <n v="4.9203999042246628E-3"/>
    <n v="2"/>
    <n v="0"/>
    <n v="0"/>
    <n v="0"/>
    <n v="0"/>
    <n v="0"/>
    <n v="0"/>
    <n v="0"/>
    <n v="0"/>
    <n v="0"/>
    <n v="0"/>
    <n v="15152336000"/>
    <n v="21559003000"/>
    <n v="6406667000"/>
    <n v="36711339000"/>
    <n v="277207598000"/>
    <n v="314145207000"/>
    <n v="36937609000"/>
    <n v="591352805000"/>
    <n v="5.4660608545080355E-2"/>
    <n v="6.8627508934108933E-2"/>
    <n v="0.11094650654847847"/>
    <n v="0.1518379701207461"/>
    <n v="6.208026526567334E-2"/>
    <n v="5.016804396818339E-2"/>
    <s v="na"/>
    <s v="na"/>
    <s v="na"/>
    <s v="na"/>
    <s v="na"/>
    <s v="na"/>
    <s v="na"/>
    <s v="na"/>
    <n v="0"/>
    <n v="0"/>
    <n v="0"/>
    <n v="0"/>
    <n v="0"/>
    <n v="0"/>
  </r>
  <r>
    <n v="146"/>
    <s v="PAK"/>
    <s v="Pakistan"/>
    <s v="South Asia"/>
    <x v="2"/>
    <n v="4"/>
    <n v="1"/>
    <x v="0"/>
    <n v="2013"/>
    <n v="0"/>
    <s v="na"/>
    <n v="278221906022.84106"/>
    <n v="29"/>
    <n v="12980000000"/>
    <n v="70"/>
    <n v="51990000000"/>
    <n v="99"/>
    <n v="64970000000"/>
    <n v="4.6653407654156417E-2"/>
    <n v="0.18686522834665578"/>
    <n v="0.23351863600081219"/>
    <n v="9.6675927098307055E-3"/>
    <n v="6.5384712126166464E-2"/>
    <n v="3.0319717383086853E-2"/>
    <n v="3821764705.8823528"/>
    <n v="1.3736390352988952E-2"/>
    <n v="1"/>
    <n v="7"/>
    <n v="1511810000"/>
    <n v="4"/>
    <n v="996000000"/>
    <n v="0"/>
    <n v="0"/>
    <n v="11"/>
    <n v="2507810000"/>
    <n v="9.0137043335261936E-3"/>
    <n v="6.2915091056925665E-2"/>
    <n v="12423997000"/>
    <n v="2042893000"/>
    <n v="-10381104000"/>
    <n v="14466890000"/>
    <n v="50134812000"/>
    <n v="23818817000"/>
    <n v="-26315995000"/>
    <n v="73953629000"/>
    <n v="0.24781177996638343"/>
    <n v="8.5768029537319171E-2"/>
    <n v="2.0065403286185314E-2"/>
    <n v="1.1512513141597985E-2"/>
    <n v="0.19562109656579529"/>
    <n v="5.1997666922791903E-2"/>
    <n v="280"/>
    <n v="46113985133.683899"/>
    <n v="169"/>
    <n v="6115792498.4730616"/>
    <n v="85"/>
    <n v="36075387988.240799"/>
    <n v="26"/>
    <n v="3922804646.9700336"/>
    <n v="0.16574534260396484"/>
    <n v="2.1981707285015063E-2"/>
    <n v="0.12966408182567454"/>
    <n v="1.4099553493275201E-2"/>
    <n v="2712587360.8049355"/>
    <n v="9.7497260355273434E-3"/>
  </r>
  <r>
    <n v="26"/>
    <s v="BRA"/>
    <s v="Brazil"/>
    <s v="Latin America &amp; Caribbean"/>
    <x v="0"/>
    <n v="3"/>
    <n v="0"/>
    <x v="1"/>
    <s v="na"/>
    <n v="0"/>
    <s v="na"/>
    <n v="1877810514260.3599"/>
    <n v="83"/>
    <n v="70650000000"/>
    <n v="0"/>
    <n v="0"/>
    <n v="83"/>
    <n v="70650000000"/>
    <n v="3.76236044390389E-2"/>
    <n v="0"/>
    <n v="3.76236044390389E-2"/>
    <n v="5.2620602846651723E-2"/>
    <n v="0"/>
    <n v="3.2970417625289919E-2"/>
    <n v="4155882352.9411764"/>
    <n v="2.213153202296406E-3"/>
    <n v="2"/>
    <n v="0"/>
    <n v="0"/>
    <n v="0"/>
    <n v="0"/>
    <n v="0"/>
    <n v="0"/>
    <n v="0"/>
    <n v="0"/>
    <n v="0"/>
    <n v="0"/>
    <n v="35270401000"/>
    <n v="62871652000"/>
    <n v="27601251000"/>
    <n v="98142053000"/>
    <n v="177341225000"/>
    <n v="223998669000"/>
    <n v="46657444000"/>
    <n v="401339894000"/>
    <n v="0.198884387992696"/>
    <n v="0.2806786856398687"/>
    <n v="7.0977092701397362E-2"/>
    <n v="0.10826682200727923"/>
    <n v="0.24453600169635764"/>
    <n v="5.2264087486301361E-2"/>
    <n v="134"/>
    <n v="86545385555.985641"/>
    <n v="3"/>
    <n v="106800.932812163"/>
    <n v="121"/>
    <n v="84174056309.357697"/>
    <n v="10"/>
    <n v="2371222445.6951041"/>
    <n v="4.6088455091047628E-2"/>
    <n v="5.6875244866881685E-8"/>
    <n v="4.4825639046180622E-2"/>
    <n v="1.2627591696221232E-3"/>
    <n v="5090905032.7050381"/>
    <n v="2.7110855935910368E-3"/>
  </r>
  <r>
    <n v="204"/>
    <s v="GBR"/>
    <s v="United Kingdom"/>
    <s v="Europe &amp; Central Asia"/>
    <x v="1"/>
    <n v="3"/>
    <n v="0"/>
    <x v="1"/>
    <s v="na"/>
    <n v="0"/>
    <s v="na"/>
    <n v="2830813507746.8687"/>
    <n v="128"/>
    <n v="99510000000"/>
    <n v="0"/>
    <n v="0"/>
    <n v="128"/>
    <n v="99510000000"/>
    <n v="3.5152439299755589E-2"/>
    <n v="0"/>
    <n v="3.5152439299755589E-2"/>
    <n v="7.4115728085920915E-2"/>
    <n v="0"/>
    <n v="4.643858822211748E-2"/>
    <n v="5853529411.7647057"/>
    <n v="2.0677905470444465E-3"/>
    <n v="2"/>
    <n v="0"/>
    <n v="0"/>
    <n v="0"/>
    <n v="0"/>
    <n v="0"/>
    <n v="0"/>
    <n v="0"/>
    <n v="0"/>
    <n v="0"/>
    <n v="0"/>
    <n v="65529528000"/>
    <n v="30154261000"/>
    <n v="-35375267000"/>
    <n v="95683789000"/>
    <n v="692494170000"/>
    <n v="468322416000"/>
    <n v="-224171754000"/>
    <n v="1160816586000"/>
    <n v="9.462827391023379E-2"/>
    <n v="6.4387823366541572E-2"/>
    <n v="0.27715621621124603"/>
    <n v="0.22635750418271894"/>
    <n v="8.2427999525499548E-2"/>
    <n v="3.3800809816029759E-2"/>
    <s v="na"/>
    <s v="na"/>
    <s v="na"/>
    <s v="na"/>
    <s v="na"/>
    <s v="na"/>
    <s v="na"/>
    <s v="na"/>
    <n v="0"/>
    <n v="0"/>
    <n v="0"/>
    <n v="0"/>
    <n v="0"/>
    <n v="0"/>
  </r>
  <r>
    <n v="10"/>
    <s v="AUS"/>
    <s v="Australia"/>
    <s v="East Asia &amp; Pacific"/>
    <x v="1"/>
    <n v="2"/>
    <n v="1"/>
    <x v="1"/>
    <s v="na"/>
    <n v="0"/>
    <s v="na"/>
    <n v="1396567014733.2283"/>
    <n v="208"/>
    <n v="120810000000"/>
    <n v="0"/>
    <n v="0"/>
    <n v="208"/>
    <n v="120810000000"/>
    <n v="8.6504978798369436E-2"/>
    <n v="0"/>
    <n v="8.6504978798369436E-2"/>
    <n v="8.9980113657522925E-2"/>
    <n v="0"/>
    <n v="5.6378714130378982E-2"/>
    <n v="7106470588.2352943"/>
    <n v="5.0885281646099664E-3"/>
    <n v="1"/>
    <n v="0"/>
    <n v="0"/>
    <n v="0"/>
    <n v="0"/>
    <n v="0"/>
    <n v="0"/>
    <n v="0"/>
    <n v="0"/>
    <n v="0"/>
    <n v="0"/>
    <n v="54664941000"/>
    <n v="89293723000"/>
    <n v="34628782000"/>
    <n v="143958664000"/>
    <n v="214273705000"/>
    <n v="272579608000"/>
    <n v="58305903000"/>
    <n v="486853313000"/>
    <n v="0.2551173556270005"/>
    <n v="0.3275876858697368"/>
    <n v="8.5758540481813375E-2"/>
    <n v="0.13174778240378718"/>
    <n v="0.2956920701903491"/>
    <n v="0.103080383885122"/>
    <s v="na"/>
    <s v="na"/>
    <s v="na"/>
    <s v="na"/>
    <s v="na"/>
    <s v="na"/>
    <s v="na"/>
    <s v="na"/>
    <n v="0"/>
    <n v="0"/>
    <n v="0"/>
    <n v="0"/>
    <n v="0"/>
    <n v="0"/>
  </r>
  <r>
    <n v="205"/>
    <s v="USA"/>
    <s v="United States"/>
    <s v="North America"/>
    <x v="1"/>
    <n v="1"/>
    <n v="0"/>
    <x v="1"/>
    <s v="na"/>
    <n v="0"/>
    <s v="na"/>
    <n v="21433224697000"/>
    <n v="298"/>
    <n v="191370000000"/>
    <n v="0"/>
    <n v="0"/>
    <n v="298"/>
    <n v="191370000000"/>
    <n v="8.9286611186783285E-3"/>
    <n v="0"/>
    <n v="8.9286611186783285E-3"/>
    <n v="0.14253368388908336"/>
    <n v="0"/>
    <n v="8.930713122366217E-2"/>
    <n v="11257058823.529411"/>
    <n v="5.2521535992225464E-4"/>
    <n v="0"/>
    <s v="na"/>
    <s v="na"/>
    <s v="na"/>
    <s v="na"/>
    <s v="na"/>
    <s v="na"/>
    <n v="0"/>
    <s v="na"/>
    <s v="na"/>
    <s v="na"/>
    <n v="470950852000"/>
    <n v="106448372000"/>
    <n v="-364502480000"/>
    <n v="577399224000"/>
    <n v="2563536173000"/>
    <n v="1642820352000"/>
    <n v="-920715821000"/>
    <n v="4206356525000"/>
    <n v="0.18371141275875416"/>
    <n v="6.479611228970214E-2"/>
    <n v="1.0260013969927548"/>
    <n v="0.79403569420280717"/>
    <n v="0.13726825592844868"/>
    <n v="2.6939447150984161E-2"/>
    <s v="na"/>
    <s v="na"/>
    <s v="na"/>
    <s v="na"/>
    <s v="na"/>
    <s v="na"/>
    <s v="na"/>
    <s v="na"/>
    <n v="0"/>
    <n v="0"/>
    <n v="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n v="2"/>
    <s v="ALB"/>
    <x v="0"/>
    <x v="0"/>
    <x v="0"/>
    <n v="1"/>
    <n v="0"/>
    <x v="0"/>
    <n v="2017"/>
    <n v="0"/>
    <s v="na"/>
    <n v="15286612572.689501"/>
    <n v="0"/>
    <x v="0"/>
    <n v="0"/>
    <x v="0"/>
    <n v="0"/>
    <n v="0"/>
    <n v="0"/>
    <n v="0"/>
    <n v="0"/>
    <n v="0"/>
    <n v="0"/>
    <n v="0"/>
    <n v="0"/>
    <n v="0"/>
    <n v="0"/>
    <s v="na"/>
    <s v="na"/>
    <s v="na"/>
    <s v="na"/>
    <s v="na"/>
    <s v="na"/>
    <n v="0"/>
    <s v="na"/>
    <s v="na"/>
    <s v="na"/>
    <x v="0"/>
    <x v="0"/>
    <x v="0"/>
    <n v="600146000"/>
    <n v="5908003000"/>
    <n v="2719429000"/>
    <n v="-3188574000"/>
    <n v="8627432000"/>
    <n v="9.201417128596584E-2"/>
    <n v="2.0785981174724546E-2"/>
    <n v="2.364553851543169E-3"/>
    <n v="1.3144003793363317E-3"/>
    <n v="6.9562530310293955E-2"/>
    <n v="3.9259580704766386E-2"/>
    <n v="47"/>
    <n v="665510361.43426514"/>
    <n v="30"/>
    <n v="27696475.729804792"/>
    <n v="15"/>
    <n v="551351018.66711462"/>
    <n v="2"/>
    <n v="86462867.037345707"/>
    <n v="4.3535502602011479E-2"/>
    <n v="1.8118124992116498E-3"/>
    <n v="3.6067573247204422E-2"/>
    <n v="5.6561168555954036E-3"/>
    <n v="39147668.319662653"/>
    <n v="2.560911917765381E-3"/>
  </r>
  <r>
    <n v="4"/>
    <s v="AND"/>
    <x v="1"/>
    <x v="0"/>
    <x v="1"/>
    <n v="0"/>
    <n v="0"/>
    <x v="1"/>
    <s v="na"/>
    <n v="0"/>
    <s v="na"/>
    <n v="3155065487.5181909"/>
    <n v="0"/>
    <x v="0"/>
    <n v="0"/>
    <x v="0"/>
    <n v="0"/>
    <n v="0"/>
    <n v="0"/>
    <n v="0"/>
    <n v="0"/>
    <n v="0"/>
    <n v="0"/>
    <n v="0"/>
    <n v="0"/>
    <n v="0"/>
    <n v="0"/>
    <s v="na"/>
    <s v="na"/>
    <s v="na"/>
    <s v="na"/>
    <s v="na"/>
    <s v="na"/>
    <n v="0"/>
    <s v="na"/>
    <s v="na"/>
    <s v="na"/>
    <x v="1"/>
    <x v="1"/>
    <x v="1"/>
    <n v="2569000"/>
    <n v="1478950000"/>
    <n v="118238000"/>
    <n v="-1360712000"/>
    <n v="1597188000"/>
    <n v="1.6018120964197574E-3"/>
    <n v="1.6915035775300665E-3"/>
    <n v="5.9191860917128338E-4"/>
    <n v="5.7148788238990303E-5"/>
    <n v="1.6084518541336398E-3"/>
    <n v="8.1424617338792665E-4"/>
    <s v="na"/>
    <s v="na"/>
    <s v="na"/>
    <s v="na"/>
    <s v="na"/>
    <s v="na"/>
    <s v="na"/>
    <s v="na"/>
    <n v="0"/>
    <n v="0"/>
    <n v="0"/>
    <n v="0"/>
    <n v="0"/>
    <n v="0"/>
  </r>
  <r>
    <n v="8"/>
    <s v="ARM"/>
    <x v="2"/>
    <x v="0"/>
    <x v="0"/>
    <n v="0"/>
    <n v="0"/>
    <x v="0"/>
    <n v="2015"/>
    <n v="0"/>
    <s v="na"/>
    <n v="13672802157.832392"/>
    <n v="0"/>
    <x v="0"/>
    <n v="0"/>
    <x v="0"/>
    <n v="0"/>
    <n v="0"/>
    <n v="0"/>
    <n v="0"/>
    <n v="0"/>
    <n v="0"/>
    <n v="0"/>
    <n v="0"/>
    <n v="0"/>
    <n v="0"/>
    <n v="3"/>
    <n v="0"/>
    <n v="0"/>
    <n v="0"/>
    <n v="0"/>
    <n v="0"/>
    <n v="0"/>
    <n v="0"/>
    <n v="0"/>
    <n v="0"/>
    <n v="0"/>
    <x v="2"/>
    <x v="2"/>
    <x v="2"/>
    <n v="941706000"/>
    <n v="5071644000"/>
    <n v="2620069000"/>
    <n v="-2451575000"/>
    <n v="7691713000"/>
    <n v="0.14749142487130407"/>
    <n v="7.3922480667493864E-2"/>
    <n v="2.0298187651319414E-3"/>
    <n v="1.2663760250726764E-3"/>
    <n v="0.12243124515956329"/>
    <n v="6.8874396713225955E-2"/>
    <n v="40"/>
    <n v="155275327.59466651"/>
    <n v="31"/>
    <n v="155275327.59466651"/>
    <n v="8"/>
    <n v="0"/>
    <n v="1"/>
    <n v="0"/>
    <n v="1.1356510962584058E-2"/>
    <n v="1.1356510962584058E-2"/>
    <n v="0"/>
    <n v="0"/>
    <n v="9133842.7996862661"/>
    <n v="6.6803005662259161E-4"/>
  </r>
  <r>
    <n v="9"/>
    <s v="ABW"/>
    <x v="3"/>
    <x v="1"/>
    <x v="1"/>
    <n v="0"/>
    <n v="0"/>
    <x v="1"/>
    <s v="na"/>
    <n v="0"/>
    <s v="na"/>
    <s v="na"/>
    <n v="0"/>
    <x v="0"/>
    <n v="0"/>
    <x v="0"/>
    <n v="0"/>
    <n v="0"/>
    <n v="0"/>
    <n v="0"/>
    <n v="0"/>
    <n v="0"/>
    <n v="0"/>
    <n v="0"/>
    <n v="0"/>
    <n v="0"/>
    <n v="0"/>
    <s v="na"/>
    <s v="na"/>
    <s v="na"/>
    <s v="na"/>
    <s v="na"/>
    <s v="na"/>
    <n v="0"/>
    <s v="na"/>
    <s v="na"/>
    <s v="na"/>
    <x v="3"/>
    <x v="3"/>
    <x v="3"/>
    <n v="7583000"/>
    <n v="1320446000"/>
    <n v="83627000"/>
    <n v="-1236819000"/>
    <n v="1404073000"/>
    <n v="5.7003467010388912E-3"/>
    <n v="6.696401879775671E-4"/>
    <n v="5.2848071929800496E-4"/>
    <n v="4.0420014835011098E-5"/>
    <n v="5.4007163445205482E-3"/>
    <s v="na"/>
    <n v="0"/>
    <s v="na"/>
    <s v="na"/>
    <s v="na"/>
    <s v="na"/>
    <s v="na"/>
    <s v="na"/>
    <s v="na"/>
    <n v="0"/>
    <n v="0"/>
    <n v="0"/>
    <n v="0"/>
    <n v="0"/>
    <n v="0"/>
  </r>
  <r>
    <n v="19"/>
    <s v="BLZ"/>
    <x v="4"/>
    <x v="1"/>
    <x v="2"/>
    <n v="0"/>
    <n v="0"/>
    <x v="1"/>
    <s v="na"/>
    <n v="2"/>
    <s v="na"/>
    <n v="1982518540.6134"/>
    <n v="0"/>
    <x v="0"/>
    <n v="0"/>
    <x v="0"/>
    <n v="0"/>
    <n v="0"/>
    <n v="0"/>
    <n v="0"/>
    <n v="0"/>
    <n v="0"/>
    <n v="0"/>
    <n v="0"/>
    <n v="0"/>
    <n v="0"/>
    <n v="0"/>
    <s v="na"/>
    <s v="na"/>
    <s v="na"/>
    <s v="na"/>
    <s v="na"/>
    <s v="na"/>
    <n v="0"/>
    <s v="na"/>
    <s v="na"/>
    <s v="na"/>
    <x v="4"/>
    <x v="4"/>
    <x v="4"/>
    <n v="117451000"/>
    <n v="985894000"/>
    <n v="244906000"/>
    <n v="-740988000"/>
    <n v="1230800000"/>
    <n v="0.1184741970232094"/>
    <n v="2.6459131258523678E-3"/>
    <n v="3.9458332281031358E-4"/>
    <n v="1.1837210653477021E-4"/>
    <n v="9.542655183620409E-2"/>
    <n v="5.924332993307601E-2"/>
    <n v="0"/>
    <s v="na"/>
    <s v="na"/>
    <s v="na"/>
    <s v="na"/>
    <s v="na"/>
    <s v="na"/>
    <s v="na"/>
    <n v="0"/>
    <n v="0"/>
    <n v="0"/>
    <n v="0"/>
    <n v="0"/>
    <n v="0"/>
  </r>
  <r>
    <n v="21"/>
    <s v="BMU"/>
    <x v="5"/>
    <x v="2"/>
    <x v="1"/>
    <n v="0"/>
    <n v="0"/>
    <x v="1"/>
    <s v="na"/>
    <n v="0"/>
    <s v="na"/>
    <n v="7484113000"/>
    <n v="0"/>
    <x v="0"/>
    <n v="0"/>
    <x v="0"/>
    <n v="0"/>
    <n v="0"/>
    <n v="0"/>
    <n v="0"/>
    <n v="0"/>
    <n v="0"/>
    <n v="0"/>
    <n v="0"/>
    <n v="0"/>
    <n v="0"/>
    <n v="0"/>
    <s v="na"/>
    <s v="na"/>
    <s v="na"/>
    <s v="na"/>
    <s v="na"/>
    <s v="na"/>
    <n v="0"/>
    <s v="na"/>
    <s v="na"/>
    <s v="na"/>
    <x v="5"/>
    <x v="5"/>
    <x v="5"/>
    <n v="25172000"/>
    <n v="1119092000"/>
    <n v="26833000"/>
    <n v="-1092259000"/>
    <n v="1145925000"/>
    <n v="2.2422642642427968E-2"/>
    <n v="2.9441359519994039E-3"/>
    <n v="4.4789301881382733E-4"/>
    <n v="1.2969379005199909E-5"/>
    <n v="2.1966533586403998E-2"/>
    <n v="3.3633912261880599E-3"/>
    <s v="na"/>
    <s v="na"/>
    <s v="na"/>
    <s v="na"/>
    <s v="na"/>
    <s v="na"/>
    <s v="na"/>
    <s v="na"/>
    <n v="0"/>
    <n v="0"/>
    <n v="0"/>
    <n v="0"/>
    <n v="0"/>
    <n v="0"/>
  </r>
  <r>
    <n v="27"/>
    <s v="VGB"/>
    <x v="6"/>
    <x v="1"/>
    <x v="1"/>
    <n v="0"/>
    <n v="0"/>
    <x v="1"/>
    <s v="na"/>
    <n v="0"/>
    <s v="na"/>
    <s v="na"/>
    <n v="0"/>
    <x v="0"/>
    <n v="0"/>
    <x v="0"/>
    <n v="0"/>
    <n v="0"/>
    <n v="0"/>
    <n v="0"/>
    <n v="0"/>
    <n v="0"/>
    <n v="0"/>
    <n v="0"/>
    <n v="0"/>
    <n v="0"/>
    <n v="0"/>
    <s v="na"/>
    <s v="na"/>
    <s v="na"/>
    <s v="na"/>
    <s v="na"/>
    <s v="na"/>
    <n v="0"/>
    <s v="na"/>
    <s v="na"/>
    <s v="na"/>
    <x v="6"/>
    <x v="6"/>
    <x v="6"/>
    <n v="10898000"/>
    <n v="1822591000"/>
    <n v="411592000"/>
    <n v="-1410999000"/>
    <n v="2234183000"/>
    <n v="5.7078082795317215E-3"/>
    <n v="1.2026472817741841E-3"/>
    <n v="7.2945368660745711E-4"/>
    <n v="1.9893760084628036E-4"/>
    <n v="4.8778457270510066E-3"/>
    <s v="na"/>
    <n v="0"/>
    <s v="na"/>
    <s v="na"/>
    <s v="na"/>
    <s v="na"/>
    <s v="na"/>
    <s v="na"/>
    <s v="na"/>
    <n v="0"/>
    <n v="0"/>
    <n v="0"/>
    <n v="0"/>
    <n v="0"/>
    <n v="0"/>
  </r>
  <r>
    <n v="30"/>
    <s v="BFA"/>
    <x v="7"/>
    <x v="3"/>
    <x v="3"/>
    <n v="0"/>
    <n v="0"/>
    <x v="1"/>
    <s v="na"/>
    <n v="1"/>
    <n v="2018"/>
    <n v="15990803569.996128"/>
    <n v="0"/>
    <x v="0"/>
    <n v="0"/>
    <x v="0"/>
    <n v="0"/>
    <n v="0"/>
    <n v="0"/>
    <n v="0"/>
    <n v="0"/>
    <n v="0"/>
    <n v="0"/>
    <n v="0"/>
    <n v="0"/>
    <n v="0"/>
    <n v="0"/>
    <s v="na"/>
    <s v="na"/>
    <s v="na"/>
    <s v="na"/>
    <s v="na"/>
    <s v="na"/>
    <n v="0"/>
    <s v="na"/>
    <s v="na"/>
    <s v="na"/>
    <x v="7"/>
    <x v="7"/>
    <x v="7"/>
    <n v="534496000"/>
    <n v="4259342000"/>
    <n v="3261124000"/>
    <n v="-998218000"/>
    <n v="7520466000"/>
    <n v="0.1222580858733579"/>
    <n v="4.2184841790744538E-3"/>
    <n v="1.7047119866289142E-3"/>
    <n v="1.5762215607257315E-3"/>
    <n v="7.1072191537066981E-2"/>
    <n v="3.3425212038930036E-2"/>
    <n v="0"/>
    <s v="na"/>
    <s v="na"/>
    <s v="na"/>
    <s v="na"/>
    <s v="na"/>
    <s v="na"/>
    <s v="na"/>
    <n v="0"/>
    <n v="0"/>
    <n v="0"/>
    <n v="0"/>
    <n v="0"/>
    <n v="0"/>
  </r>
  <r>
    <n v="31"/>
    <s v="BDI"/>
    <x v="8"/>
    <x v="3"/>
    <x v="3"/>
    <n v="0"/>
    <n v="0"/>
    <x v="0"/>
    <n v="2018"/>
    <n v="0"/>
    <s v="na"/>
    <n v="3012308945.6267095"/>
    <n v="0"/>
    <x v="0"/>
    <n v="0"/>
    <x v="0"/>
    <n v="0"/>
    <n v="0"/>
    <n v="0"/>
    <n v="0"/>
    <n v="0"/>
    <n v="0"/>
    <n v="0"/>
    <n v="0"/>
    <n v="0"/>
    <n v="0"/>
    <n v="0"/>
    <s v="na"/>
    <s v="na"/>
    <s v="na"/>
    <s v="na"/>
    <s v="na"/>
    <s v="na"/>
    <n v="0"/>
    <s v="na"/>
    <s v="na"/>
    <s v="na"/>
    <x v="8"/>
    <x v="8"/>
    <x v="8"/>
    <n v="141823000"/>
    <n v="887345000"/>
    <n v="180772000"/>
    <n v="-706573000"/>
    <n v="1068117000"/>
    <n v="0.1535738636043478"/>
    <n v="3.0701657336313144E-2"/>
    <n v="3.5514115977895976E-4"/>
    <n v="8.7373777867849226E-5"/>
    <n v="0.13277852519901845"/>
    <n v="4.7081160186407706E-2"/>
    <n v="113"/>
    <n v="585558908.34845948"/>
    <n v="110"/>
    <n v="568921147.99284697"/>
    <n v="3"/>
    <n v="16637760.3556125"/>
    <n v="0"/>
    <n v="0"/>
    <n v="0.19438872934948384"/>
    <n v="0.1888654710596038"/>
    <n v="5.5232582898800311E-3"/>
    <n v="0"/>
    <n v="34444641.667556442"/>
    <n v="1.1434631138204933E-2"/>
  </r>
  <r>
    <n v="36"/>
    <s v="CYM"/>
    <x v="9"/>
    <x v="1"/>
    <x v="1"/>
    <n v="0"/>
    <n v="0"/>
    <x v="1"/>
    <s v="na"/>
    <n v="0"/>
    <s v="na"/>
    <n v="5935769350.7740307"/>
    <n v="0"/>
    <x v="0"/>
    <n v="0"/>
    <x v="0"/>
    <n v="0"/>
    <n v="0"/>
    <n v="0"/>
    <n v="0"/>
    <n v="0"/>
    <n v="0"/>
    <n v="0"/>
    <n v="0"/>
    <n v="0"/>
    <n v="0"/>
    <n v="0"/>
    <s v="na"/>
    <s v="na"/>
    <s v="na"/>
    <s v="na"/>
    <s v="na"/>
    <s v="na"/>
    <n v="0"/>
    <s v="na"/>
    <s v="na"/>
    <s v="na"/>
    <x v="9"/>
    <x v="9"/>
    <x v="9"/>
    <n v="38408000"/>
    <n v="4477846000"/>
    <n v="1535610000"/>
    <n v="-2942236000"/>
    <n v="6013456000"/>
    <n v="8.5590259245181717E-3"/>
    <n v="5.33989750001628E-5"/>
    <n v="1.7921636136469759E-3"/>
    <n v="7.4221697514907149E-4"/>
    <n v="6.3870094002517024E-3"/>
    <n v="6.4706018260280874E-3"/>
    <n v="0"/>
    <s v="na"/>
    <s v="na"/>
    <s v="na"/>
    <s v="na"/>
    <s v="na"/>
    <s v="na"/>
    <s v="na"/>
    <n v="0"/>
    <n v="0"/>
    <n v="0"/>
    <n v="0"/>
    <n v="0"/>
    <n v="0"/>
  </r>
  <r>
    <n v="37"/>
    <s v="CAF"/>
    <x v="10"/>
    <x v="3"/>
    <x v="3"/>
    <n v="0"/>
    <n v="0"/>
    <x v="1"/>
    <s v="na"/>
    <n v="0"/>
    <s v="na"/>
    <n v="2220307318.7488565"/>
    <n v="0"/>
    <x v="0"/>
    <n v="0"/>
    <x v="0"/>
    <n v="0"/>
    <n v="0"/>
    <n v="0"/>
    <n v="0"/>
    <n v="0"/>
    <n v="0"/>
    <n v="0"/>
    <n v="0"/>
    <n v="0"/>
    <n v="0"/>
    <n v="0"/>
    <s v="na"/>
    <s v="na"/>
    <s v="na"/>
    <s v="na"/>
    <s v="na"/>
    <s v="na"/>
    <n v="0"/>
    <s v="na"/>
    <s v="na"/>
    <s v="na"/>
    <x v="10"/>
    <x v="10"/>
    <x v="10"/>
    <n v="110600000"/>
    <n v="567832000"/>
    <n v="125191000"/>
    <n v="-442641000"/>
    <n v="693023000"/>
    <n v="0.18166993054283662"/>
    <n v="5.9445167783626615E-2"/>
    <n v="2.2726280650660821E-4"/>
    <n v="6.0509429696268848E-5"/>
    <n v="0.15959066293615073"/>
    <n v="4.9812924123640287E-2"/>
    <n v="107"/>
    <n v="474603128.61500078"/>
    <n v="101"/>
    <n v="287310403.61804402"/>
    <n v="1"/>
    <n v="119460798.289351"/>
    <n v="5"/>
    <n v="67831926.707605794"/>
    <n v="0.21375560248229047"/>
    <n v="0.12940118748063376"/>
    <n v="5.3803722250786064E-2"/>
    <n v="3.0550692750870675E-2"/>
    <n v="27917831.095000047"/>
    <n v="1.2573858969546499E-2"/>
  </r>
  <r>
    <n v="40"/>
    <s v="CHN"/>
    <x v="11"/>
    <x v="4"/>
    <x v="0"/>
    <n v="0"/>
    <s v="na"/>
    <x v="0"/>
    <n v="2013"/>
    <n v="0"/>
    <s v="na"/>
    <s v="na"/>
    <n v="0"/>
    <x v="0"/>
    <n v="0"/>
    <x v="0"/>
    <n v="0"/>
    <n v="0"/>
    <n v="0"/>
    <n v="0"/>
    <n v="0"/>
    <n v="0"/>
    <n v="0"/>
    <n v="0"/>
    <n v="0"/>
    <n v="0"/>
    <n v="1"/>
    <n v="7"/>
    <n v="1610000000"/>
    <n v="4"/>
    <n v="1500000000"/>
    <n v="0"/>
    <n v="0"/>
    <n v="11"/>
    <n v="3110000000"/>
    <s v="na"/>
    <n v="7.8022630576893306E-2"/>
    <x v="11"/>
    <x v="11"/>
    <x v="11"/>
    <s v="na"/>
    <n v="2068950255000"/>
    <n v="2498569866000"/>
    <n v="429619611000"/>
    <n v="4567520121000"/>
    <s v="na"/>
    <s v="na"/>
    <s v="na"/>
    <s v="na"/>
    <s v="na"/>
    <s v="na"/>
    <s v="na"/>
    <s v="na"/>
    <s v="na"/>
    <s v="na"/>
    <s v="na"/>
    <s v="na"/>
    <s v="na"/>
    <s v="na"/>
    <n v="0"/>
    <n v="0"/>
    <n v="0"/>
    <n v="0"/>
    <n v="0"/>
    <n v="0"/>
  </r>
  <r>
    <n v="42"/>
    <s v="COM"/>
    <x v="12"/>
    <x v="3"/>
    <x v="2"/>
    <n v="0"/>
    <n v="0"/>
    <x v="0"/>
    <s v="na"/>
    <n v="0"/>
    <s v="na"/>
    <n v="1165839899.8026922"/>
    <n v="0"/>
    <x v="0"/>
    <n v="0"/>
    <x v="0"/>
    <n v="0"/>
    <n v="0"/>
    <n v="0"/>
    <n v="0"/>
    <n v="0"/>
    <n v="0"/>
    <n v="0"/>
    <n v="0"/>
    <n v="0"/>
    <n v="0"/>
    <n v="0"/>
    <s v="na"/>
    <s v="na"/>
    <s v="na"/>
    <s v="na"/>
    <s v="na"/>
    <s v="na"/>
    <n v="0"/>
    <s v="na"/>
    <s v="na"/>
    <s v="na"/>
    <x v="12"/>
    <x v="12"/>
    <x v="12"/>
    <n v="19773000"/>
    <n v="203688000"/>
    <n v="49638000"/>
    <n v="-154050000"/>
    <n v="253326000"/>
    <n v="9.7006205569302076E-2"/>
    <n v="2.8204198396389861E-4"/>
    <n v="8.1521834859109749E-5"/>
    <n v="2.3991876982078528E-5"/>
    <n v="7.80535752350726E-2"/>
    <n v="1.6960304758266036E-2"/>
    <n v="68"/>
    <n v="348572569.68054128"/>
    <n v="64"/>
    <n v="201306498.51118547"/>
    <n v="2"/>
    <n v="77587.527207982697"/>
    <n v="2"/>
    <n v="147188483.64214787"/>
    <n v="0.29898836859120537"/>
    <n v="0.17267079171441529"/>
    <n v="6.655075642986115E-5"/>
    <n v="0.12625102612036027"/>
    <n v="20504268.804737721"/>
    <n v="1.7587551093600315E-2"/>
  </r>
  <r>
    <n v="45"/>
    <s v="COK"/>
    <x v="13"/>
    <x v="4"/>
    <x v="0"/>
    <n v="0"/>
    <n v="0"/>
    <x v="0"/>
    <n v="2018"/>
    <n v="0"/>
    <s v="na"/>
    <s v="na"/>
    <n v="0"/>
    <x v="0"/>
    <n v="0"/>
    <x v="0"/>
    <n v="0"/>
    <n v="0"/>
    <n v="0"/>
    <n v="0"/>
    <n v="0"/>
    <n v="0"/>
    <n v="0"/>
    <n v="0"/>
    <n v="0"/>
    <n v="0"/>
    <n v="1"/>
    <n v="1"/>
    <n v="20000000"/>
    <n v="0"/>
    <n v="0"/>
    <n v="0"/>
    <n v="0"/>
    <n v="1"/>
    <n v="20000000"/>
    <s v="na"/>
    <n v="5.0175325129834928E-4"/>
    <x v="13"/>
    <x v="13"/>
    <x v="13"/>
    <n v="43965000"/>
    <n v="198303000"/>
    <n v="32222000"/>
    <n v="-166081000"/>
    <n v="230525000"/>
    <n v="0.21532200723135808"/>
    <n v="3.9289926137421639E-2"/>
    <n v="7.9366601950365474E-5"/>
    <n v="1.5574081552772761E-5"/>
    <n v="0.19071684199110725"/>
    <s v="na"/>
    <n v="34"/>
    <n v="131478490.98164041"/>
    <n v="31"/>
    <n v="129493135.9661479"/>
    <n v="2"/>
    <n v="0"/>
    <n v="1"/>
    <n v="1985355.0154925101"/>
    <n v="0"/>
    <n v="0"/>
    <n v="0"/>
    <n v="0"/>
    <n v="7734028.8812729651"/>
    <n v="0"/>
  </r>
  <r>
    <n v="50"/>
    <s v="CUW"/>
    <x v="14"/>
    <x v="1"/>
    <x v="1"/>
    <n v="0"/>
    <n v="0"/>
    <x v="1"/>
    <s v="na"/>
    <n v="0"/>
    <s v="na"/>
    <n v="3101787709.4972067"/>
    <n v="0"/>
    <x v="0"/>
    <n v="0"/>
    <x v="0"/>
    <n v="0"/>
    <n v="0"/>
    <n v="0"/>
    <n v="0"/>
    <n v="0"/>
    <n v="0"/>
    <n v="0"/>
    <n v="0"/>
    <n v="0"/>
    <n v="0"/>
    <n v="0"/>
    <s v="na"/>
    <s v="na"/>
    <s v="na"/>
    <s v="na"/>
    <s v="na"/>
    <s v="na"/>
    <n v="0"/>
    <s v="na"/>
    <s v="na"/>
    <s v="na"/>
    <x v="14"/>
    <x v="14"/>
    <x v="14"/>
    <n v="37712000"/>
    <n v="1201848000"/>
    <n v="96336000"/>
    <n v="-1105512000"/>
    <n v="1298184000"/>
    <n v="3.1367527341227844E-2"/>
    <n v="1.349443614017605E-4"/>
    <n v="4.8101436599972189E-4"/>
    <n v="4.6562743481717983E-5"/>
    <n v="2.9049811120765625E-2"/>
    <n v="1.2158149922553221E-2"/>
    <n v="2"/>
    <n v="0"/>
    <n v="0"/>
    <n v="0"/>
    <n v="2"/>
    <n v="0"/>
    <n v="0"/>
    <n v="0"/>
    <n v="0"/>
    <n v="0"/>
    <n v="0"/>
    <n v="0"/>
    <n v="0"/>
    <n v="0"/>
  </r>
  <r>
    <n v="55"/>
    <s v="DMA"/>
    <x v="15"/>
    <x v="1"/>
    <x v="0"/>
    <n v="0"/>
    <n v="0"/>
    <x v="0"/>
    <s v="na"/>
    <n v="1"/>
    <n v="2004"/>
    <n v="574607407.4074074"/>
    <n v="0"/>
    <x v="0"/>
    <n v="0"/>
    <x v="0"/>
    <n v="0"/>
    <n v="0"/>
    <n v="0"/>
    <n v="0"/>
    <n v="0"/>
    <n v="0"/>
    <n v="0"/>
    <n v="0"/>
    <n v="0"/>
    <n v="0"/>
    <n v="0"/>
    <s v="na"/>
    <s v="na"/>
    <s v="na"/>
    <s v="na"/>
    <s v="na"/>
    <s v="na"/>
    <n v="0"/>
    <s v="na"/>
    <s v="na"/>
    <s v="na"/>
    <x v="15"/>
    <x v="15"/>
    <x v="15"/>
    <n v="34373000"/>
    <n v="503996000"/>
    <n v="59490000"/>
    <n v="-444506000"/>
    <n v="563486000"/>
    <n v="6.7254502019857304E-2"/>
    <n v="8.0181543116490169E-3"/>
    <n v="2.017137911003686E-4"/>
    <n v="2.8753712108945799E-5"/>
    <n v="6.1000628232112247E-2"/>
    <n v="5.9819973701851187E-2"/>
    <n v="83"/>
    <n v="573892308.24714231"/>
    <n v="64"/>
    <n v="559674140.21692443"/>
    <n v="5"/>
    <n v="0"/>
    <n v="14"/>
    <n v="14218168.030217908"/>
    <n v="0.99875549957928389"/>
    <n v="0.9740113562791316"/>
    <n v="0"/>
    <n v="2.4744143300152344E-2"/>
    <n v="33758371.073361315"/>
    <n v="5.8750323504663762E-2"/>
  </r>
  <r>
    <n v="56"/>
    <s v="DOM"/>
    <x v="16"/>
    <x v="1"/>
    <x v="0"/>
    <n v="0"/>
    <n v="0"/>
    <x v="0"/>
    <n v="2018"/>
    <n v="1"/>
    <n v="2018"/>
    <n v="88941299733.50177"/>
    <n v="0"/>
    <x v="0"/>
    <n v="0"/>
    <x v="0"/>
    <n v="0"/>
    <n v="0"/>
    <n v="0"/>
    <n v="0"/>
    <n v="0"/>
    <n v="0"/>
    <n v="0"/>
    <n v="0"/>
    <n v="0"/>
    <n v="0"/>
    <n v="0"/>
    <s v="na"/>
    <s v="na"/>
    <s v="na"/>
    <s v="na"/>
    <s v="na"/>
    <s v="na"/>
    <n v="0"/>
    <s v="na"/>
    <s v="na"/>
    <s v="na"/>
    <x v="16"/>
    <x v="16"/>
    <x v="16"/>
    <n v="3757175000"/>
    <n v="22202313000"/>
    <n v="10078188000"/>
    <n v="-12124125000"/>
    <n v="32280501000"/>
    <n v="0.15544736262388517"/>
    <n v="3.0351090890545007E-2"/>
    <n v="8.8860084731366886E-3"/>
    <n v="4.8711601333305135E-3"/>
    <n v="0.11639147112369787"/>
    <n v="4.2243311164304631E-2"/>
    <n v="5"/>
    <n v="353953921.70811945"/>
    <n v="3"/>
    <n v="3953921.7081194799"/>
    <n v="1"/>
    <n v="0"/>
    <n v="1"/>
    <n v="350000000"/>
    <n v="3.9796351387790052E-3"/>
    <n v="4.4455407330079131E-5"/>
    <n v="0"/>
    <n v="3.9351797314489271E-3"/>
    <n v="20820818.924007028"/>
    <n v="2.3409618463405917E-4"/>
  </r>
  <r>
    <n v="59"/>
    <s v="SLV"/>
    <x v="17"/>
    <x v="1"/>
    <x v="2"/>
    <n v="0"/>
    <n v="0"/>
    <x v="0"/>
    <n v="2018"/>
    <n v="1"/>
    <n v="2018"/>
    <n v="26896660000"/>
    <n v="0"/>
    <x v="0"/>
    <n v="0"/>
    <x v="0"/>
    <n v="0"/>
    <n v="0"/>
    <n v="0"/>
    <n v="0"/>
    <n v="0"/>
    <n v="0"/>
    <n v="0"/>
    <n v="0"/>
    <n v="0"/>
    <n v="0"/>
    <n v="0"/>
    <s v="na"/>
    <s v="na"/>
    <s v="na"/>
    <s v="na"/>
    <s v="na"/>
    <s v="na"/>
    <n v="0"/>
    <s v="na"/>
    <s v="na"/>
    <s v="na"/>
    <x v="17"/>
    <x v="17"/>
    <x v="17"/>
    <n v="1013221000"/>
    <n v="11337642000"/>
    <n v="4777618000"/>
    <n v="-6560024000"/>
    <n v="16115260000"/>
    <n v="8.4805553041805343E-2"/>
    <n v="1.0826734159156299E-2"/>
    <n v="4.5376525804942209E-3"/>
    <n v="2.309199067717556E-3"/>
    <n v="6.2873388328826219E-2"/>
    <n v="3.7670885530024921E-2"/>
    <n v="1"/>
    <n v="19663044.242341101"/>
    <n v="0"/>
    <n v="0"/>
    <n v="0"/>
    <n v="0"/>
    <n v="1"/>
    <n v="19663044.242341101"/>
    <n v="7.3105895833687528E-4"/>
    <n v="0"/>
    <n v="0"/>
    <n v="7.3105895833687528E-4"/>
    <n v="1156649.6613141824"/>
    <n v="4.3003468137463258E-5"/>
  </r>
  <r>
    <n v="62"/>
    <s v="EST"/>
    <x v="18"/>
    <x v="0"/>
    <x v="1"/>
    <n v="0"/>
    <n v="0"/>
    <x v="0"/>
    <n v="2017"/>
    <n v="0"/>
    <s v="na"/>
    <n v="31045591753.490147"/>
    <n v="0"/>
    <x v="0"/>
    <n v="0"/>
    <x v="0"/>
    <n v="0"/>
    <n v="0"/>
    <n v="0"/>
    <n v="0"/>
    <n v="0"/>
    <n v="0"/>
    <n v="0"/>
    <n v="0"/>
    <n v="0"/>
    <n v="0"/>
    <n v="0"/>
    <s v="na"/>
    <s v="na"/>
    <s v="na"/>
    <s v="na"/>
    <s v="na"/>
    <s v="na"/>
    <n v="0"/>
    <s v="na"/>
    <s v="na"/>
    <s v="na"/>
    <x v="18"/>
    <x v="18"/>
    <x v="18"/>
    <n v="1703232000"/>
    <n v="18677042000"/>
    <n v="16817428000"/>
    <n v="-1859614000"/>
    <n v="35494470000"/>
    <n v="8.1045167644855115E-2"/>
    <n v="1.1270926802838104E-2"/>
    <n v="7.4750929538345747E-3"/>
    <n v="8.1284834951239546E-3"/>
    <n v="4.7985841174695662E-2"/>
    <n v="5.4862281689590363E-2"/>
    <s v="na"/>
    <s v="na"/>
    <s v="na"/>
    <s v="na"/>
    <s v="na"/>
    <s v="na"/>
    <s v="na"/>
    <s v="na"/>
    <n v="0"/>
    <n v="0"/>
    <n v="0"/>
    <n v="0"/>
    <n v="0"/>
    <n v="0"/>
  </r>
  <r>
    <n v="63"/>
    <s v="SWZ"/>
    <x v="19"/>
    <x v="3"/>
    <x v="2"/>
    <n v="0"/>
    <n v="0"/>
    <x v="1"/>
    <s v="na"/>
    <n v="2"/>
    <s v="na"/>
    <n v="4471598726.6435986"/>
    <n v="0"/>
    <x v="0"/>
    <n v="0"/>
    <x v="0"/>
    <n v="0"/>
    <n v="0"/>
    <n v="0"/>
    <n v="0"/>
    <n v="0"/>
    <n v="0"/>
    <n v="0"/>
    <n v="0"/>
    <n v="0"/>
    <n v="0"/>
    <n v="0"/>
    <s v="na"/>
    <s v="na"/>
    <s v="na"/>
    <s v="na"/>
    <s v="na"/>
    <s v="na"/>
    <n v="0"/>
    <s v="na"/>
    <s v="na"/>
    <s v="na"/>
    <x v="19"/>
    <x v="19"/>
    <x v="19"/>
    <n v="131458000"/>
    <n v="1841927000"/>
    <n v="2001762000"/>
    <n v="159835000"/>
    <n v="3843689000"/>
    <n v="7.1228664328173708E-2"/>
    <n v="1.2988557081211453E-4"/>
    <n v="7.3719251363131577E-4"/>
    <n v="9.675254371932689E-4"/>
    <n v="3.4200998051611357E-2"/>
    <n v="2.9398433991118193E-2"/>
    <n v="0"/>
    <s v="na"/>
    <s v="na"/>
    <s v="na"/>
    <s v="na"/>
    <s v="na"/>
    <s v="na"/>
    <s v="na"/>
    <n v="0"/>
    <n v="0"/>
    <n v="0"/>
    <n v="0"/>
    <n v="0"/>
    <n v="0"/>
  </r>
  <r>
    <n v="68"/>
    <s v="PYF"/>
    <x v="20"/>
    <x v="4"/>
    <x v="1"/>
    <n v="0"/>
    <n v="0"/>
    <x v="1"/>
    <s v="na"/>
    <n v="0"/>
    <s v="na"/>
    <n v="3447543137.9414983"/>
    <n v="0"/>
    <x v="0"/>
    <n v="0"/>
    <x v="0"/>
    <n v="0"/>
    <n v="0"/>
    <n v="0"/>
    <n v="0"/>
    <n v="0"/>
    <n v="0"/>
    <n v="0"/>
    <n v="0"/>
    <n v="0"/>
    <n v="0"/>
    <n v="0"/>
    <s v="na"/>
    <s v="na"/>
    <s v="na"/>
    <s v="na"/>
    <s v="na"/>
    <s v="na"/>
    <n v="0"/>
    <s v="na"/>
    <s v="na"/>
    <s v="na"/>
    <x v="20"/>
    <x v="20"/>
    <x v="20"/>
    <n v="106144000"/>
    <n v="1959833000"/>
    <n v="183564000"/>
    <n v="-1776269000"/>
    <n v="2143397000"/>
    <n v="5.0687482045664096E-2"/>
    <n v="3.7071539081737159E-2"/>
    <n v="7.8438190849452918E-4"/>
    <n v="8.8723254489267561E-5"/>
    <n v="4.9521390577667135E-2"/>
    <n v="3.0788302206242377E-2"/>
    <n v="2"/>
    <n v="4858309351.0989399"/>
    <n v="0"/>
    <n v="0"/>
    <n v="2"/>
    <n v="4858309351.0989399"/>
    <n v="0"/>
    <n v="0"/>
    <n v="1.4092091546676917"/>
    <n v="0"/>
    <n v="1.4092091546676917"/>
    <n v="0"/>
    <n v="285782903.00581998"/>
    <n v="8.2894656156923027E-2"/>
  </r>
  <r>
    <n v="70"/>
    <s v="GMB"/>
    <x v="21"/>
    <x v="3"/>
    <x v="3"/>
    <n v="0"/>
    <n v="0"/>
    <x v="0"/>
    <n v="2018"/>
    <n v="1"/>
    <n v="2013"/>
    <n v="1826073739.8252184"/>
    <n v="0"/>
    <x v="0"/>
    <n v="0"/>
    <x v="0"/>
    <n v="0"/>
    <n v="0"/>
    <n v="0"/>
    <n v="0"/>
    <n v="0"/>
    <n v="0"/>
    <n v="0"/>
    <n v="0"/>
    <n v="0"/>
    <n v="0"/>
    <n v="0"/>
    <s v="na"/>
    <s v="na"/>
    <s v="na"/>
    <s v="na"/>
    <s v="na"/>
    <s v="na"/>
    <n v="0"/>
    <s v="na"/>
    <s v="na"/>
    <s v="na"/>
    <x v="21"/>
    <x v="21"/>
    <x v="21"/>
    <n v="55666000"/>
    <n v="494032000"/>
    <n v="24602000"/>
    <n v="-469430000"/>
    <n v="518634000"/>
    <n v="0.10594253003854001"/>
    <n v="0.13523290789366718"/>
    <n v="1.9772590981852496E-4"/>
    <n v="1.1891054384002093E-5"/>
    <n v="0.1073319527836586"/>
    <n v="3.0483982539132311E-2"/>
    <n v="16"/>
    <n v="511411700.70763052"/>
    <n v="12"/>
    <n v="169333815.70763054"/>
    <n v="3"/>
    <n v="177077885"/>
    <n v="1"/>
    <n v="165000000"/>
    <n v="0.28006081548304834"/>
    <n v="9.2731094048720195E-2"/>
    <n v="9.6971924593225303E-2"/>
    <n v="9.0357796841102858E-2"/>
    <n v="30083041.218095914"/>
    <n v="1.6474165616649904E-2"/>
  </r>
  <r>
    <n v="75"/>
    <s v="GRL"/>
    <x v="22"/>
    <x v="0"/>
    <x v="1"/>
    <n v="0"/>
    <n v="0"/>
    <x v="1"/>
    <s v="na"/>
    <n v="0"/>
    <s v="na"/>
    <s v="na"/>
    <n v="0"/>
    <x v="0"/>
    <n v="0"/>
    <x v="0"/>
    <n v="0"/>
    <n v="0"/>
    <n v="0"/>
    <n v="0"/>
    <n v="0"/>
    <n v="0"/>
    <n v="0"/>
    <n v="0"/>
    <n v="0"/>
    <n v="0"/>
    <n v="0"/>
    <s v="na"/>
    <s v="na"/>
    <s v="na"/>
    <s v="na"/>
    <s v="na"/>
    <s v="na"/>
    <n v="0"/>
    <s v="na"/>
    <s v="na"/>
    <s v="na"/>
    <x v="22"/>
    <x v="22"/>
    <x v="22"/>
    <n v="274523000"/>
    <n v="1015021000"/>
    <n v="1294505000"/>
    <n v="279484000"/>
    <n v="2309526000"/>
    <n v="7.9702784474409885E-4"/>
    <n v="0.2114429839977443"/>
    <n v="4.0624079150724856E-4"/>
    <n v="6.2568203216659742E-4"/>
    <n v="0.11886551612755171"/>
    <s v="na"/>
    <s v="na"/>
    <s v="na"/>
    <s v="na"/>
    <s v="na"/>
    <s v="na"/>
    <s v="na"/>
    <s v="na"/>
    <s v="na"/>
    <n v="0"/>
    <n v="0"/>
    <n v="0"/>
    <n v="0"/>
    <n v="0"/>
    <n v="0"/>
  </r>
  <r>
    <n v="76"/>
    <s v="GRD"/>
    <x v="23"/>
    <x v="1"/>
    <x v="0"/>
    <n v="0"/>
    <n v="0"/>
    <x v="0"/>
    <n v="2018"/>
    <n v="1"/>
    <n v="2005"/>
    <n v="1211403703.7037036"/>
    <n v="0"/>
    <x v="0"/>
    <n v="0"/>
    <x v="0"/>
    <n v="0"/>
    <n v="0"/>
    <n v="0"/>
    <n v="0"/>
    <n v="0"/>
    <n v="0"/>
    <n v="0"/>
    <n v="0"/>
    <n v="0"/>
    <n v="0"/>
    <n v="0"/>
    <s v="na"/>
    <s v="na"/>
    <s v="na"/>
    <s v="na"/>
    <s v="na"/>
    <s v="na"/>
    <n v="0"/>
    <s v="na"/>
    <s v="na"/>
    <s v="na"/>
    <x v="23"/>
    <x v="23"/>
    <x v="23"/>
    <n v="15204000"/>
    <n v="479835000"/>
    <n v="34481000"/>
    <n v="-445354000"/>
    <n v="514316000"/>
    <n v="3.1650463180051477E-2"/>
    <n v="4.9302514428235843E-4"/>
    <n v="1.9204385938111686E-4"/>
    <n v="1.6665939607136665E-5"/>
    <n v="2.9561592483998166E-2"/>
    <n v="1.2550729334503286E-2"/>
    <n v="93"/>
    <n v="534861952.30882555"/>
    <n v="86"/>
    <n v="521107985.90035743"/>
    <n v="6"/>
    <n v="5096676.5237709163"/>
    <n v="1"/>
    <n v="8657289.8846972194"/>
    <n v="0.44152246742647161"/>
    <n v="0.43016872435435022"/>
    <n v="4.2072485895399813E-3"/>
    <n v="7.1464944825814234E-3"/>
    <n v="31462467.782872092"/>
    <n v="2.5971909848615977E-2"/>
  </r>
  <r>
    <n v="77"/>
    <s v="GUM"/>
    <x v="24"/>
    <x v="4"/>
    <x v="1"/>
    <n v="0"/>
    <n v="0"/>
    <x v="1"/>
    <s v="na"/>
    <n v="0"/>
    <s v="na"/>
    <n v="6311000000"/>
    <n v="0"/>
    <x v="0"/>
    <n v="0"/>
    <x v="0"/>
    <n v="0"/>
    <n v="0"/>
    <n v="0"/>
    <n v="0"/>
    <n v="0"/>
    <n v="0"/>
    <n v="0"/>
    <n v="0"/>
    <n v="0"/>
    <n v="0"/>
    <n v="0"/>
    <s v="na"/>
    <s v="na"/>
    <s v="na"/>
    <s v="na"/>
    <s v="na"/>
    <s v="na"/>
    <n v="0"/>
    <s v="na"/>
    <s v="na"/>
    <s v="na"/>
    <x v="11"/>
    <x v="11"/>
    <x v="11"/>
    <s v="na"/>
    <n v="0"/>
    <n v="717000"/>
    <n v="717000"/>
    <n v="717000"/>
    <s v="na"/>
    <s v="na"/>
    <s v="na"/>
    <s v="na"/>
    <s v="na"/>
    <s v="na"/>
    <n v="1"/>
    <n v="0"/>
    <n v="0"/>
    <n v="0"/>
    <n v="1"/>
    <n v="0"/>
    <n v="0"/>
    <n v="0"/>
    <n v="0"/>
    <n v="0"/>
    <n v="0"/>
    <n v="0"/>
    <n v="0"/>
    <n v="0"/>
  </r>
  <r>
    <n v="82"/>
    <s v="HTI"/>
    <x v="25"/>
    <x v="1"/>
    <x v="2"/>
    <n v="0"/>
    <n v="0"/>
    <x v="1"/>
    <s v="na"/>
    <n v="2"/>
    <s v="na"/>
    <n v="14332163266.397657"/>
    <n v="0"/>
    <x v="0"/>
    <n v="0"/>
    <x v="0"/>
    <n v="0"/>
    <n v="0"/>
    <n v="0"/>
    <n v="0"/>
    <n v="0"/>
    <n v="0"/>
    <n v="0"/>
    <n v="0"/>
    <n v="0"/>
    <n v="0"/>
    <n v="0"/>
    <s v="na"/>
    <s v="na"/>
    <s v="na"/>
    <s v="na"/>
    <s v="na"/>
    <s v="na"/>
    <n v="0"/>
    <s v="na"/>
    <s v="na"/>
    <s v="na"/>
    <x v="24"/>
    <x v="24"/>
    <x v="24"/>
    <n v="565556000"/>
    <n v="3831949000"/>
    <n v="1342010000"/>
    <n v="-2489939000"/>
    <n v="5173959000"/>
    <n v="0.14641844137278445"/>
    <n v="3.3442373752803631E-3"/>
    <n v="1.5336569339702425E-3"/>
    <n v="6.4864295154355939E-4"/>
    <n v="0.1093081719433803"/>
    <n v="3.946061662065832E-2"/>
    <n v="33"/>
    <n v="2036786080.495379"/>
    <n v="30"/>
    <n v="20273430.876614835"/>
    <n v="1"/>
    <n v="0"/>
    <n v="2"/>
    <n v="2016512649.6187642"/>
    <n v="0.14211295549993538"/>
    <n v="1.4145408826137728E-3"/>
    <n v="0"/>
    <n v="0.14069841461732163"/>
    <n v="119810945.91149288"/>
    <n v="8.3595856176432587E-3"/>
  </r>
  <r>
    <n v="84"/>
    <s v="HKG"/>
    <x v="26"/>
    <x v="4"/>
    <x v="1"/>
    <n v="0"/>
    <n v="1"/>
    <x v="1"/>
    <s v="na"/>
    <n v="0"/>
    <s v="na"/>
    <n v="363016373358.5166"/>
    <n v="0"/>
    <x v="0"/>
    <n v="0"/>
    <x v="0"/>
    <n v="0"/>
    <n v="0"/>
    <n v="0"/>
    <n v="0"/>
    <n v="0"/>
    <n v="0"/>
    <n v="0"/>
    <n v="0"/>
    <n v="0"/>
    <n v="0"/>
    <n v="1"/>
    <n v="0"/>
    <n v="0"/>
    <n v="0"/>
    <n v="0"/>
    <n v="0"/>
    <n v="0"/>
    <n v="0"/>
    <n v="0"/>
    <n v="0"/>
    <n v="0"/>
    <x v="25"/>
    <x v="25"/>
    <x v="25"/>
    <n v="560670855000"/>
    <n v="578590151000"/>
    <n v="535711019000"/>
    <n v="-42879132000"/>
    <n v="1114301170000"/>
    <n v="0.45732171476247613"/>
    <n v="0.55266553141405517"/>
    <n v="0.23156853001123964"/>
    <n v="0.2589289025704487"/>
    <n v="0.50315917284731915"/>
    <n v="1.5444781451945115"/>
    <s v="na"/>
    <s v="na"/>
    <s v="na"/>
    <s v="na"/>
    <s v="na"/>
    <s v="na"/>
    <s v="na"/>
    <s v="na"/>
    <n v="0"/>
    <n v="0"/>
    <n v="0"/>
    <n v="0"/>
    <n v="0"/>
    <n v="0"/>
  </r>
  <r>
    <n v="86"/>
    <s v="ISL"/>
    <x v="27"/>
    <x v="0"/>
    <x v="1"/>
    <n v="3"/>
    <n v="1"/>
    <x v="1"/>
    <s v="na"/>
    <n v="0"/>
    <s v="na"/>
    <n v="24857740445.040115"/>
    <n v="0"/>
    <x v="0"/>
    <n v="0"/>
    <x v="0"/>
    <n v="0"/>
    <n v="0"/>
    <n v="0"/>
    <n v="0"/>
    <n v="0"/>
    <n v="0"/>
    <n v="0"/>
    <n v="0"/>
    <n v="0"/>
    <n v="0"/>
    <n v="2"/>
    <n v="0"/>
    <n v="0"/>
    <n v="0"/>
    <n v="0"/>
    <n v="0"/>
    <n v="0"/>
    <n v="0"/>
    <n v="0"/>
    <n v="0"/>
    <n v="0"/>
    <x v="26"/>
    <x v="26"/>
    <x v="26"/>
    <n v="613179000"/>
    <n v="6560654000"/>
    <n v="5231459000"/>
    <n v="-1329195000"/>
    <n v="11792113000"/>
    <n v="7.3671618713622142E-2"/>
    <n v="2.4820035863800136E-2"/>
    <n v="2.6257636775645003E-3"/>
    <n v="2.5285571692007648E-3"/>
    <n v="5.1999077688621199E-2"/>
    <n v="2.4667527660276464E-2"/>
    <s v="na"/>
    <s v="na"/>
    <s v="na"/>
    <s v="na"/>
    <s v="na"/>
    <s v="na"/>
    <s v="na"/>
    <s v="na"/>
    <n v="0"/>
    <n v="0"/>
    <n v="0"/>
    <n v="0"/>
    <n v="0"/>
    <n v="0"/>
  </r>
  <r>
    <n v="99"/>
    <s v="KIR"/>
    <x v="28"/>
    <x v="4"/>
    <x v="2"/>
    <n v="0"/>
    <n v="0"/>
    <x v="0"/>
    <n v="2020"/>
    <n v="1"/>
    <n v="2019"/>
    <n v="194647201.94647205"/>
    <n v="0"/>
    <x v="0"/>
    <n v="0"/>
    <x v="0"/>
    <n v="0"/>
    <n v="0"/>
    <n v="0"/>
    <n v="0"/>
    <n v="0"/>
    <n v="0"/>
    <n v="0"/>
    <n v="0"/>
    <n v="0"/>
    <n v="0"/>
    <n v="0"/>
    <s v="na"/>
    <s v="na"/>
    <s v="na"/>
    <s v="na"/>
    <s v="na"/>
    <s v="na"/>
    <n v="0"/>
    <s v="na"/>
    <s v="na"/>
    <s v="na"/>
    <x v="27"/>
    <x v="27"/>
    <x v="27"/>
    <n v="22127000"/>
    <n v="104950000"/>
    <n v="98354000"/>
    <n v="-6596000"/>
    <n v="203304000"/>
    <n v="0.19254883277751311"/>
    <n v="1.9511153588059459E-2"/>
    <n v="4.2004028555749819E-5"/>
    <n v="4.7538117343473782E-5"/>
    <n v="0.10883701255263055"/>
    <n v="0.11367746249999998"/>
    <n v="1"/>
    <n v="11932058.166570701"/>
    <n v="1"/>
    <n v="11932058.166570701"/>
    <n v="0"/>
    <n v="0"/>
    <n v="0"/>
    <n v="0"/>
    <n v="6.1300948830756964E-2"/>
    <n v="6.1300948830756964E-2"/>
    <n v="0"/>
    <n v="0"/>
    <n v="701885.77450415888"/>
    <n v="3.6059381665151159E-3"/>
  </r>
  <r>
    <n v="102"/>
    <s v="XXK"/>
    <x v="29"/>
    <x v="0"/>
    <x v="0"/>
    <n v="0"/>
    <n v="0"/>
    <x v="1"/>
    <s v="na"/>
    <n v="0"/>
    <s v="na"/>
    <n v="7953156068.0698614"/>
    <n v="0"/>
    <x v="0"/>
    <n v="0"/>
    <x v="0"/>
    <n v="0"/>
    <n v="0"/>
    <n v="0"/>
    <n v="0"/>
    <n v="0"/>
    <n v="0"/>
    <n v="0"/>
    <n v="0"/>
    <n v="0"/>
    <n v="0"/>
    <n v="0"/>
    <s v="na"/>
    <s v="na"/>
    <s v="na"/>
    <s v="na"/>
    <s v="na"/>
    <s v="na"/>
    <n v="0"/>
    <s v="na"/>
    <s v="na"/>
    <s v="na"/>
    <x v="11"/>
    <x v="11"/>
    <x v="11"/>
    <s v="na"/>
    <s v="na"/>
    <s v="na"/>
    <s v="na"/>
    <s v="na"/>
    <s v="na"/>
    <s v="na"/>
    <s v="na"/>
    <s v="na"/>
    <s v="na"/>
    <s v="na"/>
    <n v="0"/>
    <s v="na"/>
    <s v="na"/>
    <s v="na"/>
    <s v="na"/>
    <s v="na"/>
    <s v="na"/>
    <s v="na"/>
    <n v="0"/>
    <n v="0"/>
    <n v="0"/>
    <n v="0"/>
    <n v="0"/>
    <n v="0"/>
  </r>
  <r>
    <n v="107"/>
    <s v="LBN"/>
    <x v="30"/>
    <x v="5"/>
    <x v="0"/>
    <n v="0"/>
    <n v="0"/>
    <x v="0"/>
    <n v="2017"/>
    <n v="0"/>
    <s v="na"/>
    <n v="51991634491.634491"/>
    <n v="0"/>
    <x v="0"/>
    <n v="0"/>
    <x v="0"/>
    <n v="0"/>
    <n v="0"/>
    <n v="0"/>
    <n v="0"/>
    <n v="0"/>
    <n v="0"/>
    <n v="0"/>
    <n v="0"/>
    <n v="0"/>
    <n v="0"/>
    <n v="3"/>
    <n v="0"/>
    <n v="0"/>
    <n v="0"/>
    <n v="0"/>
    <n v="0"/>
    <n v="0"/>
    <n v="0"/>
    <n v="0"/>
    <n v="0"/>
    <n v="0"/>
    <x v="28"/>
    <x v="28"/>
    <x v="28"/>
    <n v="1640099000"/>
    <n v="19239394000"/>
    <n v="3731350000"/>
    <n v="-15508044000"/>
    <n v="22970744000"/>
    <n v="8.4540396646588759E-2"/>
    <n v="3.6429174427486033E-3"/>
    <n v="7.7001625056819607E-3"/>
    <n v="1.8034991372955942E-3"/>
    <n v="7.1399472302682052E-2"/>
    <n v="3.1545440262392477E-2"/>
    <n v="71"/>
    <n v="171154932.98376152"/>
    <n v="68"/>
    <n v="170202739.3696748"/>
    <n v="3"/>
    <n v="952193.61408672202"/>
    <n v="0"/>
    <n v="0"/>
    <n v="3.2919706152208109E-3"/>
    <n v="3.2736562532393668E-3"/>
    <n v="1.8314361981443976E-5"/>
    <n v="0"/>
    <n v="10067937.234338913"/>
    <n v="1.9364533030710653E-4"/>
  </r>
  <r>
    <n v="111"/>
    <s v="LIE"/>
    <x v="31"/>
    <x v="0"/>
    <x v="1"/>
    <n v="0"/>
    <n v="0"/>
    <x v="1"/>
    <s v="na"/>
    <n v="0"/>
    <s v="na"/>
    <n v="6839145106.8616419"/>
    <n v="0"/>
    <x v="0"/>
    <n v="0"/>
    <x v="0"/>
    <n v="0"/>
    <n v="0"/>
    <n v="0"/>
    <n v="0"/>
    <n v="0"/>
    <n v="0"/>
    <n v="0"/>
    <n v="0"/>
    <n v="0"/>
    <n v="0"/>
    <n v="0"/>
    <s v="na"/>
    <s v="na"/>
    <s v="na"/>
    <s v="na"/>
    <s v="na"/>
    <s v="na"/>
    <n v="0"/>
    <s v="na"/>
    <s v="na"/>
    <s v="na"/>
    <x v="11"/>
    <x v="11"/>
    <x v="11"/>
    <s v="na"/>
    <s v="na"/>
    <s v="na"/>
    <s v="na"/>
    <s v="na"/>
    <s v="na"/>
    <s v="na"/>
    <s v="na"/>
    <s v="na"/>
    <s v="na"/>
    <s v="na"/>
    <s v="na"/>
    <s v="na"/>
    <s v="na"/>
    <s v="na"/>
    <s v="na"/>
    <s v="na"/>
    <s v="na"/>
    <s v="na"/>
    <n v="0"/>
    <n v="0"/>
    <n v="0"/>
    <n v="0"/>
    <n v="0"/>
    <n v="0"/>
  </r>
  <r>
    <n v="112"/>
    <s v="LTU"/>
    <x v="32"/>
    <x v="0"/>
    <x v="1"/>
    <n v="0"/>
    <n v="0"/>
    <x v="0"/>
    <n v="2017"/>
    <n v="0"/>
    <s v="na"/>
    <n v="54639938780.235207"/>
    <n v="0"/>
    <x v="0"/>
    <n v="0"/>
    <x v="0"/>
    <n v="0"/>
    <n v="0"/>
    <n v="0"/>
    <n v="0"/>
    <n v="0"/>
    <n v="0"/>
    <n v="0"/>
    <n v="0"/>
    <n v="0"/>
    <n v="0"/>
    <n v="0"/>
    <s v="na"/>
    <s v="na"/>
    <s v="na"/>
    <s v="na"/>
    <s v="na"/>
    <s v="na"/>
    <n v="0"/>
    <s v="na"/>
    <s v="na"/>
    <s v="na"/>
    <x v="29"/>
    <x v="29"/>
    <x v="29"/>
    <n v="1349104000"/>
    <n v="35759416000"/>
    <n v="33150772000"/>
    <n v="-2608644000"/>
    <n v="68910188000"/>
    <n v="2.9082242282703945E-2"/>
    <n v="9.3252730283324928E-3"/>
    <n v="1.4311953604582534E-2"/>
    <n v="1.6022991330934634E-2"/>
    <n v="1.957771469147639E-2"/>
    <n v="2.4690803652364424E-2"/>
    <s v="na"/>
    <s v="na"/>
    <s v="na"/>
    <s v="na"/>
    <s v="na"/>
    <s v="na"/>
    <s v="na"/>
    <s v="na"/>
    <n v="0"/>
    <n v="0"/>
    <n v="0"/>
    <n v="0"/>
    <n v="0"/>
    <n v="0"/>
  </r>
  <r>
    <n v="114"/>
    <s v="MAC"/>
    <x v="33"/>
    <x v="4"/>
    <x v="1"/>
    <n v="0"/>
    <n v="1"/>
    <x v="1"/>
    <s v="na"/>
    <n v="0"/>
    <s v="na"/>
    <n v="55153707948.702072"/>
    <n v="0"/>
    <x v="0"/>
    <n v="0"/>
    <x v="0"/>
    <n v="0"/>
    <n v="0"/>
    <n v="0"/>
    <n v="0"/>
    <n v="0"/>
    <n v="0"/>
    <n v="0"/>
    <n v="0"/>
    <n v="0"/>
    <n v="0"/>
    <n v="0"/>
    <s v="na"/>
    <s v="na"/>
    <s v="na"/>
    <s v="na"/>
    <s v="na"/>
    <s v="na"/>
    <n v="0"/>
    <s v="na"/>
    <s v="na"/>
    <s v="na"/>
    <x v="30"/>
    <x v="30"/>
    <x v="30"/>
    <n v="4088909000"/>
    <n v="12024019000"/>
    <n v="1023983000"/>
    <n v="-11000036000"/>
    <n v="13048002000"/>
    <n v="0.33122045133162215"/>
    <n v="0.1038181297931704"/>
    <n v="4.8123605281646343E-3"/>
    <n v="4.9492876763245332E-4"/>
    <n v="0.31337433884513505"/>
    <n v="7.41366111559182E-2"/>
    <s v="na"/>
    <s v="na"/>
    <s v="na"/>
    <s v="na"/>
    <s v="na"/>
    <s v="na"/>
    <s v="na"/>
    <s v="na"/>
    <n v="0"/>
    <n v="0"/>
    <n v="0"/>
    <n v="0"/>
    <n v="0"/>
    <n v="0"/>
  </r>
  <r>
    <n v="121"/>
    <s v="MHL"/>
    <x v="34"/>
    <x v="4"/>
    <x v="0"/>
    <n v="0"/>
    <n v="0"/>
    <x v="1"/>
    <s v="na"/>
    <n v="2"/>
    <s v="na"/>
    <n v="239462200"/>
    <n v="0"/>
    <x v="0"/>
    <n v="0"/>
    <x v="0"/>
    <n v="0"/>
    <n v="0"/>
    <n v="0"/>
    <n v="0"/>
    <n v="0"/>
    <n v="0"/>
    <n v="0"/>
    <n v="0"/>
    <n v="0"/>
    <n v="0"/>
    <n v="0"/>
    <s v="na"/>
    <s v="na"/>
    <s v="na"/>
    <s v="na"/>
    <s v="na"/>
    <s v="na"/>
    <n v="0"/>
    <s v="na"/>
    <s v="na"/>
    <s v="na"/>
    <x v="31"/>
    <x v="31"/>
    <x v="31"/>
    <n v="2429784000"/>
    <n v="11958628000"/>
    <n v="1255808000"/>
    <n v="-10702820000"/>
    <n v="13214436000"/>
    <n v="0.19941376218074514"/>
    <n v="3.5888447915604936E-2"/>
    <n v="4.7861891567373928E-3"/>
    <n v="6.0697834419416719E-4"/>
    <n v="0.18387345475811454"/>
    <n v="10.146837371409767"/>
    <n v="41"/>
    <n v="3430241540.1422386"/>
    <n v="0"/>
    <n v="0"/>
    <n v="41"/>
    <n v="3430241540.1422386"/>
    <n v="0"/>
    <n v="0"/>
    <n v="14.324772511662545"/>
    <n v="0"/>
    <n v="14.324772511662545"/>
    <n v="0"/>
    <n v="201778914.12601402"/>
    <n v="0.84263367715662019"/>
  </r>
  <r>
    <n v="125"/>
    <s v="FSM"/>
    <x v="35"/>
    <x v="4"/>
    <x v="2"/>
    <n v="0"/>
    <n v="0"/>
    <x v="0"/>
    <n v="2018"/>
    <n v="0"/>
    <s v="na"/>
    <n v="408060600"/>
    <n v="0"/>
    <x v="0"/>
    <n v="0"/>
    <x v="0"/>
    <n v="0"/>
    <n v="0"/>
    <n v="0"/>
    <n v="0"/>
    <n v="0"/>
    <n v="0"/>
    <n v="0"/>
    <n v="0"/>
    <n v="0"/>
    <n v="0"/>
    <n v="0"/>
    <s v="na"/>
    <s v="na"/>
    <s v="na"/>
    <s v="na"/>
    <s v="na"/>
    <s v="na"/>
    <n v="0"/>
    <s v="na"/>
    <s v="na"/>
    <s v="na"/>
    <x v="32"/>
    <x v="32"/>
    <x v="32"/>
    <n v="31314000"/>
    <n v="129962000"/>
    <n v="143091000"/>
    <n v="13129000"/>
    <n v="273053000"/>
    <n v="0.14418830119573414"/>
    <n v="8.7881138576150847E-2"/>
    <n v="5.2014555113505077E-5"/>
    <n v="6.9161160184588383E-5"/>
    <n v="0.1146810326200408"/>
    <n v="7.6738602060576297E-2"/>
    <n v="142"/>
    <n v="221465776.44672751"/>
    <n v="129"/>
    <n v="191438044.71543893"/>
    <n v="12"/>
    <n v="3437802.311718151"/>
    <n v="1"/>
    <n v="26589929.419570401"/>
    <n v="0.54272766458395516"/>
    <n v="0.46914121264204123"/>
    <n v="8.4247347372379267E-3"/>
    <n v="6.5161717204675978E-2"/>
    <n v="13027398.614513382"/>
    <n v="3.1925156740232656E-2"/>
  </r>
  <r>
    <n v="133"/>
    <s v="NRU"/>
    <x v="36"/>
    <x v="4"/>
    <x v="1"/>
    <n v="0"/>
    <n v="0"/>
    <x v="1"/>
    <s v="na"/>
    <n v="2"/>
    <s v="na"/>
    <n v="118223430.12444571"/>
    <n v="0"/>
    <x v="0"/>
    <n v="0"/>
    <x v="0"/>
    <n v="0"/>
    <n v="0"/>
    <n v="0"/>
    <n v="0"/>
    <n v="0"/>
    <n v="0"/>
    <n v="0"/>
    <n v="0"/>
    <n v="0"/>
    <n v="0"/>
    <n v="0"/>
    <s v="na"/>
    <s v="na"/>
    <s v="na"/>
    <s v="na"/>
    <s v="na"/>
    <s v="na"/>
    <n v="0"/>
    <s v="na"/>
    <s v="na"/>
    <s v="na"/>
    <x v="33"/>
    <x v="33"/>
    <x v="33"/>
    <n v="1245000"/>
    <n v="96779000"/>
    <n v="34450000"/>
    <n v="-62329000"/>
    <n v="131229000"/>
    <n v="1.2626706206925057E-2"/>
    <n v="6.6763425253991288E-4"/>
    <n v="3.8733757785582768E-5"/>
    <n v="1.665095616327421E-5"/>
    <n v="9.4872322428731452E-3"/>
    <n v="1.0530907441016335E-2"/>
    <n v="13"/>
    <n v="142252708.66030189"/>
    <n v="12"/>
    <n v="142252708.66030189"/>
    <n v="0"/>
    <n v="0"/>
    <n v="1"/>
    <n v="0"/>
    <n v="1.2032530989040178"/>
    <n v="1.2032530989040178"/>
    <n v="0"/>
    <n v="0"/>
    <n v="8367806.3917824645"/>
    <n v="7.0779594053177505E-2"/>
  </r>
  <r>
    <n v="136"/>
    <s v="NCL"/>
    <x v="37"/>
    <x v="4"/>
    <x v="1"/>
    <n v="0"/>
    <n v="0"/>
    <x v="1"/>
    <s v="na"/>
    <n v="0"/>
    <s v="na"/>
    <n v="2682347064.3641982"/>
    <n v="0"/>
    <x v="0"/>
    <n v="0"/>
    <x v="0"/>
    <n v="0"/>
    <n v="0"/>
    <n v="0"/>
    <n v="0"/>
    <n v="0"/>
    <n v="0"/>
    <n v="0"/>
    <n v="0"/>
    <n v="0"/>
    <n v="0"/>
    <n v="0"/>
    <s v="na"/>
    <s v="na"/>
    <s v="na"/>
    <s v="na"/>
    <s v="na"/>
    <s v="na"/>
    <n v="0"/>
    <s v="na"/>
    <s v="na"/>
    <s v="na"/>
    <x v="34"/>
    <x v="34"/>
    <x v="34"/>
    <n v="1196098000"/>
    <n v="2551690000"/>
    <n v="1811254000"/>
    <n v="-740436000"/>
    <n v="4362944000"/>
    <n v="6.0901990445547852E-2"/>
    <n v="0.5745715399386282"/>
    <n v="1.021260215582861E-3"/>
    <n v="8.754458912788118E-4"/>
    <n v="0.27414929002068328"/>
    <n v="0.44591470503221903"/>
    <n v="0"/>
    <s v="na"/>
    <s v="na"/>
    <s v="na"/>
    <s v="na"/>
    <s v="na"/>
    <s v="na"/>
    <s v="na"/>
    <n v="0"/>
    <n v="0"/>
    <n v="0"/>
    <n v="0"/>
    <n v="0"/>
    <n v="0"/>
  </r>
  <r>
    <n v="141"/>
    <s v="NIU"/>
    <x v="38"/>
    <x v="4"/>
    <x v="0"/>
    <n v="0"/>
    <n v="0"/>
    <x v="0"/>
    <n v="2018"/>
    <n v="0"/>
    <s v="na"/>
    <s v="na"/>
    <n v="0"/>
    <x v="0"/>
    <n v="0"/>
    <x v="0"/>
    <n v="0"/>
    <n v="0"/>
    <n v="0"/>
    <n v="0"/>
    <n v="0"/>
    <n v="0"/>
    <n v="0"/>
    <n v="0"/>
    <n v="0"/>
    <n v="0"/>
    <n v="0"/>
    <s v="na"/>
    <s v="na"/>
    <s v="na"/>
    <s v="na"/>
    <s v="na"/>
    <s v="na"/>
    <n v="0"/>
    <s v="na"/>
    <s v="na"/>
    <s v="na"/>
    <x v="11"/>
    <x v="11"/>
    <x v="11"/>
    <s v="na"/>
    <n v="0"/>
    <n v="64147000"/>
    <n v="64147000"/>
    <n v="64147000"/>
    <s v="na"/>
    <s v="na"/>
    <s v="na"/>
    <s v="na"/>
    <s v="na"/>
    <s v="na"/>
    <n v="23"/>
    <n v="23290162.04071331"/>
    <n v="22"/>
    <n v="23290162.04071331"/>
    <n v="0"/>
    <n v="0"/>
    <n v="1"/>
    <n v="0"/>
    <n v="0"/>
    <n v="0"/>
    <n v="0"/>
    <n v="0"/>
    <n v="1370009.5318066652"/>
    <n v="0"/>
  </r>
  <r>
    <n v="143"/>
    <s v="MNP"/>
    <x v="39"/>
    <x v="4"/>
    <x v="1"/>
    <n v="0"/>
    <n v="0"/>
    <x v="1"/>
    <s v="na"/>
    <n v="0"/>
    <s v="na"/>
    <n v="1182000000"/>
    <n v="0"/>
    <x v="0"/>
    <n v="0"/>
    <x v="0"/>
    <n v="0"/>
    <n v="0"/>
    <n v="0"/>
    <n v="0"/>
    <n v="0"/>
    <n v="0"/>
    <n v="0"/>
    <n v="0"/>
    <n v="0"/>
    <n v="0"/>
    <n v="0"/>
    <s v="na"/>
    <s v="na"/>
    <s v="na"/>
    <s v="na"/>
    <s v="na"/>
    <s v="na"/>
    <n v="0"/>
    <s v="na"/>
    <s v="na"/>
    <s v="na"/>
    <x v="11"/>
    <x v="11"/>
    <x v="11"/>
    <s v="na"/>
    <n v="170556000"/>
    <n v="4890000"/>
    <n v="-165666000"/>
    <n v="175446000"/>
    <s v="na"/>
    <s v="na"/>
    <s v="na"/>
    <s v="na"/>
    <s v="na"/>
    <s v="na"/>
    <n v="0"/>
    <s v="na"/>
    <s v="na"/>
    <s v="na"/>
    <s v="na"/>
    <s v="na"/>
    <s v="na"/>
    <s v="na"/>
    <n v="0"/>
    <n v="0"/>
    <n v="0"/>
    <n v="0"/>
    <n v="0"/>
    <n v="0"/>
  </r>
  <r>
    <n v="147"/>
    <s v="PLW"/>
    <x v="40"/>
    <x v="4"/>
    <x v="1"/>
    <n v="0"/>
    <n v="0"/>
    <x v="1"/>
    <s v="na"/>
    <n v="2"/>
    <s v="na"/>
    <n v="268354900"/>
    <n v="0"/>
    <x v="0"/>
    <n v="0"/>
    <x v="0"/>
    <n v="0"/>
    <n v="0"/>
    <n v="0"/>
    <n v="0"/>
    <n v="0"/>
    <n v="0"/>
    <n v="0"/>
    <n v="0"/>
    <n v="0"/>
    <n v="0"/>
    <n v="0"/>
    <s v="na"/>
    <s v="na"/>
    <s v="na"/>
    <s v="na"/>
    <s v="na"/>
    <s v="na"/>
    <n v="0"/>
    <s v="na"/>
    <s v="na"/>
    <s v="na"/>
    <x v="35"/>
    <x v="35"/>
    <x v="35"/>
    <n v="18734000"/>
    <n v="110948000"/>
    <n v="22999000"/>
    <n v="-87949000"/>
    <n v="133947000"/>
    <n v="0.16832209683815841"/>
    <n v="2.5653289273446672E-3"/>
    <n v="4.4404601812323307E-5"/>
    <n v="1.1116265335243645E-5"/>
    <n v="0.13986128842004675"/>
    <n v="6.9810538208916625E-2"/>
    <n v="1"/>
    <n v="52148600.5662295"/>
    <n v="0"/>
    <n v="0"/>
    <n v="1"/>
    <n v="52148600.5662295"/>
    <n v="0"/>
    <n v="0"/>
    <n v="0.194326992226449"/>
    <n v="0"/>
    <n v="0.194326992226449"/>
    <n v="0"/>
    <n v="3067564.7391899708"/>
    <n v="1.1430999542732296E-2"/>
  </r>
  <r>
    <n v="148"/>
    <s v="PSE"/>
    <x v="41"/>
    <x v="5"/>
    <x v="2"/>
    <n v="0"/>
    <n v="0"/>
    <x v="1"/>
    <s v="na"/>
    <n v="0"/>
    <s v="na"/>
    <s v="na"/>
    <n v="0"/>
    <x v="0"/>
    <n v="0"/>
    <x v="0"/>
    <n v="0"/>
    <n v="0"/>
    <n v="0"/>
    <n v="0"/>
    <n v="0"/>
    <n v="0"/>
    <n v="0"/>
    <n v="0"/>
    <n v="0"/>
    <n v="0"/>
    <n v="0"/>
    <s v="na"/>
    <s v="na"/>
    <s v="na"/>
    <s v="na"/>
    <s v="na"/>
    <s v="na"/>
    <n v="0"/>
    <s v="na"/>
    <s v="na"/>
    <s v="na"/>
    <x v="36"/>
    <x v="36"/>
    <x v="36"/>
    <n v="447470"/>
    <n v="6613454000"/>
    <n v="1103808000"/>
    <n v="-5509646000"/>
    <n v="7717262000"/>
    <n v="6.763077205950174E-5"/>
    <n v="1.7847306777990375E-7"/>
    <n v="2.6468957662519089E-3"/>
    <n v="5.3351113557826939E-4"/>
    <n v="5.7982999670090246E-5"/>
    <s v="na"/>
    <n v="30"/>
    <n v="104933428.34413904"/>
    <n v="28"/>
    <n v="97805103.913600281"/>
    <n v="1"/>
    <n v="0"/>
    <n v="1"/>
    <n v="7128324.4305387596"/>
    <n v="0"/>
    <n v="0"/>
    <n v="0"/>
    <n v="0"/>
    <n v="6172554.6084787669"/>
    <n v="0"/>
  </r>
  <r>
    <n v="151"/>
    <s v="PRY"/>
    <x v="42"/>
    <x v="1"/>
    <x v="0"/>
    <n v="0"/>
    <n v="0"/>
    <x v="1"/>
    <s v="na"/>
    <n v="2"/>
    <s v="na"/>
    <n v="37906944074.612778"/>
    <n v="0"/>
    <x v="0"/>
    <n v="0"/>
    <x v="0"/>
    <n v="0"/>
    <n v="0"/>
    <n v="0"/>
    <n v="0"/>
    <n v="0"/>
    <n v="0"/>
    <n v="0"/>
    <n v="0"/>
    <n v="0"/>
    <n v="0"/>
    <n v="0"/>
    <s v="na"/>
    <s v="na"/>
    <s v="na"/>
    <s v="na"/>
    <s v="na"/>
    <s v="na"/>
    <n v="0"/>
    <s v="na"/>
    <s v="na"/>
    <s v="na"/>
    <x v="37"/>
    <x v="37"/>
    <x v="37"/>
    <n v="1934498000"/>
    <n v="12187407000"/>
    <n v="7652036000"/>
    <n v="-4535371000"/>
    <n v="19839443000"/>
    <n v="0.15784727629101089"/>
    <n v="1.4047241805971639E-3"/>
    <n v="4.8777531362414984E-3"/>
    <n v="3.6985113496602654E-3"/>
    <n v="9.7507677004843335E-2"/>
    <n v="5.1032813307036837E-2"/>
    <n v="3"/>
    <n v="63904893.787608638"/>
    <n v="0"/>
    <n v="0"/>
    <n v="0"/>
    <n v="0"/>
    <n v="3"/>
    <n v="63904893.787608638"/>
    <n v="1.6858360743040571E-3"/>
    <n v="0"/>
    <n v="0"/>
    <n v="1.6858360743040571E-3"/>
    <n v="3759111.3992710966"/>
    <n v="9.9166827900238645E-5"/>
  </r>
  <r>
    <n v="156"/>
    <s v="PRI"/>
    <x v="43"/>
    <x v="1"/>
    <x v="1"/>
    <n v="0"/>
    <n v="0"/>
    <x v="1"/>
    <s v="na"/>
    <n v="0"/>
    <s v="na"/>
    <n v="104914600000"/>
    <n v="0"/>
    <x v="0"/>
    <n v="0"/>
    <x v="0"/>
    <n v="0"/>
    <n v="0"/>
    <n v="0"/>
    <n v="0"/>
    <n v="0"/>
    <n v="0"/>
    <n v="0"/>
    <n v="0"/>
    <n v="0"/>
    <n v="0"/>
    <n v="0"/>
    <s v="na"/>
    <s v="na"/>
    <s v="na"/>
    <s v="na"/>
    <s v="na"/>
    <s v="na"/>
    <n v="0"/>
    <s v="na"/>
    <s v="na"/>
    <s v="na"/>
    <x v="11"/>
    <x v="11"/>
    <x v="11"/>
    <s v="na"/>
    <s v="na"/>
    <s v="na"/>
    <s v="na"/>
    <s v="na"/>
    <s v="na"/>
    <s v="na"/>
    <s v="na"/>
    <s v="na"/>
    <s v="na"/>
    <s v="na"/>
    <n v="0"/>
    <s v="na"/>
    <s v="na"/>
    <s v="na"/>
    <s v="na"/>
    <s v="na"/>
    <s v="na"/>
    <s v="na"/>
    <n v="0"/>
    <n v="0"/>
    <n v="0"/>
    <n v="0"/>
    <n v="0"/>
    <n v="0"/>
  </r>
  <r>
    <n v="161"/>
    <s v="KNA"/>
    <x v="44"/>
    <x v="1"/>
    <x v="1"/>
    <n v="0"/>
    <n v="0"/>
    <x v="1"/>
    <s v="na"/>
    <n v="2"/>
    <s v="na"/>
    <n v="1044711111.111111"/>
    <n v="0"/>
    <x v="0"/>
    <n v="0"/>
    <x v="0"/>
    <n v="0"/>
    <n v="0"/>
    <n v="0"/>
    <n v="0"/>
    <n v="0"/>
    <n v="0"/>
    <n v="0"/>
    <n v="0"/>
    <n v="0"/>
    <n v="0"/>
    <n v="0"/>
    <s v="na"/>
    <s v="na"/>
    <s v="na"/>
    <s v="na"/>
    <s v="na"/>
    <s v="na"/>
    <n v="0"/>
    <s v="na"/>
    <s v="na"/>
    <s v="na"/>
    <x v="38"/>
    <x v="38"/>
    <x v="38"/>
    <n v="10070000"/>
    <n v="335410000"/>
    <n v="78935000"/>
    <n v="-256475000"/>
    <n v="414345000"/>
    <n v="2.8940699442473392E-2"/>
    <n v="4.5987204662063727E-3"/>
    <n v="1.342407929288618E-4"/>
    <n v="3.8152198105894038E-5"/>
    <n v="2.4303418648710617E-2"/>
    <n v="9.6390283331915256E-3"/>
    <n v="0"/>
    <s v="na"/>
    <s v="na"/>
    <s v="na"/>
    <s v="na"/>
    <s v="na"/>
    <s v="na"/>
    <s v="na"/>
    <n v="0"/>
    <n v="0"/>
    <n v="0"/>
    <n v="0"/>
    <n v="0"/>
    <n v="0"/>
  </r>
  <r>
    <n v="162"/>
    <s v="LCA"/>
    <x v="45"/>
    <x v="1"/>
    <x v="0"/>
    <n v="0"/>
    <n v="0"/>
    <x v="1"/>
    <s v="na"/>
    <n v="2"/>
    <s v="na"/>
    <n v="2122450629.6296294"/>
    <n v="0"/>
    <x v="0"/>
    <n v="0"/>
    <x v="0"/>
    <n v="0"/>
    <n v="0"/>
    <n v="0"/>
    <n v="0"/>
    <n v="0"/>
    <n v="0"/>
    <n v="0"/>
    <n v="0"/>
    <n v="0"/>
    <n v="0"/>
    <n v="0"/>
    <s v="na"/>
    <s v="na"/>
    <s v="na"/>
    <s v="na"/>
    <s v="na"/>
    <s v="na"/>
    <n v="0"/>
    <s v="na"/>
    <s v="na"/>
    <s v="na"/>
    <x v="39"/>
    <x v="39"/>
    <x v="39"/>
    <n v="33939"/>
    <n v="623793000"/>
    <n v="97256000"/>
    <n v="-526537000"/>
    <n v="721049000"/>
    <n v="5.4176625899937962E-5"/>
    <n v="1.4806284445175618E-6"/>
    <n v="2.4966001891259503E-4"/>
    <n v="4.7007413428603681E-5"/>
    <n v="4.7068923193846745E-5"/>
    <n v="1.5990477953271593E-5"/>
    <n v="15"/>
    <n v="71734350.612044483"/>
    <n v="13"/>
    <n v="71732153.988873303"/>
    <n v="2"/>
    <n v="2196.6231711774899"/>
    <n v="0"/>
    <n v="0"/>
    <n v="3.3797888917002618E-2"/>
    <n v="3.3796853970351558E-2"/>
    <n v="1.0349466510609971E-6"/>
    <n v="0"/>
    <n v="4219667.6830614405"/>
    <n v="1.9881111127648603E-3"/>
  </r>
  <r>
    <n v="163"/>
    <s v="VCT"/>
    <x v="46"/>
    <x v="1"/>
    <x v="0"/>
    <n v="0"/>
    <n v="0"/>
    <x v="1"/>
    <s v="na"/>
    <n v="2"/>
    <s v="na"/>
    <n v="824718518.51851845"/>
    <n v="0"/>
    <x v="0"/>
    <n v="0"/>
    <x v="0"/>
    <n v="0"/>
    <n v="0"/>
    <n v="0"/>
    <n v="0"/>
    <n v="0"/>
    <n v="0"/>
    <n v="0"/>
    <n v="0"/>
    <n v="0"/>
    <n v="0"/>
    <n v="0"/>
    <s v="na"/>
    <s v="na"/>
    <s v="na"/>
    <s v="na"/>
    <s v="na"/>
    <s v="na"/>
    <n v="0"/>
    <s v="na"/>
    <s v="na"/>
    <s v="na"/>
    <x v="40"/>
    <x v="40"/>
    <x v="40"/>
    <n v="21048000"/>
    <n v="335082000"/>
    <n v="40335000"/>
    <n v="-294747000"/>
    <n v="375417000"/>
    <n v="6.280850657451012E-2"/>
    <n v="4.9584727903805629E-5"/>
    <n v="1.341095178324703E-4"/>
    <n v="1.9495393812646307E-5"/>
    <n v="5.6065654991649283E-2"/>
    <n v="2.5521434922801945E-2"/>
    <n v="0"/>
    <s v="na"/>
    <s v="na"/>
    <s v="na"/>
    <s v="na"/>
    <s v="na"/>
    <s v="na"/>
    <s v="na"/>
    <n v="0"/>
    <n v="0"/>
    <n v="0"/>
    <n v="0"/>
    <n v="0"/>
    <n v="0"/>
  </r>
  <r>
    <n v="165"/>
    <s v="SMR"/>
    <x v="47"/>
    <x v="0"/>
    <x v="1"/>
    <n v="0"/>
    <n v="0"/>
    <x v="1"/>
    <s v="na"/>
    <n v="0"/>
    <s v="na"/>
    <n v="1616369645.9963503"/>
    <n v="0"/>
    <x v="0"/>
    <n v="0"/>
    <x v="0"/>
    <n v="0"/>
    <n v="0"/>
    <n v="0"/>
    <n v="0"/>
    <n v="0"/>
    <n v="0"/>
    <n v="0"/>
    <n v="0"/>
    <n v="0"/>
    <n v="0"/>
    <n v="0"/>
    <s v="na"/>
    <s v="na"/>
    <s v="na"/>
    <s v="na"/>
    <s v="na"/>
    <s v="na"/>
    <n v="0"/>
    <s v="na"/>
    <s v="na"/>
    <s v="na"/>
    <x v="11"/>
    <x v="11"/>
    <x v="11"/>
    <s v="na"/>
    <s v="na"/>
    <s v="na"/>
    <s v="na"/>
    <s v="na"/>
    <s v="na"/>
    <s v="na"/>
    <s v="na"/>
    <s v="na"/>
    <s v="na"/>
    <s v="na"/>
    <s v="na"/>
    <s v="na"/>
    <s v="na"/>
    <s v="na"/>
    <s v="na"/>
    <s v="na"/>
    <s v="na"/>
    <s v="na"/>
    <n v="0"/>
    <n v="0"/>
    <n v="0"/>
    <n v="0"/>
    <n v="0"/>
    <n v="0"/>
  </r>
  <r>
    <n v="170"/>
    <s v="SYC"/>
    <x v="48"/>
    <x v="3"/>
    <x v="1"/>
    <n v="0"/>
    <n v="0"/>
    <x v="0"/>
    <n v="2018"/>
    <n v="0"/>
    <s v="na"/>
    <n v="1581380268.6428902"/>
    <n v="0"/>
    <x v="0"/>
    <n v="0"/>
    <x v="0"/>
    <n v="0"/>
    <n v="0"/>
    <n v="0"/>
    <n v="0"/>
    <n v="0"/>
    <n v="0"/>
    <n v="0"/>
    <n v="0"/>
    <n v="0"/>
    <n v="0"/>
    <n v="0"/>
    <s v="na"/>
    <s v="na"/>
    <s v="na"/>
    <s v="na"/>
    <s v="na"/>
    <s v="na"/>
    <n v="0"/>
    <s v="na"/>
    <s v="na"/>
    <s v="na"/>
    <x v="41"/>
    <x v="41"/>
    <x v="41"/>
    <n v="71819000"/>
    <n v="1474528000"/>
    <n v="844891000"/>
    <n v="-629637000"/>
    <n v="2319419000"/>
    <n v="4.6828544456259905E-2"/>
    <n v="3.2773458351432316E-3"/>
    <n v="5.9014879674371286E-4"/>
    <n v="4.0836699575456925E-4"/>
    <n v="3.0964219918867612E-2"/>
    <n v="4.5415388963739672E-2"/>
    <n v="101"/>
    <n v="260039333.35075414"/>
    <n v="97"/>
    <n v="219442020.71796975"/>
    <n v="3"/>
    <n v="0"/>
    <n v="1"/>
    <n v="40597312.632784396"/>
    <n v="0.16443820534950448"/>
    <n v="0.13876613049326245"/>
    <n v="0"/>
    <n v="2.5672074856242021E-2"/>
    <n v="15296431.373573773"/>
    <n v="9.6728356087943806E-3"/>
  </r>
  <r>
    <n v="173"/>
    <s v="SXM"/>
    <x v="49"/>
    <x v="1"/>
    <x v="1"/>
    <n v="0"/>
    <n v="0"/>
    <x v="1"/>
    <s v="na"/>
    <n v="0"/>
    <s v="na"/>
    <n v="1185474860.3351955"/>
    <n v="0"/>
    <x v="0"/>
    <n v="0"/>
    <x v="0"/>
    <n v="0"/>
    <n v="0"/>
    <n v="0"/>
    <n v="0"/>
    <n v="0"/>
    <n v="0"/>
    <n v="0"/>
    <n v="0"/>
    <n v="0"/>
    <n v="0"/>
    <n v="0"/>
    <s v="na"/>
    <s v="na"/>
    <s v="na"/>
    <s v="na"/>
    <s v="na"/>
    <s v="na"/>
    <n v="0"/>
    <s v="na"/>
    <s v="na"/>
    <s v="na"/>
    <x v="42"/>
    <x v="42"/>
    <x v="42"/>
    <n v="6590000"/>
    <n v="138306000"/>
    <n v="18520000"/>
    <n v="-119786000"/>
    <n v="156826000"/>
    <n v="4.7597356586120632E-2"/>
    <n v="3.7796976241900648E-4"/>
    <n v="5.5354065492439589E-5"/>
    <n v="8.9513993655686027E-6"/>
    <n v="4.2021093441138586E-2"/>
    <n v="5.5589538171536288E-3"/>
    <n v="1"/>
    <n v="105275"/>
    <n v="0"/>
    <n v="0"/>
    <n v="1"/>
    <n v="105275"/>
    <n v="0"/>
    <n v="0"/>
    <n v="8.8804076343072569E-5"/>
    <n v="0"/>
    <n v="8.8804076343072569E-5"/>
    <n v="0"/>
    <n v="6192.6470588235297"/>
    <n v="5.223769196651328E-6"/>
  </r>
  <r>
    <n v="174"/>
    <s v="SVK"/>
    <x v="50"/>
    <x v="0"/>
    <x v="1"/>
    <n v="0"/>
    <n v="0"/>
    <x v="0"/>
    <n v="2015"/>
    <n v="0"/>
    <s v="na"/>
    <n v="105119160234.11748"/>
    <n v="0"/>
    <x v="0"/>
    <n v="0"/>
    <x v="0"/>
    <n v="0"/>
    <n v="0"/>
    <n v="0"/>
    <n v="0"/>
    <n v="0"/>
    <n v="0"/>
    <n v="0"/>
    <n v="0"/>
    <n v="0"/>
    <n v="0"/>
    <n v="0"/>
    <s v="na"/>
    <s v="na"/>
    <s v="na"/>
    <s v="na"/>
    <s v="na"/>
    <s v="na"/>
    <n v="0"/>
    <s v="na"/>
    <s v="na"/>
    <s v="na"/>
    <x v="43"/>
    <x v="43"/>
    <x v="43"/>
    <n v="7682635000"/>
    <n v="90908109000"/>
    <n v="89909085000"/>
    <n v="-999024000"/>
    <n v="180817194000"/>
    <n v="6.3625974224147591E-2"/>
    <n v="2.1115975098623237E-2"/>
    <n v="3.6384057230921557E-2"/>
    <n v="4.3456378316838747E-2"/>
    <n v="4.2488409592286891E-2"/>
    <n v="7.3085011171032208E-2"/>
    <s v="na"/>
    <s v="na"/>
    <s v="na"/>
    <s v="na"/>
    <s v="na"/>
    <s v="na"/>
    <s v="na"/>
    <s v="na"/>
    <n v="0"/>
    <n v="0"/>
    <n v="0"/>
    <n v="0"/>
    <n v="0"/>
    <n v="0"/>
  </r>
  <r>
    <n v="177"/>
    <s v="SOM"/>
    <x v="51"/>
    <x v="3"/>
    <x v="3"/>
    <n v="0"/>
    <n v="0"/>
    <x v="0"/>
    <n v="2015"/>
    <n v="0"/>
    <s v="na"/>
    <n v="4942319040.6982193"/>
    <n v="0"/>
    <x v="0"/>
    <n v="0"/>
    <x v="0"/>
    <n v="0"/>
    <n v="0"/>
    <n v="0"/>
    <n v="0"/>
    <n v="0"/>
    <n v="0"/>
    <n v="0"/>
    <n v="0"/>
    <n v="0"/>
    <n v="0"/>
    <n v="0"/>
    <s v="na"/>
    <s v="na"/>
    <s v="na"/>
    <s v="na"/>
    <s v="na"/>
    <s v="na"/>
    <n v="0"/>
    <s v="na"/>
    <s v="na"/>
    <s v="na"/>
    <x v="44"/>
    <x v="44"/>
    <x v="44"/>
    <n v="750696000"/>
    <n v="3893775000"/>
    <n v="417976000"/>
    <n v="-3475799000"/>
    <n v="4311751000"/>
    <n v="0.1880072680111203"/>
    <n v="4.4591076999636339E-2"/>
    <n v="1.5584014891821319E-3"/>
    <n v="2.0202322360814812E-4"/>
    <n v="0.17410467348415992"/>
    <n v="0.15189144889641654"/>
    <n v="50"/>
    <n v="57178560.804101512"/>
    <n v="46"/>
    <n v="57178560.804101512"/>
    <n v="0"/>
    <n v="0"/>
    <n v="4"/>
    <n v="0"/>
    <n v="1.1569176399430435E-2"/>
    <n v="1.1569176399430435E-2"/>
    <n v="0"/>
    <n v="0"/>
    <n v="3363444.7531824419"/>
    <n v="6.8053978820179037E-4"/>
  </r>
  <r>
    <n v="182"/>
    <s v="MAF"/>
    <x v="52"/>
    <x v="1"/>
    <x v="1"/>
    <n v="0"/>
    <n v="0"/>
    <x v="1"/>
    <s v="na"/>
    <n v="0"/>
    <s v="na"/>
    <s v="na"/>
    <n v="0"/>
    <x v="0"/>
    <n v="0"/>
    <x v="0"/>
    <n v="0"/>
    <n v="0"/>
    <n v="0"/>
    <n v="0"/>
    <n v="0"/>
    <n v="0"/>
    <n v="0"/>
    <n v="0"/>
    <n v="0"/>
    <n v="0"/>
    <n v="0"/>
    <s v="na"/>
    <s v="na"/>
    <s v="na"/>
    <s v="na"/>
    <s v="na"/>
    <s v="na"/>
    <n v="0"/>
    <s v="na"/>
    <s v="na"/>
    <s v="na"/>
    <x v="11"/>
    <x v="11"/>
    <x v="11"/>
    <s v="na"/>
    <s v="na"/>
    <s v="na"/>
    <s v="na"/>
    <s v="na"/>
    <s v="na"/>
    <s v="na"/>
    <s v="na"/>
    <s v="na"/>
    <s v="na"/>
    <s v="na"/>
    <n v="0"/>
    <s v="na"/>
    <s v="na"/>
    <s v="na"/>
    <s v="na"/>
    <s v="na"/>
    <s v="na"/>
    <s v="na"/>
    <n v="0"/>
    <n v="0"/>
    <n v="0"/>
    <n v="0"/>
    <n v="0"/>
    <n v="0"/>
  </r>
  <r>
    <n v="184"/>
    <s v="SUR"/>
    <x v="53"/>
    <x v="1"/>
    <x v="0"/>
    <n v="0"/>
    <n v="0"/>
    <x v="0"/>
    <n v="2018"/>
    <n v="0"/>
    <s v="na"/>
    <n v="4221373022.257978"/>
    <n v="0"/>
    <x v="0"/>
    <n v="0"/>
    <x v="0"/>
    <n v="0"/>
    <n v="0"/>
    <n v="0"/>
    <n v="0"/>
    <n v="0"/>
    <n v="0"/>
    <n v="0"/>
    <n v="0"/>
    <n v="0"/>
    <n v="0"/>
    <n v="0"/>
    <s v="na"/>
    <s v="na"/>
    <s v="na"/>
    <s v="na"/>
    <s v="na"/>
    <s v="na"/>
    <n v="0"/>
    <s v="na"/>
    <s v="na"/>
    <s v="na"/>
    <x v="45"/>
    <x v="45"/>
    <x v="45"/>
    <n v="151850000"/>
    <n v="1711450000"/>
    <n v="1460966000"/>
    <n v="-250484000"/>
    <n v="3172416000"/>
    <n v="7.43620906249087E-2"/>
    <n v="1.6826538057696072E-2"/>
    <n v="6.8497184060731817E-4"/>
    <n v="7.0613877567588012E-4"/>
    <n v="4.7865727571667779E-2"/>
    <n v="3.5971708541117427E-2"/>
    <n v="63"/>
    <n v="1010006165.5037841"/>
    <n v="53"/>
    <n v="478905440.44215947"/>
    <n v="8"/>
    <n v="482517631.5506351"/>
    <n v="2"/>
    <n v="48583093.510989398"/>
    <n v="0.23926010806871079"/>
    <n v="0.11344779007139172"/>
    <n v="0.11430348112011678"/>
    <n v="1.1508836877202265E-2"/>
    <n v="59412127.382575534"/>
    <n v="1.4074124004041811E-2"/>
  </r>
  <r>
    <n v="194"/>
    <s v="TON"/>
    <x v="54"/>
    <x v="4"/>
    <x v="0"/>
    <n v="0"/>
    <n v="0"/>
    <x v="0"/>
    <n v="2018"/>
    <n v="0"/>
    <s v="na"/>
    <n v="512350059.42162949"/>
    <n v="0"/>
    <x v="0"/>
    <n v="0"/>
    <x v="0"/>
    <n v="0"/>
    <n v="0"/>
    <n v="0"/>
    <n v="0"/>
    <n v="0"/>
    <n v="0"/>
    <n v="0"/>
    <n v="0"/>
    <n v="0"/>
    <n v="0"/>
    <n v="1"/>
    <n v="0"/>
    <n v="0"/>
    <n v="0"/>
    <n v="0"/>
    <n v="0"/>
    <n v="0"/>
    <n v="0"/>
    <n v="0"/>
    <n v="0"/>
    <n v="0"/>
    <x v="46"/>
    <x v="46"/>
    <x v="46"/>
    <n v="29605000"/>
    <n v="212354000"/>
    <n v="16206000"/>
    <n v="-196148000"/>
    <n v="228560000"/>
    <n v="0.13880124697439181"/>
    <n v="8.0217203504874737E-3"/>
    <n v="8.499021896072127E-5"/>
    <n v="7.832957781771317E-6"/>
    <n v="0.12952835141757088"/>
    <n v="5.7782758985955508E-2"/>
    <n v="110"/>
    <n v="450695785.95466006"/>
    <n v="102"/>
    <n v="374120372.21634734"/>
    <n v="6"/>
    <n v="76575413.738312721"/>
    <n v="2"/>
    <n v="0"/>
    <n v="0.87966377219401837"/>
    <n v="0.73020460393559072"/>
    <n v="0.14945916825842764"/>
    <n v="0"/>
    <n v="26511516.820862357"/>
    <n v="5.1744927776118728E-2"/>
  </r>
  <r>
    <n v="199"/>
    <s v="TCA"/>
    <x v="55"/>
    <x v="1"/>
    <x v="1"/>
    <n v="0"/>
    <n v="0"/>
    <x v="1"/>
    <s v="na"/>
    <n v="0"/>
    <s v="na"/>
    <n v="1197415000"/>
    <n v="0"/>
    <x v="0"/>
    <n v="0"/>
    <x v="0"/>
    <n v="0"/>
    <n v="0"/>
    <n v="0"/>
    <n v="0"/>
    <n v="0"/>
    <n v="0"/>
    <n v="0"/>
    <n v="0"/>
    <n v="0"/>
    <n v="0"/>
    <n v="0"/>
    <s v="na"/>
    <s v="na"/>
    <s v="na"/>
    <s v="na"/>
    <s v="na"/>
    <s v="na"/>
    <n v="0"/>
    <s v="na"/>
    <s v="na"/>
    <s v="na"/>
    <x v="47"/>
    <x v="47"/>
    <x v="47"/>
    <n v="3028000"/>
    <n v="425717000"/>
    <n v="172506000"/>
    <n v="-253211000"/>
    <n v="598223000"/>
    <n v="7.1009614368230537E-3"/>
    <n v="2.8984499089886727E-5"/>
    <n v="1.7038426893442729E-4"/>
    <n v="8.3378515062460998E-5"/>
    <n v="5.061657609286169E-3"/>
    <n v="2.5287807485291232E-3"/>
    <n v="0"/>
    <s v="na"/>
    <s v="na"/>
    <s v="na"/>
    <s v="na"/>
    <s v="na"/>
    <s v="na"/>
    <s v="na"/>
    <n v="0"/>
    <n v="0"/>
    <n v="0"/>
    <n v="0"/>
    <n v="0"/>
    <n v="0"/>
  </r>
  <r>
    <n v="200"/>
    <s v="TUV"/>
    <x v="56"/>
    <x v="4"/>
    <x v="0"/>
    <n v="0"/>
    <n v="0"/>
    <x v="1"/>
    <s v="na"/>
    <n v="2"/>
    <s v="na"/>
    <n v="47271463.329857491"/>
    <n v="0"/>
    <x v="0"/>
    <n v="0"/>
    <x v="0"/>
    <n v="0"/>
    <n v="0"/>
    <n v="0"/>
    <n v="0"/>
    <n v="0"/>
    <n v="0"/>
    <n v="0"/>
    <n v="0"/>
    <n v="0"/>
    <n v="0"/>
    <n v="0"/>
    <s v="na"/>
    <s v="na"/>
    <s v="na"/>
    <s v="na"/>
    <s v="na"/>
    <s v="na"/>
    <n v="0"/>
    <s v="na"/>
    <s v="na"/>
    <s v="na"/>
    <x v="48"/>
    <x v="48"/>
    <x v="48"/>
    <n v="21763000"/>
    <n v="90616000"/>
    <n v="20368000"/>
    <n v="-70248000"/>
    <n v="110984000"/>
    <n v="0.23988037432682971"/>
    <n v="1.2765121759622938E-3"/>
    <n v="3.6267146751861128E-5"/>
    <n v="9.8446059545303095E-6"/>
    <n v="0.19609132847978086"/>
    <n v="0.46038346323529411"/>
    <n v="0"/>
    <s v="na"/>
    <s v="na"/>
    <s v="na"/>
    <s v="na"/>
    <s v="na"/>
    <s v="na"/>
    <s v="na"/>
    <n v="0"/>
    <n v="0"/>
    <n v="0"/>
    <n v="0"/>
    <n v="0"/>
    <n v="0"/>
  </r>
  <r>
    <n v="208"/>
    <s v="VUT"/>
    <x v="57"/>
    <x v="4"/>
    <x v="2"/>
    <n v="0"/>
    <n v="0"/>
    <x v="0"/>
    <n v="2018"/>
    <n v="1"/>
    <n v="2004"/>
    <n v="930337960.03747845"/>
    <n v="0"/>
    <x v="0"/>
    <n v="0"/>
    <x v="0"/>
    <n v="0"/>
    <n v="0"/>
    <n v="0"/>
    <n v="0"/>
    <n v="0"/>
    <n v="0"/>
    <n v="0"/>
    <n v="0"/>
    <n v="0"/>
    <n v="0"/>
    <n v="1"/>
    <n v="0"/>
    <n v="0"/>
    <n v="0"/>
    <n v="0"/>
    <n v="0"/>
    <n v="0"/>
    <n v="0"/>
    <n v="0"/>
    <n v="0"/>
    <n v="0"/>
    <x v="49"/>
    <x v="49"/>
    <x v="49"/>
    <n v="91416000"/>
    <n v="286016000"/>
    <n v="173228000"/>
    <n v="-112788000"/>
    <n v="459244000"/>
    <n v="0.26838009062430074"/>
    <n v="8.459948738079294E-2"/>
    <n v="1.1447188405337152E-4"/>
    <n v="8.3727484303386504E-5"/>
    <n v="0.19905758159061415"/>
    <n v="9.8261066329398544E-2"/>
    <n v="120"/>
    <n v="555617259.93362021"/>
    <n v="108"/>
    <n v="390590587.29028279"/>
    <n v="9"/>
    <n v="78704.611487802802"/>
    <n v="3"/>
    <n v="164947968.03184959"/>
    <n v="0.59722088509775229"/>
    <n v="0.41983731081396264"/>
    <n v="8.4597871814917882E-5"/>
    <n v="0.17729897641197476"/>
    <n v="32683368.231389426"/>
    <n v="3.5130640299867788E-2"/>
  </r>
  <r>
    <n v="209"/>
    <s v="VAT"/>
    <x v="58"/>
    <x v="0"/>
    <x v="4"/>
    <n v="0"/>
    <n v="0"/>
    <x v="1"/>
    <s v="na"/>
    <n v="2"/>
    <s v="na"/>
    <s v="na"/>
    <n v="0"/>
    <x v="0"/>
    <n v="0"/>
    <x v="0"/>
    <n v="0"/>
    <n v="0"/>
    <n v="0"/>
    <n v="0"/>
    <n v="0"/>
    <n v="0"/>
    <n v="0"/>
    <n v="0"/>
    <n v="0"/>
    <n v="0"/>
    <n v="0"/>
    <s v="na"/>
    <s v="na"/>
    <s v="na"/>
    <s v="na"/>
    <s v="na"/>
    <s v="na"/>
    <n v="0"/>
    <s v="na"/>
    <s v="na"/>
    <s v="na"/>
    <x v="11"/>
    <x v="11"/>
    <x v="11"/>
    <s v="na"/>
    <s v="na"/>
    <s v="na"/>
    <s v="na"/>
    <s v="na"/>
    <s v="na"/>
    <s v="na"/>
    <s v="na"/>
    <s v="na"/>
    <s v="na"/>
    <s v="na"/>
    <s v="na"/>
    <s v="na"/>
    <s v="na"/>
    <s v="na"/>
    <s v="na"/>
    <s v="na"/>
    <s v="na"/>
    <s v="na"/>
    <n v="0"/>
    <n v="0"/>
    <n v="0"/>
    <n v="0"/>
    <n v="0"/>
    <n v="0"/>
  </r>
  <r>
    <n v="212"/>
    <s v="VIR"/>
    <x v="59"/>
    <x v="1"/>
    <x v="1"/>
    <n v="0"/>
    <n v="0"/>
    <x v="1"/>
    <s v="na"/>
    <n v="0"/>
    <s v="na"/>
    <n v="3984000000"/>
    <n v="0"/>
    <x v="0"/>
    <n v="0"/>
    <x v="0"/>
    <n v="0"/>
    <n v="0"/>
    <n v="0"/>
    <n v="0"/>
    <n v="0"/>
    <n v="0"/>
    <n v="0"/>
    <n v="0"/>
    <n v="0"/>
    <n v="0"/>
    <n v="0"/>
    <s v="na"/>
    <s v="na"/>
    <s v="na"/>
    <s v="na"/>
    <s v="na"/>
    <s v="na"/>
    <n v="0"/>
    <s v="na"/>
    <s v="na"/>
    <s v="na"/>
    <x v="11"/>
    <x v="11"/>
    <x v="11"/>
    <s v="na"/>
    <s v="na"/>
    <s v="na"/>
    <s v="na"/>
    <s v="na"/>
    <s v="na"/>
    <s v="na"/>
    <s v="na"/>
    <s v="na"/>
    <s v="na"/>
    <s v="na"/>
    <n v="0"/>
    <s v="na"/>
    <s v="na"/>
    <s v="na"/>
    <s v="na"/>
    <s v="na"/>
    <s v="na"/>
    <s v="na"/>
    <n v="0"/>
    <n v="0"/>
    <n v="0"/>
    <n v="0"/>
    <n v="0"/>
    <n v="0"/>
  </r>
  <r>
    <n v="213"/>
    <s v="ESH"/>
    <x v="60"/>
    <x v="5"/>
    <x v="4"/>
    <n v="0"/>
    <n v="0"/>
    <x v="1"/>
    <s v="na"/>
    <n v="0"/>
    <s v="na"/>
    <s v="na"/>
    <n v="0"/>
    <x v="0"/>
    <n v="0"/>
    <x v="0"/>
    <n v="0"/>
    <n v="0"/>
    <n v="0"/>
    <n v="0"/>
    <n v="0"/>
    <n v="0"/>
    <n v="0"/>
    <n v="0"/>
    <n v="0"/>
    <n v="0"/>
    <n v="0"/>
    <s v="na"/>
    <s v="na"/>
    <s v="na"/>
    <s v="na"/>
    <s v="na"/>
    <s v="na"/>
    <n v="0"/>
    <s v="na"/>
    <s v="na"/>
    <s v="na"/>
    <x v="50"/>
    <x v="50"/>
    <x v="50"/>
    <n v="72000"/>
    <n v="0"/>
    <n v="3213000"/>
    <n v="3213000"/>
    <n v="3213000"/>
    <s v="na"/>
    <n v="0"/>
    <s v="na"/>
    <s v="na"/>
    <n v="2.2408963585434174E-2"/>
    <s v="na"/>
    <s v="na"/>
    <s v="na"/>
    <s v="na"/>
    <s v="na"/>
    <s v="na"/>
    <s v="na"/>
    <s v="na"/>
    <s v="na"/>
    <n v="0"/>
    <n v="0"/>
    <n v="0"/>
    <n v="0"/>
    <n v="0"/>
    <n v="0"/>
  </r>
  <r>
    <n v="108"/>
    <s v="LSO"/>
    <x v="61"/>
    <x v="3"/>
    <x v="2"/>
    <n v="0"/>
    <n v="0"/>
    <x v="0"/>
    <n v="2019"/>
    <n v="0"/>
    <s v="na"/>
    <n v="2366213068.575067"/>
    <n v="0"/>
    <x v="0"/>
    <n v="1"/>
    <x v="1"/>
    <n v="1"/>
    <n v="100000000"/>
    <n v="0"/>
    <n v="4.2261621038303186E-2"/>
    <n v="4.2261621038303186E-2"/>
    <n v="0"/>
    <n v="1.2576401639962775E-4"/>
    <n v="4.6667257785265281E-5"/>
    <n v="5882352.9411764704"/>
    <n v="2.4859777081354816E-3"/>
    <n v="0"/>
    <s v="na"/>
    <s v="na"/>
    <s v="na"/>
    <s v="na"/>
    <s v="na"/>
    <s v="na"/>
    <n v="0"/>
    <s v="na"/>
    <s v="na"/>
    <s v="na"/>
    <x v="51"/>
    <x v="51"/>
    <x v="51"/>
    <n v="102197000"/>
    <n v="1369285000"/>
    <n v="645750000"/>
    <n v="-723535000"/>
    <n v="2015035000"/>
    <n v="6.1675984181525395E-2"/>
    <n v="2.7479674796747969E-2"/>
    <n v="5.4802750110490603E-4"/>
    <n v="3.1211480239286857E-4"/>
    <n v="5.0717233199423332E-2"/>
    <n v="4.3190108852514709E-2"/>
    <n v="114"/>
    <n v="271028975.15808421"/>
    <n v="110"/>
    <n v="269062670.73385012"/>
    <n v="3"/>
    <n v="0"/>
    <n v="1"/>
    <n v="1966304.4242341099"/>
    <n v="0.11454123838530644"/>
    <n v="0.11371024626107724"/>
    <n v="0"/>
    <n v="8.3099212422920897E-4"/>
    <n v="15942880.891652012"/>
    <n v="6.7377199050180255E-3"/>
  </r>
  <r>
    <n v="106"/>
    <s v="LVA"/>
    <x v="62"/>
    <x v="0"/>
    <x v="1"/>
    <n v="0"/>
    <n v="0"/>
    <x v="0"/>
    <n v="2016"/>
    <n v="0"/>
    <s v="na"/>
    <n v="34055464655.325436"/>
    <n v="0"/>
    <x v="0"/>
    <n v="1"/>
    <x v="2"/>
    <n v="1"/>
    <n v="110000000"/>
    <n v="0"/>
    <n v="3.2300249347148083E-3"/>
    <n v="3.2300249347148083E-3"/>
    <n v="0"/>
    <n v="1.383404180395905E-4"/>
    <n v="5.1333983563791811E-5"/>
    <n v="6470588.2352941176"/>
    <n v="1.9000146674792988E-4"/>
    <n v="0"/>
    <s v="na"/>
    <s v="na"/>
    <s v="na"/>
    <s v="na"/>
    <s v="na"/>
    <s v="na"/>
    <n v="0"/>
    <s v="na"/>
    <s v="na"/>
    <s v="na"/>
    <x v="52"/>
    <x v="52"/>
    <x v="52"/>
    <n v="750116000"/>
    <n v="17767575000"/>
    <n v="14447102000"/>
    <n v="-3320473000"/>
    <n v="32214677000"/>
    <n v="3.2118958270895157E-2"/>
    <n v="1.2420484052787888E-2"/>
    <n v="7.1110979291703338E-3"/>
    <n v="6.9828174771654908E-3"/>
    <n v="2.3284914512723503E-2"/>
    <n v="2.2026303490259393E-2"/>
    <s v="na"/>
    <s v="na"/>
    <s v="na"/>
    <s v="na"/>
    <s v="na"/>
    <s v="na"/>
    <s v="na"/>
    <s v="na"/>
    <n v="0"/>
    <n v="0"/>
    <n v="0"/>
    <n v="0"/>
    <n v="0"/>
    <n v="0"/>
  </r>
  <r>
    <n v="164"/>
    <s v="WSM"/>
    <x v="63"/>
    <x v="4"/>
    <x v="2"/>
    <n v="0"/>
    <n v="0"/>
    <x v="0"/>
    <n v="2018"/>
    <n v="0"/>
    <s v="na"/>
    <n v="852250190.9854852"/>
    <n v="0"/>
    <x v="0"/>
    <n v="1"/>
    <x v="2"/>
    <n v="1"/>
    <n v="110000000"/>
    <n v="0"/>
    <n v="0.12907007961218916"/>
    <n v="0.12907007961218916"/>
    <n v="0"/>
    <n v="1.383404180395905E-4"/>
    <n v="5.1333983563791811E-5"/>
    <n v="6470588.2352941176"/>
    <n v="7.592357624246422E-3"/>
    <n v="1"/>
    <n v="0"/>
    <n v="0"/>
    <n v="0"/>
    <n v="0"/>
    <n v="0"/>
    <n v="0"/>
    <n v="0"/>
    <n v="0"/>
    <n v="0"/>
    <n v="0"/>
    <x v="53"/>
    <x v="53"/>
    <x v="53"/>
    <n v="48401000"/>
    <n v="391086000"/>
    <n v="49335000"/>
    <n v="-341751000"/>
    <n v="440421000"/>
    <n v="0.12204732462936541"/>
    <n v="1.358062227627445E-2"/>
    <n v="1.565239400834109E-4"/>
    <n v="2.3845425901745521E-5"/>
    <n v="0.1098971211636139"/>
    <n v="5.6792008393723344E-2"/>
    <n v="123"/>
    <n v="478225047.55540532"/>
    <n v="117"/>
    <n v="478225047.55540532"/>
    <n v="6"/>
    <n v="0"/>
    <n v="0"/>
    <n v="0"/>
    <n v="0.56113222691381015"/>
    <n v="0.56113222691381015"/>
    <n v="0"/>
    <n v="0"/>
    <n v="28130885.150317959"/>
    <n v="3.3007778053753538E-2"/>
  </r>
  <r>
    <n v="196"/>
    <s v="TUN"/>
    <x v="64"/>
    <x v="5"/>
    <x v="2"/>
    <n v="0"/>
    <n v="0"/>
    <x v="0"/>
    <n v="2018"/>
    <n v="0"/>
    <s v="na"/>
    <n v="39195716330.425301"/>
    <n v="1"/>
    <x v="1"/>
    <n v="0"/>
    <x v="0"/>
    <n v="1"/>
    <n v="110000000"/>
    <n v="2.806429127935431E-3"/>
    <n v="0"/>
    <n v="2.806429127935431E-3"/>
    <n v="8.192875177822632E-5"/>
    <n v="0"/>
    <n v="5.1333983563791811E-5"/>
    <n v="6470588.2352941176"/>
    <n v="1.65084066349143E-4"/>
    <n v="3"/>
    <n v="0"/>
    <n v="0"/>
    <n v="0"/>
    <n v="0"/>
    <n v="0"/>
    <n v="0"/>
    <n v="0"/>
    <n v="0"/>
    <n v="0"/>
    <n v="0"/>
    <x v="54"/>
    <x v="54"/>
    <x v="54"/>
    <n v="2088309"/>
    <n v="21573847000"/>
    <n v="14944087000"/>
    <n v="-6629760000"/>
    <n v="36517934000"/>
    <n v="9.4635972898111307E-5"/>
    <n v="3.1214352539569666E-6"/>
    <n v="8.6344781843294676E-3"/>
    <n v="7.2230286658100428E-3"/>
    <n v="5.7185847370226364E-5"/>
    <n v="5.3279010961179199E-5"/>
    <n v="75"/>
    <n v="645134398.36919057"/>
    <n v="65"/>
    <n v="475514196.77719218"/>
    <n v="8"/>
    <n v="104491056.645374"/>
    <n v="2"/>
    <n v="65129144.946624398"/>
    <n v="1.6459308791058148E-2"/>
    <n v="1.2131789932566656E-2"/>
    <n v="2.665879499802988E-3"/>
    <n v="1.6616393586885035E-3"/>
    <n v="37949082.257011212"/>
    <n v="9.6819463476812643E-4"/>
  </r>
  <r>
    <n v="32"/>
    <s v="CPV"/>
    <x v="65"/>
    <x v="3"/>
    <x v="2"/>
    <n v="0"/>
    <n v="0"/>
    <x v="0"/>
    <n v="2018"/>
    <n v="0"/>
    <s v="na"/>
    <n v="1981845740.7061462"/>
    <n v="0"/>
    <x v="0"/>
    <n v="1"/>
    <x v="3"/>
    <n v="1"/>
    <n v="130000000"/>
    <n v="0"/>
    <n v="6.5595418114469409E-2"/>
    <n v="6.5595418114469409E-2"/>
    <n v="0"/>
    <n v="1.6349322131951606E-4"/>
    <n v="6.0667435120844866E-5"/>
    <n v="7647058.823529412"/>
    <n v="3.858554006733495E-3"/>
    <n v="0"/>
    <s v="na"/>
    <s v="na"/>
    <s v="na"/>
    <s v="na"/>
    <s v="na"/>
    <s v="na"/>
    <n v="0"/>
    <s v="na"/>
    <s v="na"/>
    <s v="na"/>
    <x v="55"/>
    <x v="55"/>
    <x v="55"/>
    <n v="40889000"/>
    <n v="789807000"/>
    <n v="61879000"/>
    <n v="-727928000"/>
    <n v="851686000"/>
    <n v="5.1684778686438587E-2"/>
    <n v="1.0989188577708107E-3"/>
    <n v="3.1610362821849543E-4"/>
    <n v="2.9908403960152251E-5"/>
    <n v="4.8009477671348361E-2"/>
    <n v="2.0631777317557998E-2"/>
    <n v="85"/>
    <n v="611101411.19392717"/>
    <n v="79"/>
    <n v="604429871.12164521"/>
    <n v="4"/>
    <n v="804822.50858124765"/>
    <n v="2"/>
    <n v="5866717.5637008101"/>
    <n v="0.30834963521236886"/>
    <n v="0.3049833085930706"/>
    <n v="4.0609745352556222E-4"/>
    <n v="2.9602291657727384E-3"/>
    <n v="35947141.834936894"/>
    <n v="1.81382138360217E-2"/>
  </r>
  <r>
    <n v="206"/>
    <s v="URY"/>
    <x v="66"/>
    <x v="1"/>
    <x v="1"/>
    <n v="2"/>
    <n v="0"/>
    <x v="0"/>
    <n v="2018"/>
    <n v="0"/>
    <s v="na"/>
    <n v="61231149880.585663"/>
    <n v="0"/>
    <x v="0"/>
    <n v="1"/>
    <x v="4"/>
    <n v="1"/>
    <n v="180000000"/>
    <n v="0"/>
    <n v="2.9396802175206569E-3"/>
    <n v="2.9396802175206569E-3"/>
    <n v="0"/>
    <n v="2.2637522951932993E-4"/>
    <n v="8.40010640134775E-5"/>
    <n v="10588235.294117646"/>
    <n v="1.7292236573650922E-4"/>
    <n v="2"/>
    <n v="0"/>
    <n v="0"/>
    <n v="0"/>
    <n v="0"/>
    <n v="0"/>
    <n v="0"/>
    <n v="0"/>
    <n v="0"/>
    <n v="0"/>
    <n v="0"/>
    <x v="56"/>
    <x v="56"/>
    <x v="56"/>
    <n v="3456860000"/>
    <n v="8313649000"/>
    <n v="7816028000"/>
    <n v="-497621000"/>
    <n v="16129677000"/>
    <n v="0.15751891858797504"/>
    <n v="0.2747307200025384"/>
    <n v="3.327363029999818E-3"/>
    <n v="3.7777747343664381E-3"/>
    <n v="0.21431675290211949"/>
    <n v="5.6455905315213654E-2"/>
    <n v="49"/>
    <n v="330738828.02498108"/>
    <n v="39"/>
    <n v="153223378.70386729"/>
    <n v="3"/>
    <n v="13795146.479344809"/>
    <n v="7"/>
    <n v="163720302.84176901"/>
    <n v="5.4014799439500195E-3"/>
    <n v="2.5023763068746365E-3"/>
    <n v="2.2529621779516484E-4"/>
    <n v="2.6738074192802185E-3"/>
    <n v="19455225.177940063"/>
    <n v="3.1773411435000111E-4"/>
  </r>
  <r>
    <n v="176"/>
    <s v="SLB"/>
    <x v="67"/>
    <x v="4"/>
    <x v="2"/>
    <n v="0"/>
    <n v="0"/>
    <x v="0"/>
    <n v="2019"/>
    <n v="1"/>
    <n v="2019"/>
    <n v="1570215577.3607066"/>
    <n v="0"/>
    <x v="0"/>
    <n v="1"/>
    <x v="5"/>
    <n v="1"/>
    <n v="200000000"/>
    <n v="0"/>
    <n v="0.12737104565996574"/>
    <n v="0.12737104565996574"/>
    <n v="0"/>
    <n v="2.5152803279925549E-4"/>
    <n v="9.3334515570530561E-5"/>
    <n v="11764705.882352941"/>
    <n v="7.4924144505862187E-3"/>
    <n v="0"/>
    <s v="na"/>
    <s v="na"/>
    <s v="na"/>
    <s v="na"/>
    <s v="na"/>
    <s v="na"/>
    <n v="0"/>
    <s v="na"/>
    <s v="na"/>
    <s v="na"/>
    <x v="57"/>
    <x v="57"/>
    <x v="57"/>
    <n v="560300000"/>
    <n v="421615000"/>
    <n v="705780000"/>
    <n v="284165000"/>
    <n v="1127395000"/>
    <n v="0.23378437674181421"/>
    <n v="0.65421661140865428"/>
    <n v="1.6874252977162898E-4"/>
    <n v="3.4112951642716028E-4"/>
    <n v="0.49698641558637391"/>
    <n v="0.35682998441639396"/>
    <n v="0"/>
    <s v="na"/>
    <s v="na"/>
    <s v="na"/>
    <s v="na"/>
    <s v="na"/>
    <s v="na"/>
    <s v="na"/>
    <n v="0"/>
    <n v="0"/>
    <n v="0"/>
    <n v="0"/>
    <n v="0"/>
    <n v="0"/>
  </r>
  <r>
    <n v="51"/>
    <s v="CYP"/>
    <x v="68"/>
    <x v="0"/>
    <x v="1"/>
    <n v="0"/>
    <n v="0"/>
    <x v="0"/>
    <n v="2019"/>
    <n v="0"/>
    <s v="na"/>
    <n v="24949065263.629242"/>
    <n v="1"/>
    <x v="2"/>
    <n v="1"/>
    <x v="6"/>
    <n v="2"/>
    <n v="300000000"/>
    <n v="5.2106160542020009E-3"/>
    <n v="6.8138825324180006E-3"/>
    <n v="1.2024498586620002E-2"/>
    <n v="9.6824888465176558E-5"/>
    <n v="2.1379882787936715E-4"/>
    <n v="1.4000177335579583E-4"/>
    <n v="17647058.823529411"/>
    <n v="7.0732344627176481E-4"/>
    <n v="1"/>
    <n v="0"/>
    <n v="0"/>
    <n v="0"/>
    <n v="0"/>
    <n v="0"/>
    <n v="0"/>
    <n v="0"/>
    <n v="0"/>
    <n v="0"/>
    <n v="0"/>
    <x v="58"/>
    <x v="58"/>
    <x v="58"/>
    <n v="499836000"/>
    <n v="9179163000"/>
    <n v="3520899000"/>
    <n v="-5658264000"/>
    <n v="12700062000"/>
    <n v="5.025055116681118E-2"/>
    <n v="1.0956860733579691E-2"/>
    <n v="3.6737667915186486E-3"/>
    <n v="1.7017804036085925E-3"/>
    <n v="3.9356973217926021E-2"/>
    <n v="2.0034257585139319E-2"/>
    <s v="na"/>
    <s v="na"/>
    <s v="na"/>
    <s v="na"/>
    <s v="na"/>
    <s v="na"/>
    <s v="na"/>
    <s v="na"/>
    <n v="0"/>
    <n v="0"/>
    <n v="0"/>
    <n v="0"/>
    <n v="0"/>
    <n v="0"/>
  </r>
  <r>
    <n v="13"/>
    <s v="BHS"/>
    <x v="69"/>
    <x v="1"/>
    <x v="1"/>
    <n v="0"/>
    <n v="0"/>
    <x v="1"/>
    <s v="na"/>
    <n v="0"/>
    <s v="na"/>
    <n v="13578800000"/>
    <n v="2"/>
    <x v="3"/>
    <n v="0"/>
    <x v="0"/>
    <n v="2"/>
    <n v="350000000"/>
    <n v="2.5775473532270894E-2"/>
    <n v="0"/>
    <n v="2.5775473532270894E-2"/>
    <n v="2.6068239202162917E-4"/>
    <n v="0"/>
    <n v="1.6333540224842849E-4"/>
    <n v="20588235.294117648"/>
    <n v="1.5162043254276997E-3"/>
    <n v="0"/>
    <s v="na"/>
    <s v="na"/>
    <s v="na"/>
    <s v="na"/>
    <s v="na"/>
    <s v="na"/>
    <n v="0"/>
    <s v="na"/>
    <s v="na"/>
    <s v="na"/>
    <x v="59"/>
    <x v="59"/>
    <x v="59"/>
    <n v="24623000"/>
    <n v="3320468000"/>
    <n v="537265000"/>
    <n v="-2783203000"/>
    <n v="3857733000"/>
    <n v="7.3510721982563906E-3"/>
    <n v="3.9831368133044217E-4"/>
    <n v="1.3289474291610622E-3"/>
    <n v="2.5967999892776539E-4"/>
    <n v="6.3827641778215344E-3"/>
    <n v="1.8133413851003034E-3"/>
    <n v="31"/>
    <n v="3136697529.0512481"/>
    <n v="0"/>
    <n v="0"/>
    <n v="31"/>
    <n v="3136697529.0512481"/>
    <n v="0"/>
    <n v="0"/>
    <n v="0.23099961182514273"/>
    <n v="0"/>
    <n v="0.23099961182514273"/>
    <n v="0"/>
    <n v="184511619.35595578"/>
    <n v="1.3588212460302514E-2"/>
  </r>
  <r>
    <n v="83"/>
    <s v="HND"/>
    <x v="70"/>
    <x v="1"/>
    <x v="2"/>
    <n v="0"/>
    <n v="0"/>
    <x v="1"/>
    <s v="na"/>
    <n v="2"/>
    <s v="na"/>
    <n v="25089976946.773567"/>
    <n v="1"/>
    <x v="3"/>
    <n v="0"/>
    <x v="0"/>
    <n v="1"/>
    <n v="350000000"/>
    <n v="1.3949793606526532E-2"/>
    <n v="0"/>
    <n v="1.3949793606526532E-2"/>
    <n v="2.6068239202162917E-4"/>
    <n v="0"/>
    <n v="1.6333540224842849E-4"/>
    <n v="20588235.294117648"/>
    <n v="8.2057609450156082E-4"/>
    <n v="0"/>
    <s v="na"/>
    <s v="na"/>
    <s v="na"/>
    <s v="na"/>
    <s v="na"/>
    <s v="na"/>
    <n v="0"/>
    <s v="na"/>
    <s v="na"/>
    <s v="na"/>
    <x v="60"/>
    <x v="60"/>
    <x v="60"/>
    <n v="1481260"/>
    <n v="9157061000"/>
    <n v="3091163000"/>
    <n v="-6065898000"/>
    <n v="12248224000"/>
    <n v="1.611664484925895E-4"/>
    <n v="1.7627669585848433E-6"/>
    <n v="3.6649209312124152E-3"/>
    <n v="1.494073138070688E-3"/>
    <n v="1.2093671702934238E-4"/>
    <n v="5.9037917936009976E-5"/>
    <n v="3"/>
    <n v="297077897.32473761"/>
    <n v="1"/>
    <n v="286927942.92511201"/>
    <n v="2"/>
    <n v="10149954.399625611"/>
    <n v="0"/>
    <n v="0"/>
    <n v="1.1840501007831345E-2"/>
    <n v="1.143595881071582E-2"/>
    <n v="4.0454219711552342E-4"/>
    <n v="0"/>
    <n v="17475170.430866919"/>
    <n v="6.9650005928419676E-4"/>
  </r>
  <r>
    <n v="65"/>
    <s v="FJI"/>
    <x v="71"/>
    <x v="4"/>
    <x v="0"/>
    <n v="1"/>
    <n v="0"/>
    <x v="0"/>
    <n v="2018"/>
    <n v="0"/>
    <s v="na"/>
    <n v="5496250694.3158674"/>
    <n v="1"/>
    <x v="4"/>
    <n v="2"/>
    <x v="7"/>
    <n v="3"/>
    <n v="400000000"/>
    <n v="2.7291331553549323E-2"/>
    <n v="4.548555258924887E-2"/>
    <n v="7.277688414279819E-2"/>
    <n v="1.117210251521268E-4"/>
    <n v="3.1441004099906937E-4"/>
    <n v="1.8666903114106112E-4"/>
    <n v="23529411.764705881"/>
    <n v="4.2809931848704821E-3"/>
    <n v="1"/>
    <n v="1"/>
    <n v="50000000"/>
    <n v="0"/>
    <n v="0"/>
    <n v="0"/>
    <n v="0"/>
    <n v="1"/>
    <n v="50000000"/>
    <n v="9.0971105178497737E-3"/>
    <n v="1.2543831282458731E-3"/>
    <x v="61"/>
    <x v="61"/>
    <x v="61"/>
    <n v="386269000"/>
    <n v="2785913000"/>
    <n v="1028722000"/>
    <n v="-1757191000"/>
    <n v="3814635000"/>
    <n v="0.12526234667055289"/>
    <n v="3.6257608955577891E-2"/>
    <n v="1.1150030415039032E-3"/>
    <n v="4.9721930119581343E-4"/>
    <n v="0.10125975355440298"/>
    <n v="7.027863565238629E-2"/>
    <n v="152"/>
    <n v="663916958.87909687"/>
    <n v="137"/>
    <n v="568657495.55746424"/>
    <n v="14"/>
    <n v="95259463.321632713"/>
    <n v="1"/>
    <n v="0"/>
    <n v="0.12079451899195735"/>
    <n v="0.10346280167779838"/>
    <n v="1.7331717314158994E-2"/>
    <n v="0"/>
    <n v="39053938.75759393"/>
    <n v="7.1055599407033737E-3"/>
  </r>
  <r>
    <n v="120"/>
    <s v="MLT"/>
    <x v="72"/>
    <x v="5"/>
    <x v="1"/>
    <n v="0"/>
    <n v="0"/>
    <x v="0"/>
    <n v="2018"/>
    <n v="0"/>
    <s v="na"/>
    <n v="15215714309.097391"/>
    <n v="0"/>
    <x v="0"/>
    <n v="1"/>
    <x v="8"/>
    <n v="1"/>
    <n v="440000000"/>
    <n v="0"/>
    <n v="2.8917472493350277E-2"/>
    <n v="2.8917472493350277E-2"/>
    <n v="0"/>
    <n v="5.53361672158362E-4"/>
    <n v="2.0533593425516725E-4"/>
    <n v="25882352.94117647"/>
    <n v="1.7010277937264868E-3"/>
    <n v="2"/>
    <n v="0"/>
    <n v="0"/>
    <n v="0"/>
    <n v="0"/>
    <n v="0"/>
    <n v="0"/>
    <n v="0"/>
    <n v="0"/>
    <n v="0"/>
    <n v="0"/>
    <x v="62"/>
    <x v="62"/>
    <x v="62"/>
    <n v="326744000"/>
    <n v="7066686000"/>
    <n v="3007798000"/>
    <n v="-4058888000"/>
    <n v="10074484000"/>
    <n v="4.0472577952381072E-2"/>
    <n v="1.3543795161776156E-2"/>
    <n v="2.8282923348119816E-3"/>
    <n v="1.4537797575031597E-3"/>
    <n v="3.2432827328923247E-2"/>
    <n v="2.1474115073561915E-2"/>
    <s v="na"/>
    <s v="na"/>
    <s v="na"/>
    <s v="na"/>
    <s v="na"/>
    <s v="na"/>
    <s v="na"/>
    <s v="na"/>
    <n v="0"/>
    <n v="0"/>
    <n v="0"/>
    <n v="0"/>
    <n v="0"/>
    <n v="0"/>
  </r>
  <r>
    <n v="80"/>
    <s v="GNB"/>
    <x v="73"/>
    <x v="3"/>
    <x v="3"/>
    <n v="0"/>
    <n v="0"/>
    <x v="1"/>
    <s v="na"/>
    <n v="0"/>
    <s v="na"/>
    <n v="1439638443.3813329"/>
    <n v="2"/>
    <x v="5"/>
    <n v="0"/>
    <x v="0"/>
    <n v="2"/>
    <n v="450000000"/>
    <n v="0.31257848251333725"/>
    <n v="0"/>
    <n v="0.31257848251333725"/>
    <n v="3.3516307545638038E-4"/>
    <n v="0"/>
    <n v="2.1000266003369376E-4"/>
    <n v="26470588.235294119"/>
    <n v="1.8386969559608075E-2"/>
    <n v="0"/>
    <s v="na"/>
    <s v="na"/>
    <s v="na"/>
    <s v="na"/>
    <s v="na"/>
    <s v="na"/>
    <n v="0"/>
    <s v="na"/>
    <s v="na"/>
    <s v="na"/>
    <x v="63"/>
    <x v="63"/>
    <x v="63"/>
    <n v="40326000"/>
    <n v="335683000"/>
    <n v="249796000"/>
    <n v="-85887000"/>
    <n v="585479000"/>
    <n v="9.5101628619858616E-2"/>
    <n v="3.3635446524363878E-2"/>
    <n v="1.3435005543287057E-4"/>
    <n v="1.2073562396984747E-4"/>
    <n v="6.887693666211768E-2"/>
    <n v="2.8011199746295193E-2"/>
    <n v="78"/>
    <n v="371948758.43735373"/>
    <n v="78"/>
    <n v="371948758.43735373"/>
    <n v="0"/>
    <n v="0"/>
    <n v="0"/>
    <n v="0"/>
    <n v="0.25836261885570638"/>
    <n v="0.25836261885570638"/>
    <n v="0"/>
    <n v="0"/>
    <n v="21879338.731609043"/>
    <n v="1.5197801109159198E-2"/>
  </r>
  <r>
    <n v="29"/>
    <s v="BGR"/>
    <x v="74"/>
    <x v="0"/>
    <x v="0"/>
    <n v="0"/>
    <n v="0"/>
    <x v="0"/>
    <n v="2015"/>
    <n v="0"/>
    <s v="na"/>
    <n v="68558815111.619919"/>
    <n v="2"/>
    <x v="6"/>
    <n v="1"/>
    <x v="3"/>
    <n v="3"/>
    <n v="460000000"/>
    <n v="4.8133854043820668E-3"/>
    <n v="1.8961821289989961E-3"/>
    <n v="6.7095675333810629E-3"/>
    <n v="2.4578625533467897E-4"/>
    <n v="1.6349322131951606E-4"/>
    <n v="2.1466938581222029E-4"/>
    <n v="27058823.529411763"/>
    <n v="3.9468044314006252E-4"/>
    <n v="0"/>
    <s v="na"/>
    <s v="na"/>
    <s v="na"/>
    <s v="na"/>
    <s v="na"/>
    <s v="na"/>
    <n v="0"/>
    <s v="na"/>
    <s v="na"/>
    <s v="na"/>
    <x v="64"/>
    <x v="64"/>
    <x v="64"/>
    <n v="2626900000"/>
    <n v="37674821000"/>
    <n v="33351426000"/>
    <n v="-4323395000"/>
    <n v="71026247000"/>
    <n v="4.5221926867283588E-2"/>
    <n v="2.7680135775903555E-2"/>
    <n v="1.5078554141179257E-2"/>
    <n v="1.6119974813024202E-2"/>
    <n v="3.6984919110255116E-2"/>
    <n v="3.8316006420518946E-2"/>
    <n v="42"/>
    <n v="743441449.33620834"/>
    <n v="0"/>
    <n v="0"/>
    <n v="42"/>
    <n v="743441449.33620834"/>
    <n v="0"/>
    <n v="0"/>
    <n v="1.0843849155295621E-2"/>
    <n v="0"/>
    <n v="1.0843849155295621E-2"/>
    <n v="0"/>
    <n v="43731849.960953429"/>
    <n v="6.378734797232718E-4"/>
  </r>
  <r>
    <n v="16"/>
    <s v="BRB"/>
    <x v="75"/>
    <x v="1"/>
    <x v="1"/>
    <n v="0"/>
    <n v="0"/>
    <x v="0"/>
    <n v="2019"/>
    <n v="0"/>
    <s v="na"/>
    <n v="5209000000"/>
    <n v="0"/>
    <x v="0"/>
    <n v="3"/>
    <x v="9"/>
    <n v="3"/>
    <n v="490000000"/>
    <n v="0"/>
    <n v="9.4067959301209439E-2"/>
    <n v="9.4067959301209439E-2"/>
    <n v="0"/>
    <n v="6.1624368035817587E-4"/>
    <n v="2.2866956314779988E-4"/>
    <n v="28823529.411764707"/>
    <n v="5.5334093706593795E-3"/>
    <n v="0"/>
    <s v="na"/>
    <s v="na"/>
    <s v="na"/>
    <s v="na"/>
    <s v="na"/>
    <s v="na"/>
    <n v="0"/>
    <s v="na"/>
    <s v="na"/>
    <s v="na"/>
    <x v="65"/>
    <x v="65"/>
    <x v="65"/>
    <n v="155729000"/>
    <n v="1581059000"/>
    <n v="444089000"/>
    <n v="-1136970000"/>
    <n v="2025148000"/>
    <n v="9.8470708556733177E-2"/>
    <n v="9.2323835987831264E-5"/>
    <n v="6.3278558727322774E-4"/>
    <n v="2.1464460004622007E-4"/>
    <n v="7.6897589707023886E-2"/>
    <n v="2.989614129391438E-2"/>
    <n v="74"/>
    <n v="237145251.16707271"/>
    <n v="21"/>
    <n v="10215340.313144807"/>
    <n v="53"/>
    <n v="226929910.85392791"/>
    <n v="0"/>
    <n v="0"/>
    <n v="4.5526060888284259E-2"/>
    <n v="1.9610943200508366E-3"/>
    <n v="4.3564966568233422E-2"/>
    <n v="0"/>
    <n v="13949720.65688663"/>
    <n v="2.6780035816637801E-3"/>
  </r>
  <r>
    <n v="61"/>
    <s v="ERI"/>
    <x v="76"/>
    <x v="3"/>
    <x v="3"/>
    <n v="0"/>
    <n v="0"/>
    <x v="1"/>
    <s v="na"/>
    <n v="0"/>
    <s v="na"/>
    <s v="na"/>
    <n v="2"/>
    <x v="7"/>
    <n v="0"/>
    <x v="0"/>
    <n v="2"/>
    <n v="500000000"/>
    <n v="0"/>
    <n v="0"/>
    <n v="0"/>
    <n v="3.7240341717375598E-4"/>
    <n v="0"/>
    <n v="2.3333628892632639E-4"/>
    <n v="29411764.705882352"/>
    <n v="0"/>
    <n v="0"/>
    <s v="na"/>
    <s v="na"/>
    <s v="na"/>
    <s v="na"/>
    <s v="na"/>
    <s v="na"/>
    <n v="0"/>
    <s v="na"/>
    <s v="na"/>
    <s v="na"/>
    <x v="66"/>
    <x v="66"/>
    <x v="66"/>
    <n v="258500000"/>
    <n v="388456000"/>
    <n v="499061000"/>
    <n v="110605000"/>
    <n v="887517000"/>
    <n v="0.12513128900055603"/>
    <n v="0.42057383766713891"/>
    <n v="1.554713379385646E-4"/>
    <n v="2.4121459604643805E-4"/>
    <n v="0.29126202653019606"/>
    <s v="na"/>
    <n v="61"/>
    <n v="1013396936.7712584"/>
    <n v="50"/>
    <n v="447050479.60460484"/>
    <n v="10"/>
    <n v="566346457.16665351"/>
    <n v="1"/>
    <n v="0"/>
    <n v="0"/>
    <n v="0"/>
    <n v="0"/>
    <n v="0"/>
    <n v="59611584.515956372"/>
    <n v="0"/>
  </r>
  <r>
    <n v="11"/>
    <s v="AUT"/>
    <x v="77"/>
    <x v="0"/>
    <x v="1"/>
    <n v="0"/>
    <n v="0"/>
    <x v="0"/>
    <s v="na"/>
    <n v="0"/>
    <s v="na"/>
    <n v="445075391688.15613"/>
    <n v="2"/>
    <x v="8"/>
    <n v="1"/>
    <x v="10"/>
    <n v="3"/>
    <n v="510000000"/>
    <n v="6.291069001545319E-4"/>
    <n v="5.1676638226979404E-4"/>
    <n v="1.1458732824243258E-3"/>
    <n v="2.0854591361730334E-4"/>
    <n v="2.8925723771914381E-4"/>
    <n v="2.3800301470485293E-4"/>
    <n v="30000000"/>
    <n v="6.7404310730842702E-5"/>
    <n v="2"/>
    <n v="0"/>
    <n v="0"/>
    <n v="0"/>
    <n v="0"/>
    <n v="0"/>
    <n v="0"/>
    <n v="0"/>
    <n v="0"/>
    <n v="0"/>
    <n v="0"/>
    <x v="67"/>
    <x v="67"/>
    <x v="67"/>
    <n v="15979309000"/>
    <n v="176596131000"/>
    <n v="171532055000"/>
    <n v="-5064076000"/>
    <n v="348128186000"/>
    <n v="6.2279399541318378E-2"/>
    <n v="2.9038350878499066E-2"/>
    <n v="7.0678884510328124E-2"/>
    <n v="8.2907771506570124E-2"/>
    <n v="4.5900647067973976E-2"/>
    <n v="3.5902476970005044E-2"/>
    <s v="na"/>
    <s v="na"/>
    <s v="na"/>
    <s v="na"/>
    <s v="na"/>
    <s v="na"/>
    <s v="na"/>
    <s v="na"/>
    <n v="0"/>
    <n v="0"/>
    <n v="0"/>
    <n v="0"/>
    <n v="0"/>
    <n v="0"/>
  </r>
  <r>
    <n v="138"/>
    <s v="NIC"/>
    <x v="78"/>
    <x v="1"/>
    <x v="2"/>
    <n v="0"/>
    <n v="0"/>
    <x v="1"/>
    <s v="na"/>
    <n v="2"/>
    <s v="na"/>
    <n v="12611218627.063225"/>
    <n v="2"/>
    <x v="9"/>
    <n v="0"/>
    <x v="0"/>
    <n v="2"/>
    <n v="530000000"/>
    <n v="4.2026073425024839E-2"/>
    <n v="0"/>
    <n v="4.2026073425024839E-2"/>
    <n v="3.9474762220418133E-4"/>
    <n v="0"/>
    <n v="2.47336466261906E-4"/>
    <n v="31176470.588235293"/>
    <n v="2.4721219661779314E-3"/>
    <n v="0"/>
    <s v="na"/>
    <s v="na"/>
    <s v="na"/>
    <s v="na"/>
    <s v="na"/>
    <s v="na"/>
    <n v="0"/>
    <s v="na"/>
    <s v="na"/>
    <s v="na"/>
    <x v="68"/>
    <x v="68"/>
    <x v="68"/>
    <n v="922404000"/>
    <n v="6985509000"/>
    <n v="5272553000"/>
    <n v="-1712956000"/>
    <n v="12258062000"/>
    <n v="0.12795789111430533"/>
    <n v="5.4154031263412622E-3"/>
    <n v="2.7958029491419478E-3"/>
    <n v="2.5484194157195912E-3"/>
    <n v="7.524876281421973E-2"/>
    <n v="7.3141543833087949E-2"/>
    <n v="1"/>
    <n v="4858309.3510989398"/>
    <n v="0"/>
    <n v="0"/>
    <n v="0"/>
    <n v="0"/>
    <n v="1"/>
    <n v="4858309.3510989398"/>
    <n v="3.8523710473729964E-4"/>
    <n v="0"/>
    <n v="0"/>
    <n v="3.8523710473729964E-4"/>
    <n v="285782.90300582"/>
    <n v="2.2661006161017628E-5"/>
  </r>
  <r>
    <n v="126"/>
    <s v="MDA"/>
    <x v="79"/>
    <x v="0"/>
    <x v="0"/>
    <n v="0"/>
    <n v="0"/>
    <x v="0"/>
    <n v="2013"/>
    <n v="0"/>
    <s v="na"/>
    <n v="11968699005.980051"/>
    <n v="0"/>
    <x v="0"/>
    <n v="2"/>
    <x v="11"/>
    <n v="2"/>
    <n v="560000000"/>
    <n v="0"/>
    <n v="4.6788711097187852E-2"/>
    <n v="4.6788711097187852E-2"/>
    <n v="0"/>
    <n v="7.0427849183791536E-4"/>
    <n v="2.6133664359748556E-4"/>
    <n v="32941176.470588237"/>
    <n v="2.7522771233639914E-3"/>
    <n v="0"/>
    <s v="na"/>
    <s v="na"/>
    <s v="na"/>
    <s v="na"/>
    <s v="na"/>
    <s v="na"/>
    <n v="0"/>
    <s v="na"/>
    <s v="na"/>
    <s v="na"/>
    <x v="69"/>
    <x v="69"/>
    <x v="69"/>
    <n v="619715000"/>
    <n v="5842487000"/>
    <n v="2779165000"/>
    <n v="-3063322000"/>
    <n v="8621652000"/>
    <n v="0.10308846215661241"/>
    <n v="6.2687893665903244E-3"/>
    <n v="2.3383324514968757E-3"/>
    <n v="1.3432729923223796E-3"/>
    <n v="7.1878916012847655E-2"/>
    <n v="5.1777975174274585E-2"/>
    <n v="43"/>
    <n v="1495043161.0185857"/>
    <n v="37"/>
    <n v="177013256.82251224"/>
    <n v="4"/>
    <n v="1303715014.15573"/>
    <n v="2"/>
    <n v="14314890.04034332"/>
    <n v="0.12491275453343768"/>
    <n v="1.4789682381858646E-2"/>
    <n v="0.1089270449114261"/>
    <n v="1.1960272401529202E-3"/>
    <n v="87943715.354034454"/>
    <n v="7.3478090902022166E-3"/>
  </r>
  <r>
    <n v="142"/>
    <s v="MKD"/>
    <x v="80"/>
    <x v="0"/>
    <x v="0"/>
    <n v="0"/>
    <n v="0"/>
    <x v="0"/>
    <n v="2013"/>
    <n v="1"/>
    <n v="2001"/>
    <n v="12547086168.489635"/>
    <n v="0"/>
    <x v="0"/>
    <n v="3"/>
    <x v="12"/>
    <n v="3"/>
    <n v="650000000"/>
    <n v="0"/>
    <n v="5.1804856623395949E-2"/>
    <n v="5.1804856623395949E-2"/>
    <n v="0"/>
    <n v="8.1746610659758025E-4"/>
    <n v="3.0333717560422434E-4"/>
    <n v="38235294.117647059"/>
    <n v="3.0473445072585854E-3"/>
    <n v="0"/>
    <s v="na"/>
    <s v="na"/>
    <s v="na"/>
    <s v="na"/>
    <s v="na"/>
    <s v="na"/>
    <n v="0"/>
    <s v="na"/>
    <s v="na"/>
    <s v="na"/>
    <x v="70"/>
    <x v="70"/>
    <x v="70"/>
    <n v="711184000"/>
    <n v="9445513000"/>
    <n v="7195141000"/>
    <n v="-2250372000"/>
    <n v="16640654000"/>
    <n v="5.7714493643701514E-2"/>
    <n v="2.3076823650849929E-2"/>
    <n v="3.7803677729938649E-3"/>
    <n v="3.4776771372881554E-3"/>
    <n v="4.2737743360327062E-2"/>
    <n v="5.6681207927466497E-2"/>
    <n v="35"/>
    <n v="2913525344.0071635"/>
    <n v="27"/>
    <n v="56559763.830491133"/>
    <n v="7"/>
    <n v="964003282.90331233"/>
    <n v="1"/>
    <n v="1892962297.27336"/>
    <n v="0.23220732725372534"/>
    <n v="4.5078007013718913E-3"/>
    <n v="7.6830849008137081E-2"/>
    <n v="0.15086867754421637"/>
    <n v="171383843.76512727"/>
    <n v="1.3659254544336785E-2"/>
  </r>
  <r>
    <n v="48"/>
    <s v="HRV"/>
    <x v="81"/>
    <x v="0"/>
    <x v="1"/>
    <n v="1"/>
    <n v="0"/>
    <x v="0"/>
    <n v="2017"/>
    <n v="0"/>
    <s v="na"/>
    <n v="60752588976.317482"/>
    <n v="0"/>
    <x v="0"/>
    <n v="3"/>
    <x v="13"/>
    <n v="3"/>
    <n v="690000000"/>
    <n v="0"/>
    <n v="1.135754066824996E-2"/>
    <n v="1.135754066824996E-2"/>
    <n v="0"/>
    <n v="8.6777171315743137E-4"/>
    <n v="3.2200407871833044E-4"/>
    <n v="40588235.294117644"/>
    <n v="6.6809062754411529E-4"/>
    <n v="3"/>
    <n v="0"/>
    <n v="0"/>
    <n v="0"/>
    <n v="0"/>
    <n v="0"/>
    <n v="0"/>
    <n v="0"/>
    <n v="0"/>
    <n v="0"/>
    <n v="0"/>
    <x v="71"/>
    <x v="71"/>
    <x v="71"/>
    <n v="924575000"/>
    <n v="28004414000"/>
    <n v="17063050000"/>
    <n v="-10941364000"/>
    <n v="45067464000"/>
    <n v="2.8714080573155359E-2"/>
    <n v="7.0593475375152741E-3"/>
    <n v="1.120817727816141E-2"/>
    <n v="8.2472016708782601E-3"/>
    <n v="2.0515354491657218E-2"/>
    <n v="1.521869299035827E-2"/>
    <s v="na"/>
    <s v="na"/>
    <s v="na"/>
    <s v="na"/>
    <s v="na"/>
    <s v="na"/>
    <s v="na"/>
    <s v="na"/>
    <n v="0"/>
    <n v="0"/>
    <n v="0"/>
    <n v="0"/>
    <n v="0"/>
    <n v="0"/>
  </r>
  <r>
    <n v="109"/>
    <s v="LBR"/>
    <x v="82"/>
    <x v="3"/>
    <x v="3"/>
    <n v="0"/>
    <n v="0"/>
    <x v="0"/>
    <n v="2019"/>
    <n v="1"/>
    <n v="2003"/>
    <n v="3070518100"/>
    <n v="2"/>
    <x v="8"/>
    <n v="2"/>
    <x v="14"/>
    <n v="4"/>
    <n v="690000000"/>
    <n v="9.1189822329983988E-2"/>
    <n v="0.13352795412604798"/>
    <n v="0.22471777645603197"/>
    <n v="2.0854591361730334E-4"/>
    <n v="5.1563246723847374E-4"/>
    <n v="3.2200407871833044E-4"/>
    <n v="40588235.294117644"/>
    <n v="1.3218692732707761E-2"/>
    <n v="2"/>
    <n v="0"/>
    <n v="0"/>
    <n v="0"/>
    <n v="0"/>
    <n v="0"/>
    <n v="0"/>
    <n v="0"/>
    <n v="0"/>
    <n v="0"/>
    <n v="0"/>
    <x v="72"/>
    <x v="72"/>
    <x v="72"/>
    <n v="4022268000"/>
    <n v="12349304000"/>
    <n v="2001974000"/>
    <n v="-10347330000"/>
    <n v="14351278000"/>
    <n v="0.3166048062303754"/>
    <n v="5.6154075927059989E-2"/>
    <n v="4.9425490029503145E-3"/>
    <n v="9.6762790461581215E-4"/>
    <n v="0.28027246075227585"/>
    <n v="1.3099639438699286"/>
    <n v="144"/>
    <n v="1151598844.2702711"/>
    <n v="137"/>
    <n v="649897009.68720102"/>
    <n v="6"/>
    <n v="501701834.58307004"/>
    <n v="1"/>
    <n v="0"/>
    <n v="0.37505033573007468"/>
    <n v="0.21165711730772765"/>
    <n v="0.16339321842234705"/>
    <n v="0"/>
    <n v="67741108.486486539"/>
    <n v="2.2061784454710277E-2"/>
  </r>
  <r>
    <n v="78"/>
    <s v="GTM"/>
    <x v="83"/>
    <x v="1"/>
    <x v="0"/>
    <n v="0"/>
    <n v="0"/>
    <x v="1"/>
    <s v="na"/>
    <n v="2"/>
    <s v="na"/>
    <n v="77020015201.320053"/>
    <n v="1"/>
    <x v="10"/>
    <n v="0"/>
    <x v="0"/>
    <n v="1"/>
    <n v="700000000"/>
    <n v="9.0885466351868834E-3"/>
    <n v="0"/>
    <n v="9.0885466351868834E-3"/>
    <n v="5.2136478404325834E-4"/>
    <n v="0"/>
    <n v="3.2667080449685698E-4"/>
    <n v="41176470.588235296"/>
    <n v="5.346203903051108E-4"/>
    <n v="0"/>
    <s v="na"/>
    <s v="na"/>
    <s v="na"/>
    <s v="na"/>
    <s v="na"/>
    <s v="na"/>
    <n v="0"/>
    <s v="na"/>
    <s v="na"/>
    <s v="na"/>
    <x v="73"/>
    <x v="73"/>
    <x v="73"/>
    <n v="2417914000"/>
    <n v="19881010000"/>
    <n v="11183088000"/>
    <n v="-8697922000"/>
    <n v="31064098000"/>
    <n v="0.11211251339846416"/>
    <n v="1.6900877467833572E-2"/>
    <n v="7.9569558052134132E-3"/>
    <n v="5.4051990728022602E-3"/>
    <n v="7.7836285476565265E-2"/>
    <n v="3.1393320212673229E-2"/>
    <n v="0"/>
    <s v="na"/>
    <s v="na"/>
    <s v="na"/>
    <s v="na"/>
    <s v="na"/>
    <s v="na"/>
    <s v="na"/>
    <n v="0"/>
    <n v="0"/>
    <n v="0"/>
    <n v="0"/>
    <n v="0"/>
    <n v="0"/>
  </r>
  <r>
    <n v="193"/>
    <s v="TGO"/>
    <x v="84"/>
    <x v="3"/>
    <x v="3"/>
    <n v="0"/>
    <n v="0"/>
    <x v="0"/>
    <n v="2018"/>
    <n v="0"/>
    <s v="na"/>
    <n v="7220395247.7424049"/>
    <n v="3"/>
    <x v="11"/>
    <n v="0"/>
    <x v="0"/>
    <n v="3"/>
    <n v="730000000"/>
    <n v="0.10110249854095571"/>
    <n v="0"/>
    <n v="0.10110249854095571"/>
    <n v="5.4370898907368369E-4"/>
    <n v="0"/>
    <n v="3.4067098183243654E-4"/>
    <n v="42941176.470588237"/>
    <n v="5.947205796526806E-3"/>
    <n v="3"/>
    <n v="0"/>
    <n v="0"/>
    <n v="0"/>
    <n v="0"/>
    <n v="0"/>
    <n v="0"/>
    <n v="0"/>
    <n v="0"/>
    <n v="0"/>
    <n v="0"/>
    <x v="74"/>
    <x v="74"/>
    <x v="74"/>
    <n v="412400000"/>
    <n v="1964438000"/>
    <n v="1025312000"/>
    <n v="-939126000"/>
    <n v="2989750000"/>
    <n v="0.20518132921476778"/>
    <n v="9.1035704253924661E-3"/>
    <n v="7.8622496282039131E-4"/>
    <n v="4.9557112237094366E-4"/>
    <n v="0.13793795467848483"/>
    <n v="5.7115986846972784E-2"/>
    <n v="120"/>
    <n v="1801457587.2364957"/>
    <n v="102"/>
    <n v="946408470.0451287"/>
    <n v="11"/>
    <n v="660375004.64250684"/>
    <n v="7"/>
    <n v="194674112.54886019"/>
    <n v="0.24949570285639916"/>
    <n v="0.13107433008477498"/>
    <n v="9.1459675264866661E-2"/>
    <n v="2.6961697506757514E-2"/>
    <n v="105968093.36685269"/>
    <n v="1.4676217815082304E-2"/>
  </r>
  <r>
    <n v="49"/>
    <s v="CUB"/>
    <x v="85"/>
    <x v="1"/>
    <x v="0"/>
    <n v="0"/>
    <n v="0"/>
    <x v="0"/>
    <n v="2019"/>
    <n v="0"/>
    <s v="na"/>
    <n v="103131000000"/>
    <n v="1"/>
    <x v="7"/>
    <n v="2"/>
    <x v="15"/>
    <n v="3"/>
    <n v="740000000"/>
    <n v="4.8482027712327038E-3"/>
    <n v="2.3271373301916977E-3"/>
    <n v="7.1753401014244024E-3"/>
    <n v="3.7240341717375598E-4"/>
    <n v="3.0183363935910656E-4"/>
    <n v="3.4533770761096307E-4"/>
    <n v="43529411.764705881"/>
    <n v="4.2207882949555302E-4"/>
    <n v="0"/>
    <s v="na"/>
    <s v="na"/>
    <s v="na"/>
    <s v="na"/>
    <s v="na"/>
    <s v="na"/>
    <n v="0"/>
    <s v="na"/>
    <s v="na"/>
    <s v="na"/>
    <x v="75"/>
    <x v="75"/>
    <x v="75"/>
    <n v="1282374000"/>
    <n v="5756952000"/>
    <n v="1694809000"/>
    <n v="-4062143000"/>
    <n v="7451761000"/>
    <n v="0.13730008518396541"/>
    <n v="0.29026515672267494"/>
    <n v="2.3040988680522248E-3"/>
    <n v="8.1916372609934984E-4"/>
    <n v="0.17209006032265392"/>
    <n v="1.2434418361113536E-2"/>
    <n v="118"/>
    <n v="8611964867.0887985"/>
    <n v="69"/>
    <n v="3389033867.9750204"/>
    <n v="27"/>
    <n v="3153882808.8466272"/>
    <n v="22"/>
    <n v="2069048190.2671511"/>
    <n v="8.3505103868757202E-2"/>
    <n v="3.2861446781035968E-2"/>
    <n v="3.0581326747986807E-2"/>
    <n v="2.0062330339734428E-2"/>
    <n v="506586168.65228224"/>
    <n v="4.9120649334563051E-3"/>
  </r>
  <r>
    <n v="192"/>
    <s v="TLS"/>
    <x v="86"/>
    <x v="4"/>
    <x v="2"/>
    <n v="0"/>
    <n v="0"/>
    <x v="0"/>
    <n v="2017"/>
    <n v="0"/>
    <s v="na"/>
    <n v="2017924900"/>
    <n v="0"/>
    <x v="0"/>
    <n v="2"/>
    <x v="16"/>
    <n v="2"/>
    <n v="780000000"/>
    <n v="0"/>
    <n v="0.38653569317668857"/>
    <n v="0.38653569317668857"/>
    <n v="0"/>
    <n v="9.8095932791709625E-4"/>
    <n v="3.6400461072506917E-4"/>
    <n v="45882352.941176474"/>
    <n v="2.2737393716275801E-2"/>
    <n v="1"/>
    <n v="0"/>
    <n v="0"/>
    <n v="0"/>
    <n v="0"/>
    <n v="0"/>
    <n v="0"/>
    <n v="0"/>
    <n v="0"/>
    <n v="0"/>
    <n v="0"/>
    <x v="76"/>
    <x v="76"/>
    <x v="76"/>
    <n v="168140000"/>
    <n v="547133000"/>
    <n v="123273000"/>
    <n v="-423860000"/>
    <n v="670406000"/>
    <n v="0.2624206545757613"/>
    <n v="0.19924070964444768"/>
    <n v="2.1897846742061043E-4"/>
    <n v="5.9582389524391928E-5"/>
    <n v="0.25080324460103282"/>
    <n v="8.3323219808626184E-2"/>
    <n v="75"/>
    <n v="248960207.85690689"/>
    <n v="72"/>
    <n v="199802597.25105408"/>
    <n v="1"/>
    <n v="49157610.605852798"/>
    <n v="2"/>
    <n v="0"/>
    <n v="0.12337436732997689"/>
    <n v="9.9013891572998614E-2"/>
    <n v="2.4360475756978268E-2"/>
    <n v="0"/>
    <n v="14644718.109229818"/>
    <n v="7.2573157252927593E-3"/>
  </r>
  <r>
    <n v="46"/>
    <s v="CRI"/>
    <x v="87"/>
    <x v="1"/>
    <x v="0"/>
    <n v="0"/>
    <n v="1"/>
    <x v="0"/>
    <n v="2018"/>
    <n v="1"/>
    <n v="2007"/>
    <n v="63951114302.259895"/>
    <n v="2"/>
    <x v="12"/>
    <n v="1"/>
    <x v="17"/>
    <n v="3"/>
    <n v="810000000"/>
    <n v="5.3165609967797721E-3"/>
    <n v="7.3493637308426263E-3"/>
    <n v="1.2665924727622398E-2"/>
    <n v="2.5323432367815407E-4"/>
    <n v="5.9109087707825037E-4"/>
    <n v="3.7800478806064878E-4"/>
    <n v="47647058.823529415"/>
    <n v="7.4505439574249399E-4"/>
    <n v="0"/>
    <s v="na"/>
    <s v="na"/>
    <s v="na"/>
    <s v="na"/>
    <s v="na"/>
    <s v="na"/>
    <n v="0"/>
    <s v="na"/>
    <s v="na"/>
    <s v="na"/>
    <x v="77"/>
    <x v="77"/>
    <x v="77"/>
    <n v="2245572000"/>
    <n v="16108703000"/>
    <n v="11452817000"/>
    <n v="-4655886000"/>
    <n v="27561520000"/>
    <n v="0.13182389668491623"/>
    <n v="1.0657639950066434E-2"/>
    <n v="6.4471693264229893E-3"/>
    <n v="5.535569051175665E-3"/>
    <n v="8.1474896885222581E-2"/>
    <n v="3.5113883854884551E-2"/>
    <n v="49"/>
    <n v="2307465109.615099"/>
    <n v="32"/>
    <n v="612464513.52537298"/>
    <n v="14"/>
    <n v="1539869204.1605048"/>
    <n v="3"/>
    <n v="155131391.92922124"/>
    <n v="3.6081702950617051E-2"/>
    <n v="9.5770733662373392E-3"/>
    <n v="2.4078848679358965E-2"/>
    <n v="2.4257809050207469E-3"/>
    <n v="135733241.74206465"/>
    <n v="2.1224531147421796E-3"/>
  </r>
  <r>
    <n v="116"/>
    <s v="MWI"/>
    <x v="88"/>
    <x v="3"/>
    <x v="3"/>
    <n v="0"/>
    <n v="0"/>
    <x v="1"/>
    <s v="na"/>
    <n v="1"/>
    <n v="2008"/>
    <n v="10862613621.905966"/>
    <n v="3"/>
    <x v="13"/>
    <n v="0"/>
    <x v="0"/>
    <n v="3"/>
    <n v="810000000"/>
    <n v="7.4567689526075273E-2"/>
    <n v="0"/>
    <n v="7.4567689526075273E-2"/>
    <n v="6.032935358214847E-4"/>
    <n v="0"/>
    <n v="3.7800478806064878E-4"/>
    <n v="47647058.823529415"/>
    <n v="4.3863346780044273E-3"/>
    <n v="0"/>
    <s v="na"/>
    <s v="na"/>
    <s v="na"/>
    <s v="na"/>
    <s v="na"/>
    <s v="na"/>
    <n v="0"/>
    <s v="na"/>
    <s v="na"/>
    <s v="na"/>
    <x v="78"/>
    <x v="78"/>
    <x v="78"/>
    <n v="576542000"/>
    <n v="2941148000"/>
    <n v="912983000"/>
    <n v="-2028165000"/>
    <n v="3854131000"/>
    <n v="0.18402644137595253"/>
    <n v="3.8656798647948541E-2"/>
    <n v="1.1771325829317432E-3"/>
    <n v="4.412783718668963E-4"/>
    <n v="0.14959065999572926"/>
    <n v="5.3075808462645042E-2"/>
    <n v="155"/>
    <n v="1346157401.5601292"/>
    <n v="144"/>
    <n v="1208006927.5556164"/>
    <n v="6"/>
    <n v="161598.31997793919"/>
    <n v="5"/>
    <n v="137988875.68453479"/>
    <n v="0.12392573725032585"/>
    <n v="0.11120775990038925"/>
    <n v="1.4876559693889303E-5"/>
    <n v="1.27031007902427E-2"/>
    <n v="79185729.503537014"/>
    <n v="7.2897492500191684E-3"/>
  </r>
  <r>
    <n v="166"/>
    <s v="STP"/>
    <x v="89"/>
    <x v="3"/>
    <x v="2"/>
    <n v="0"/>
    <n v="0"/>
    <x v="1"/>
    <s v="na"/>
    <n v="1"/>
    <n v="2016"/>
    <n v="427425039.68433946"/>
    <n v="3"/>
    <x v="14"/>
    <n v="0"/>
    <x v="0"/>
    <n v="3"/>
    <n v="950000000"/>
    <n v="2.2226119478203499"/>
    <n v="0"/>
    <n v="2.2226119478203499"/>
    <n v="7.0756649263013641E-4"/>
    <n v="0"/>
    <n v="4.4333894896002015E-4"/>
    <n v="55882352.941176474"/>
    <n v="0.13074187928354999"/>
    <n v="0"/>
    <s v="na"/>
    <s v="na"/>
    <s v="na"/>
    <s v="na"/>
    <s v="na"/>
    <s v="na"/>
    <n v="0"/>
    <s v="na"/>
    <s v="na"/>
    <s v="na"/>
    <x v="79"/>
    <x v="12"/>
    <x v="79"/>
    <n v="8994000"/>
    <n v="147896000"/>
    <n v="9860000"/>
    <n v="-138036000"/>
    <n v="157756000"/>
    <n v="6.071834261913777E-2"/>
    <n v="1.4198782961460446E-3"/>
    <n v="5.9192261146080758E-5"/>
    <n v="4.7657018220575822E-6"/>
    <n v="5.7012094627145717E-2"/>
    <n v="2.1042286167048656E-2"/>
    <n v="22"/>
    <n v="228583110.16083306"/>
    <n v="18"/>
    <n v="228583110.16083306"/>
    <n v="3"/>
    <n v="0"/>
    <n v="1"/>
    <n v="0"/>
    <n v="0.53479110706673971"/>
    <n v="0.53479110706673971"/>
    <n v="0"/>
    <n v="0"/>
    <n v="13446065.303578416"/>
    <n v="3.1458300415690574E-2"/>
  </r>
  <r>
    <n v="52"/>
    <s v="CZE"/>
    <x v="90"/>
    <x v="0"/>
    <x v="1"/>
    <n v="0"/>
    <n v="0"/>
    <x v="0"/>
    <n v="2015"/>
    <n v="0"/>
    <s v="na"/>
    <n v="252498032247.16284"/>
    <n v="1"/>
    <x v="15"/>
    <n v="4"/>
    <x v="18"/>
    <n v="5"/>
    <n v="960000000"/>
    <n v="3.960426903529805E-4"/>
    <n v="3.4059671370356322E-3"/>
    <n v="3.8020098273886128E-3"/>
    <n v="7.4480683434751193E-5"/>
    <n v="1.0815705410367985E-3"/>
    <n v="4.4800567473854668E-4"/>
    <n v="56470588.235294119"/>
    <n v="2.2364763690521251E-4"/>
    <n v="0"/>
    <s v="na"/>
    <s v="na"/>
    <s v="na"/>
    <s v="na"/>
    <s v="na"/>
    <s v="na"/>
    <n v="0"/>
    <s v="na"/>
    <s v="na"/>
    <s v="na"/>
    <x v="80"/>
    <x v="79"/>
    <x v="80"/>
    <n v="30807284000"/>
    <n v="179273065000"/>
    <n v="199469710000"/>
    <n v="20196645000"/>
    <n v="378742775000"/>
    <n v="0.15806966316998039"/>
    <n v="1.2381082822048521E-2"/>
    <n v="7.1750271000826996E-2"/>
    <n v="9.641107103370157E-2"/>
    <n v="8.1340915348154172E-2"/>
    <n v="0.1220099963782833"/>
    <s v="na"/>
    <s v="na"/>
    <s v="na"/>
    <s v="na"/>
    <s v="na"/>
    <s v="na"/>
    <s v="na"/>
    <s v="na"/>
    <n v="0"/>
    <n v="0"/>
    <n v="0"/>
    <n v="0"/>
    <n v="0"/>
    <n v="0"/>
  </r>
  <r>
    <n v="6"/>
    <s v="ATG"/>
    <x v="91"/>
    <x v="1"/>
    <x v="1"/>
    <n v="0"/>
    <n v="0"/>
    <x v="0"/>
    <n v="2018"/>
    <n v="0"/>
    <s v="na"/>
    <n v="1661962962.9629629"/>
    <n v="0"/>
    <x v="0"/>
    <n v="2"/>
    <x v="19"/>
    <n v="2"/>
    <n v="1000000000"/>
    <n v="0"/>
    <n v="0.60169812582176363"/>
    <n v="0.60169812582176363"/>
    <n v="0"/>
    <n v="1.2576401639962775E-3"/>
    <n v="4.6667257785265278E-4"/>
    <n v="58823529.411764704"/>
    <n v="3.5394007401280216E-2"/>
    <n v="0"/>
    <s v="na"/>
    <s v="na"/>
    <s v="na"/>
    <s v="na"/>
    <s v="na"/>
    <s v="na"/>
    <n v="0"/>
    <s v="na"/>
    <s v="na"/>
    <s v="na"/>
    <x v="81"/>
    <x v="80"/>
    <x v="81"/>
    <n v="42019000"/>
    <n v="568334000"/>
    <n v="37400000"/>
    <n v="-530934000"/>
    <n v="605734000"/>
    <n v="7.3900206568672647E-2"/>
    <n v="5.080213903743316E-4"/>
    <n v="2.2746372144071954E-4"/>
    <n v="1.8076800014701171E-5"/>
    <n v="6.9368732810111369E-2"/>
    <n v="2.5282753548904687E-2"/>
    <n v="59"/>
    <n v="398209262.67240685"/>
    <n v="54"/>
    <n v="390298705.9867053"/>
    <n v="2"/>
    <n v="0"/>
    <n v="3"/>
    <n v="7910556.6857015602"/>
    <n v="0.23960176703485361"/>
    <n v="0.23484199990286014"/>
    <n v="0"/>
    <n v="4.7597671319934516E-3"/>
    <n v="23424074.274847463"/>
    <n v="1.4094221590285507E-2"/>
  </r>
  <r>
    <n v="122"/>
    <s v="MRT"/>
    <x v="92"/>
    <x v="3"/>
    <x v="2"/>
    <n v="0"/>
    <n v="0"/>
    <x v="0"/>
    <n v="2018"/>
    <n v="0"/>
    <s v="na"/>
    <n v="7600650037.8463011"/>
    <n v="6"/>
    <x v="16"/>
    <n v="0"/>
    <x v="0"/>
    <n v="6"/>
    <n v="1010000000"/>
    <n v="0.13288337115521118"/>
    <n v="0"/>
    <n v="0.13288337115521118"/>
    <n v="7.5225490269098712E-4"/>
    <n v="0"/>
    <n v="4.7133930363117932E-4"/>
    <n v="59411764.705882356"/>
    <n v="7.8166688914830113E-3"/>
    <n v="0"/>
    <s v="na"/>
    <s v="na"/>
    <s v="na"/>
    <s v="na"/>
    <s v="na"/>
    <s v="na"/>
    <n v="0"/>
    <s v="na"/>
    <s v="na"/>
    <s v="na"/>
    <x v="82"/>
    <x v="81"/>
    <x v="82"/>
    <n v="1253481000"/>
    <n v="3519825000"/>
    <n v="2890635000"/>
    <n v="-629190000"/>
    <n v="6410460000"/>
    <n v="0.10735988294872614"/>
    <n v="0.30290680075485144"/>
    <n v="1.408735872427271E-3"/>
    <n v="1.3971505564303671E-3"/>
    <n v="0.19553682575041417"/>
    <n v="0.1649176049099062"/>
    <n v="99"/>
    <n v="2573750430.3313603"/>
    <n v="88"/>
    <n v="1273043490.1578119"/>
    <n v="7"/>
    <n v="389471132.71857762"/>
    <n v="4"/>
    <n v="911235807.45497096"/>
    <n v="0.33862240959862044"/>
    <n v="0.16749139663303561"/>
    <n v="5.1241818894339868E-2"/>
    <n v="0.11988919407124501"/>
    <n v="151397084.13713884"/>
    <n v="1.9918965270507086E-2"/>
  </r>
  <r>
    <n v="160"/>
    <s v="RWA"/>
    <x v="93"/>
    <x v="3"/>
    <x v="3"/>
    <n v="0"/>
    <n v="0"/>
    <x v="0"/>
    <n v="2018"/>
    <n v="0"/>
    <s v="na"/>
    <n v="10355974217.373478"/>
    <n v="1"/>
    <x v="17"/>
    <n v="6"/>
    <x v="20"/>
    <n v="7"/>
    <n v="1170000000"/>
    <n v="1.1587514364286903E-2"/>
    <n v="0.10139075068751041"/>
    <n v="0.11297826505179731"/>
    <n v="8.9376820121701432E-5"/>
    <n v="1.3205221721960913E-3"/>
    <n v="5.4600691608760381E-4"/>
    <n v="68823529.411764711"/>
    <n v="6.6457802971645477E-3"/>
    <n v="2"/>
    <n v="1"/>
    <n v="100000000"/>
    <n v="1"/>
    <n v="100000000"/>
    <n v="0"/>
    <n v="0"/>
    <n v="2"/>
    <n v="200000000"/>
    <n v="1.9312523940478173E-2"/>
    <n v="5.0175325129834924E-3"/>
    <x v="83"/>
    <x v="82"/>
    <x v="83"/>
    <n v="641915"/>
    <n v="3195163000"/>
    <n v="1161751000"/>
    <n v="-2033412000"/>
    <n v="4356914000"/>
    <n v="1.9884181182618852E-4"/>
    <n v="5.6664465965598478E-6"/>
    <n v="1.2787967402789449E-3"/>
    <n v="5.6151712550478895E-4"/>
    <n v="1.4733249267715636E-4"/>
    <n v="6.1984994026260224E-5"/>
    <n v="104"/>
    <n v="838191857.3194195"/>
    <n v="97"/>
    <n v="811643265.86835873"/>
    <n v="5"/>
    <n v="145250.687988369"/>
    <n v="2"/>
    <n v="26403340.763072379"/>
    <n v="8.0938001555975775E-2"/>
    <n v="7.8374400016052836E-2"/>
    <n v="1.4025786945731509E-5"/>
    <n v="2.5495757529771929E-3"/>
    <n v="49305403.371730559"/>
    <n v="4.7610589150573982E-3"/>
  </r>
  <r>
    <n v="128"/>
    <s v="MNE"/>
    <x v="94"/>
    <x v="0"/>
    <x v="0"/>
    <n v="0"/>
    <n v="0"/>
    <x v="0"/>
    <n v="2017"/>
    <n v="0"/>
    <s v="na"/>
    <n v="5542674764.8902826"/>
    <n v="0"/>
    <x v="0"/>
    <n v="2"/>
    <x v="21"/>
    <n v="2"/>
    <n v="1220000000"/>
    <n v="0"/>
    <n v="0.22011033512700612"/>
    <n v="0.22011033512700612"/>
    <n v="0"/>
    <n v="1.5343210000754585E-3"/>
    <n v="5.6934054498023639E-4"/>
    <n v="71764705.882352948"/>
    <n v="1.2947666772176833E-2"/>
    <n v="0"/>
    <s v="na"/>
    <s v="na"/>
    <s v="na"/>
    <s v="na"/>
    <s v="na"/>
    <s v="na"/>
    <n v="0"/>
    <s v="na"/>
    <s v="na"/>
    <s v="na"/>
    <x v="84"/>
    <x v="83"/>
    <x v="84"/>
    <n v="239367000"/>
    <n v="2600771000"/>
    <n v="415484000"/>
    <n v="-2185287000"/>
    <n v="3016255000"/>
    <n v="8.5341616005407628E-2"/>
    <n v="4.1910157791876464E-2"/>
    <n v="1.0409038527962459E-3"/>
    <n v="2.008187480563664E-4"/>
    <n v="7.9359006450051478E-2"/>
    <n v="4.3186189006841048E-2"/>
    <n v="20"/>
    <n v="1035055873.7648617"/>
    <n v="16"/>
    <n v="22913447.661233313"/>
    <n v="4"/>
    <n v="1012142426.1036284"/>
    <n v="0"/>
    <n v="0"/>
    <n v="0.18674302889308186"/>
    <n v="4.1340054455976877E-3"/>
    <n v="0.18260902344748417"/>
    <n v="0"/>
    <n v="60885639.633227162"/>
    <n v="1.0984884052534227E-2"/>
  </r>
  <r>
    <n v="188"/>
    <s v="TWN"/>
    <x v="95"/>
    <x v="4"/>
    <x v="4"/>
    <n v="0"/>
    <n v="0"/>
    <x v="1"/>
    <s v="na"/>
    <n v="0"/>
    <s v="na"/>
    <s v="na"/>
    <n v="3"/>
    <x v="18"/>
    <n v="0"/>
    <x v="0"/>
    <n v="3"/>
    <n v="1220000000"/>
    <n v="0"/>
    <n v="0"/>
    <n v="0"/>
    <n v="9.0866433790396457E-4"/>
    <n v="0"/>
    <n v="5.6934054498023639E-4"/>
    <n v="71764705.882352948"/>
    <n v="0"/>
    <n v="0"/>
    <s v="na"/>
    <s v="na"/>
    <s v="na"/>
    <s v="na"/>
    <s v="na"/>
    <s v="na"/>
    <n v="0"/>
    <s v="na"/>
    <s v="na"/>
    <s v="na"/>
    <x v="85"/>
    <x v="84"/>
    <x v="85"/>
    <n v="149319227000"/>
    <n v="285906281000"/>
    <n v="329512433000"/>
    <n v="43606152000"/>
    <n v="615418714000"/>
    <n v="0.20087888170599513"/>
    <n v="0.27885652800238953"/>
    <n v="0.11442797133294171"/>
    <n v="0.15926551747857273"/>
    <n v="0.24263029966943775"/>
    <s v="na"/>
    <s v="na"/>
    <s v="na"/>
    <s v="na"/>
    <s v="na"/>
    <s v="na"/>
    <s v="na"/>
    <s v="na"/>
    <s v="na"/>
    <n v="0"/>
    <n v="0"/>
    <n v="0"/>
    <n v="0"/>
    <n v="0"/>
    <n v="0"/>
  </r>
  <r>
    <n v="118"/>
    <s v="MDV"/>
    <x v="96"/>
    <x v="6"/>
    <x v="0"/>
    <n v="0"/>
    <n v="0"/>
    <x v="0"/>
    <n v="2017"/>
    <n v="0"/>
    <s v="na"/>
    <n v="5642179170.4589777"/>
    <n v="0"/>
    <x v="0"/>
    <n v="6"/>
    <x v="22"/>
    <n v="6"/>
    <n v="1230000000"/>
    <n v="0"/>
    <n v="0.218000875697101"/>
    <n v="0.218000875697101"/>
    <n v="0"/>
    <n v="1.5468974017154211E-3"/>
    <n v="5.7400727075876293E-4"/>
    <n v="72352941.176470593"/>
    <n v="1.2823580923358883E-2"/>
    <n v="1"/>
    <n v="3"/>
    <n v="67300000"/>
    <n v="0"/>
    <n v="0"/>
    <n v="0"/>
    <n v="0"/>
    <n v="3"/>
    <n v="67300000"/>
    <n v="1.1928015393833249E-2"/>
    <n v="1.6883996906189452E-3"/>
    <x v="86"/>
    <x v="85"/>
    <x v="86"/>
    <n v="469401"/>
    <n v="2887083000"/>
    <n v="158016000"/>
    <n v="-2729067000"/>
    <n v="3045099000"/>
    <n v="1.6258521144005904E-4"/>
    <n v="2.5313892264074525E-8"/>
    <n v="1.1554942046195318E-3"/>
    <n v="7.6374963399011253E-5"/>
    <n v="1.5414966804034943E-4"/>
    <n v="8.3194982969995863E-5"/>
    <n v="77"/>
    <n v="1817080883.9023614"/>
    <n v="63"/>
    <n v="384920213.52288961"/>
    <n v="10"/>
    <n v="1185724060.2961195"/>
    <n v="4"/>
    <n v="246436610.0833523"/>
    <n v="0.32205302756355864"/>
    <n v="6.8221905383337431E-2"/>
    <n v="0.21015356380461481"/>
    <n v="4.3677558375606364E-2"/>
    <n v="106887110.81778596"/>
    <n v="1.8944295739032859E-2"/>
  </r>
  <r>
    <n v="14"/>
    <s v="BHR"/>
    <x v="97"/>
    <x v="5"/>
    <x v="1"/>
    <n v="0"/>
    <n v="0"/>
    <x v="0"/>
    <n v="2018"/>
    <n v="0"/>
    <s v="na"/>
    <n v="38474521276.595741"/>
    <n v="0"/>
    <x v="0"/>
    <n v="2"/>
    <x v="23"/>
    <n v="2"/>
    <n v="1420000000"/>
    <n v="0"/>
    <n v="3.6907541741495138E-2"/>
    <n v="3.6907541741495138E-2"/>
    <n v="0"/>
    <n v="1.785849032874714E-3"/>
    <n v="6.6267506055076692E-4"/>
    <n v="83529411.764705881"/>
    <n v="2.1710318671467727E-3"/>
    <n v="1"/>
    <n v="0"/>
    <n v="0"/>
    <n v="0"/>
    <n v="0"/>
    <n v="0"/>
    <n v="0"/>
    <n v="0"/>
    <n v="0"/>
    <n v="0"/>
    <n v="0"/>
    <x v="87"/>
    <x v="86"/>
    <x v="87"/>
    <n v="2382636"/>
    <n v="18589050000"/>
    <n v="14167296000"/>
    <n v="-4421754000"/>
    <n v="32756346000"/>
    <n v="1.1111267116931742E-4"/>
    <n v="2.2386558451238685E-5"/>
    <n v="7.4398760078538458E-3"/>
    <n v="6.847576912862992E-3"/>
    <n v="7.2738149731352826E-5"/>
    <n v="6.1927632130133101E-5"/>
    <s v="na"/>
    <s v="na"/>
    <s v="na"/>
    <s v="na"/>
    <s v="na"/>
    <s v="na"/>
    <s v="na"/>
    <s v="na"/>
    <n v="0"/>
    <n v="0"/>
    <n v="0"/>
    <n v="0"/>
    <n v="0"/>
    <n v="0"/>
  </r>
  <r>
    <n v="53"/>
    <s v="DNK"/>
    <x v="98"/>
    <x v="0"/>
    <x v="1"/>
    <n v="3"/>
    <n v="0"/>
    <x v="1"/>
    <s v="na"/>
    <n v="0"/>
    <s v="na"/>
    <n v="347561349210.97949"/>
    <n v="3"/>
    <x v="19"/>
    <n v="0"/>
    <x v="0"/>
    <n v="3"/>
    <n v="1430000000"/>
    <n v="4.1143815422696782E-3"/>
    <n v="0"/>
    <n v="4.1143815422696782E-3"/>
    <n v="1.0650737731169421E-3"/>
    <n v="0"/>
    <n v="6.6734178632929346E-4"/>
    <n v="84117647.058823526"/>
    <n v="2.4202244366292223E-4"/>
    <n v="2"/>
    <n v="0"/>
    <n v="0"/>
    <n v="0"/>
    <n v="0"/>
    <n v="0"/>
    <n v="0"/>
    <n v="0"/>
    <n v="0"/>
    <n v="0"/>
    <n v="0"/>
    <x v="88"/>
    <x v="87"/>
    <x v="88"/>
    <n v="10867948000"/>
    <n v="97209694000"/>
    <n v="109991555000"/>
    <n v="12781861000"/>
    <n v="207201249000"/>
    <n v="7.2673225367832148E-2"/>
    <n v="3.4579072911552163E-2"/>
    <n v="3.8906133994013353E-2"/>
    <n v="5.3162977086657896E-2"/>
    <n v="5.2451170311236882E-2"/>
    <n v="3.1269150107375292E-2"/>
    <s v="na"/>
    <s v="na"/>
    <s v="na"/>
    <s v="na"/>
    <s v="na"/>
    <s v="na"/>
    <s v="na"/>
    <s v="na"/>
    <n v="0"/>
    <n v="0"/>
    <n v="0"/>
    <n v="0"/>
    <n v="0"/>
    <n v="0"/>
  </r>
  <r>
    <n v="123"/>
    <s v="MUS"/>
    <x v="99"/>
    <x v="3"/>
    <x v="0"/>
    <n v="0"/>
    <n v="1"/>
    <x v="1"/>
    <s v="na"/>
    <n v="0"/>
    <s v="na"/>
    <n v="14046337854.8466"/>
    <n v="4"/>
    <x v="20"/>
    <n v="0"/>
    <x v="0"/>
    <n v="4"/>
    <n v="1470000000"/>
    <n v="0.10465361257794221"/>
    <n v="0"/>
    <n v="0.10465361257794221"/>
    <n v="1.0948660464908425E-3"/>
    <n v="0"/>
    <n v="6.8600868944339961E-4"/>
    <n v="86470588.235294119"/>
    <n v="6.1560948575260128E-3"/>
    <n v="0"/>
    <s v="na"/>
    <s v="na"/>
    <s v="na"/>
    <s v="na"/>
    <s v="na"/>
    <s v="na"/>
    <n v="0"/>
    <s v="na"/>
    <s v="na"/>
    <s v="na"/>
    <x v="89"/>
    <x v="88"/>
    <x v="89"/>
    <n v="966901000"/>
    <n v="5600488000"/>
    <n v="1873604000"/>
    <n v="-3726884000"/>
    <n v="7474092000"/>
    <n v="0.1669352742118187"/>
    <n v="1.7069775683655673E-2"/>
    <n v="2.2414774452418694E-3"/>
    <n v="9.0558194691829348E-4"/>
    <n v="0.12936701876294807"/>
    <n v="6.8836518813078174E-2"/>
    <n v="95"/>
    <n v="2169146515.9355683"/>
    <n v="85"/>
    <n v="636904511.15150201"/>
    <n v="5"/>
    <n v="474251128.33628535"/>
    <n v="5"/>
    <n v="1057990876.4477811"/>
    <n v="0.15442790415205043"/>
    <n v="4.5343100652512222E-2"/>
    <n v="3.3763329149358888E-2"/>
    <n v="7.5321474350179329E-2"/>
    <n v="127596853.87856284"/>
    <n v="9.0839943618853183E-3"/>
  </r>
  <r>
    <n v="25"/>
    <s v="BWA"/>
    <x v="100"/>
    <x v="3"/>
    <x v="0"/>
    <n v="0"/>
    <n v="0"/>
    <x v="0"/>
    <s v="na"/>
    <n v="0"/>
    <s v="na"/>
    <n v="18362348887.587276"/>
    <n v="6"/>
    <x v="21"/>
    <n v="0"/>
    <x v="0"/>
    <n v="6"/>
    <n v="1640000000"/>
    <n v="8.9313192448304907E-2"/>
    <n v="0"/>
    <n v="8.9313192448304907E-2"/>
    <n v="1.2214832083299197E-3"/>
    <n v="0"/>
    <n v="7.6534302767835064E-4"/>
    <n v="96470588.235294119"/>
    <n v="5.2537172028414656E-3"/>
    <n v="0"/>
    <s v="na"/>
    <s v="na"/>
    <s v="na"/>
    <s v="na"/>
    <s v="na"/>
    <s v="na"/>
    <n v="0"/>
    <s v="na"/>
    <s v="na"/>
    <s v="na"/>
    <x v="90"/>
    <x v="89"/>
    <x v="90"/>
    <n v="125685000"/>
    <n v="6558523000"/>
    <n v="5238079000"/>
    <n v="-1320444000"/>
    <n v="11796602000"/>
    <n v="1.9151415646480159E-2"/>
    <n v="1.5272774618328589E-5"/>
    <n v="2.6249107896669081E-3"/>
    <n v="2.5317568594707463E-3"/>
    <n v="1.0654339274987832E-2"/>
    <n v="6.8447125566251238E-3"/>
    <n v="88"/>
    <n v="1396734348.6575637"/>
    <n v="77"/>
    <n v="306931187.79204851"/>
    <n v="9"/>
    <n v="1089803160.8655152"/>
    <n v="2"/>
    <n v="0"/>
    <n v="7.606512419561634E-2"/>
    <n v="1.6715246490035394E-2"/>
    <n v="5.934987770558095E-2"/>
    <n v="0"/>
    <n v="82160844.038680211"/>
    <n v="4.474419070330372E-3"/>
  </r>
  <r>
    <n v="214"/>
    <s v="YEM"/>
    <x v="101"/>
    <x v="5"/>
    <x v="3"/>
    <n v="0"/>
    <n v="0"/>
    <x v="0"/>
    <n v="2017"/>
    <n v="0"/>
    <s v="na"/>
    <s v="na"/>
    <n v="4"/>
    <x v="22"/>
    <n v="1"/>
    <x v="24"/>
    <n v="5"/>
    <n v="1710000000"/>
    <n v="0"/>
    <n v="0"/>
    <n v="0"/>
    <n v="8.9376820121701438E-4"/>
    <n v="6.4139648363810149E-4"/>
    <n v="7.9801010812803629E-4"/>
    <n v="100588235.29411764"/>
    <n v="0"/>
    <n v="0"/>
    <s v="na"/>
    <s v="na"/>
    <s v="na"/>
    <s v="na"/>
    <s v="na"/>
    <s v="na"/>
    <n v="0"/>
    <s v="na"/>
    <s v="na"/>
    <s v="na"/>
    <x v="91"/>
    <x v="90"/>
    <x v="91"/>
    <n v="3685576000"/>
    <n v="10252621000"/>
    <n v="1575635000"/>
    <n v="-8676986000"/>
    <n v="11828256000"/>
    <n v="0.27516222437169968"/>
    <n v="0.54863086945897999"/>
    <n v="4.1033957623180586E-3"/>
    <n v="7.6156253452309324E-4"/>
    <n v="0.31159082116585912"/>
    <s v="na"/>
    <n v="74"/>
    <n v="1749062255.0303748"/>
    <n v="68"/>
    <n v="1244849858.1868131"/>
    <n v="4"/>
    <n v="176213807.73125672"/>
    <n v="2"/>
    <n v="327998589.11230499"/>
    <n v="0"/>
    <n v="0"/>
    <n v="0"/>
    <n v="0"/>
    <n v="102886015.00178675"/>
    <n v="0"/>
  </r>
  <r>
    <n v="20"/>
    <s v="BEN"/>
    <x v="102"/>
    <x v="3"/>
    <x v="2"/>
    <n v="0"/>
    <n v="0"/>
    <x v="0"/>
    <s v="na"/>
    <n v="0"/>
    <s v="na"/>
    <n v="14391686309.032972"/>
    <n v="1"/>
    <x v="23"/>
    <n v="3"/>
    <x v="25"/>
    <n v="4"/>
    <n v="1730000000"/>
    <n v="1.6676294552735178E-2"/>
    <n v="0.1035319953482309"/>
    <n v="0.12020828990096608"/>
    <n v="1.7875364024340286E-4"/>
    <n v="1.8738838443544533E-3"/>
    <n v="8.0734355968508937E-4"/>
    <n v="101764705.88235295"/>
    <n v="7.0710758765274171E-3"/>
    <n v="2"/>
    <n v="0"/>
    <n v="0"/>
    <n v="0"/>
    <n v="0"/>
    <n v="0"/>
    <n v="0"/>
    <n v="0"/>
    <n v="0"/>
    <n v="0"/>
    <n v="0"/>
    <x v="92"/>
    <x v="91"/>
    <x v="92"/>
    <n v="2218536000"/>
    <n v="2928973000"/>
    <n v="850666000"/>
    <n v="-2078307000"/>
    <n v="3779639000"/>
    <n v="0.73600883313024734"/>
    <n v="7.3808051573708136E-2"/>
    <n v="1.1722597954361145E-3"/>
    <n v="4.1115826634507453E-4"/>
    <n v="0.58697034293486761"/>
    <n v="0.15415399921602871"/>
    <n v="107"/>
    <n v="1617030787.8226161"/>
    <n v="97"/>
    <n v="1265774443.634197"/>
    <n v="8"/>
    <n v="351256344.18841916"/>
    <n v="2"/>
    <n v="0"/>
    <n v="0.1123586738273807"/>
    <n v="8.7951781080701508E-2"/>
    <n v="2.4406892746679197E-2"/>
    <n v="0"/>
    <n v="95119458.107212707"/>
    <n v="6.6093337545518049E-3"/>
  </r>
  <r>
    <n v="69"/>
    <s v="GAB"/>
    <x v="103"/>
    <x v="3"/>
    <x v="0"/>
    <n v="0"/>
    <n v="0"/>
    <x v="0"/>
    <n v="2018"/>
    <n v="0"/>
    <s v="na"/>
    <n v="16874450215.135065"/>
    <n v="5"/>
    <x v="24"/>
    <n v="3"/>
    <x v="8"/>
    <n v="8"/>
    <n v="1960000000"/>
    <n v="9.0077008768954067E-2"/>
    <n v="2.6074923591013016E-2"/>
    <n v="0.11615193235996708"/>
    <n v="1.1321063882082183E-3"/>
    <n v="5.53361672158362E-4"/>
    <n v="9.1467825259119952E-4"/>
    <n v="115294117.64705883"/>
    <n v="6.8324666094098287E-3"/>
    <n v="0"/>
    <s v="na"/>
    <s v="na"/>
    <s v="na"/>
    <s v="na"/>
    <s v="na"/>
    <s v="na"/>
    <n v="0"/>
    <s v="na"/>
    <s v="na"/>
    <s v="na"/>
    <x v="93"/>
    <x v="92"/>
    <x v="93"/>
    <n v="4989729000"/>
    <n v="2321628000"/>
    <n v="7301312000"/>
    <n v="4979684000"/>
    <n v="9622940000"/>
    <n v="0.16248124161148986"/>
    <n v="0.63173687140064694"/>
    <n v="9.2918274233280934E-4"/>
    <n v="3.5289934991694612E-3"/>
    <n v="0.51852438028294889"/>
    <n v="0.29569727821559499"/>
    <n v="82"/>
    <n v="3574199027.2534776"/>
    <n v="62"/>
    <n v="1619657920.6404765"/>
    <n v="9"/>
    <n v="1485116670.8451018"/>
    <n v="11"/>
    <n v="469424435.76789874"/>
    <n v="0.21181128757888065"/>
    <n v="9.5982855736998746E-2"/>
    <n v="8.8009781172785587E-2"/>
    <n v="2.7818650669096268E-2"/>
    <n v="210247001.60314575"/>
    <n v="1.2459487504640038E-2"/>
  </r>
  <r>
    <n v="101"/>
    <s v="PRK"/>
    <x v="104"/>
    <x v="4"/>
    <x v="1"/>
    <n v="0"/>
    <n v="0"/>
    <x v="1"/>
    <s v="na"/>
    <n v="0"/>
    <s v="na"/>
    <s v="na"/>
    <n v="1"/>
    <x v="25"/>
    <n v="0"/>
    <x v="0"/>
    <n v="1"/>
    <n v="2000000000"/>
    <n v="0"/>
    <n v="0"/>
    <n v="0"/>
    <n v="1.4896136686950239E-3"/>
    <n v="0"/>
    <n v="9.3334515570530556E-4"/>
    <n v="117647058.82352941"/>
    <n v="0"/>
    <n v="0"/>
    <s v="na"/>
    <s v="na"/>
    <s v="na"/>
    <s v="na"/>
    <s v="na"/>
    <s v="na"/>
    <n v="0"/>
    <s v="na"/>
    <s v="na"/>
    <s v="na"/>
    <x v="94"/>
    <x v="93"/>
    <x v="94"/>
    <n v="5505619000"/>
    <n v="3239556000"/>
    <n v="2997825000"/>
    <n v="-241731000"/>
    <n v="6237381000"/>
    <n v="0.90417328794439733"/>
    <n v="0.85945610567661557"/>
    <n v="1.2965641041634175E-3"/>
    <n v="1.4489594386115387E-3"/>
    <n v="0.88268120866754818"/>
    <s v="na"/>
    <n v="126"/>
    <n v="7330423494.5992079"/>
    <n v="115"/>
    <n v="7182188240.9055529"/>
    <n v="9"/>
    <n v="148235253.69365531"/>
    <n v="2"/>
    <n v="0"/>
    <n v="0"/>
    <n v="0"/>
    <n v="0"/>
    <n v="0"/>
    <n v="431201382.0352475"/>
    <n v="0"/>
  </r>
  <r>
    <n v="115"/>
    <s v="MDG"/>
    <x v="105"/>
    <x v="3"/>
    <x v="3"/>
    <n v="0"/>
    <n v="0"/>
    <x v="0"/>
    <n v="2017"/>
    <n v="0"/>
    <s v="na"/>
    <n v="14191911512.040983"/>
    <n v="2"/>
    <x v="26"/>
    <n v="4"/>
    <x v="26"/>
    <n v="6"/>
    <n v="2080000000"/>
    <n v="2.0434174758907738E-2"/>
    <n v="0.12612818213256846"/>
    <n v="0.14656235689147618"/>
    <n v="2.1599398196077847E-4"/>
    <n v="2.2511758935533366E-3"/>
    <n v="9.7067896193351786E-4"/>
    <n v="122352941.17647059"/>
    <n v="8.621315111263305E-3"/>
    <n v="2"/>
    <n v="0"/>
    <n v="0"/>
    <n v="0"/>
    <n v="0"/>
    <n v="0"/>
    <n v="0"/>
    <n v="0"/>
    <n v="0"/>
    <n v="0"/>
    <n v="0"/>
    <x v="95"/>
    <x v="94"/>
    <x v="95"/>
    <n v="1041806000"/>
    <n v="3896887000"/>
    <n v="2564400000"/>
    <n v="-1332487000"/>
    <n v="6461287000"/>
    <n v="0.22443042356629792"/>
    <n v="6.5210575573233509E-2"/>
    <n v="1.5596470016820414E-3"/>
    <n v="1.2394691432540024E-3"/>
    <n v="0.16123815580394432"/>
    <n v="7.3408434030615977E-2"/>
    <n v="111"/>
    <n v="804675543.67270756"/>
    <n v="101"/>
    <n v="529686978.48534048"/>
    <n v="9"/>
    <n v="268092218.5773001"/>
    <n v="1"/>
    <n v="6896346.61006705"/>
    <n v="5.6699588564231726E-2"/>
    <n v="3.7323159606507762E-2"/>
    <n v="1.8890493951420145E-2"/>
    <n v="4.8593500630383121E-4"/>
    <n v="47333855.510159269"/>
    <n v="3.3352699155430429E-3"/>
  </r>
  <r>
    <n v="158"/>
    <s v="ROU"/>
    <x v="106"/>
    <x v="0"/>
    <x v="0"/>
    <n v="1"/>
    <n v="0"/>
    <x v="0"/>
    <n v="2015"/>
    <n v="0"/>
    <s v="na"/>
    <n v="249696854574.19949"/>
    <n v="1"/>
    <x v="27"/>
    <n v="2"/>
    <x v="27"/>
    <n v="3"/>
    <n v="2110000000"/>
    <n v="5.2063130799819271E-3"/>
    <n v="3.2439335344502779E-3"/>
    <n v="8.4502466144322046E-3"/>
    <n v="9.6824888465176558E-4"/>
    <n v="1.0186885328369846E-3"/>
    <n v="9.8467913926909736E-4"/>
    <n v="124117647.05882353"/>
    <n v="4.9707333026071797E-4"/>
    <n v="2"/>
    <n v="0"/>
    <n v="0"/>
    <n v="0"/>
    <n v="0"/>
    <n v="0"/>
    <n v="0"/>
    <n v="0"/>
    <n v="0"/>
    <n v="0"/>
    <n v="0"/>
    <x v="96"/>
    <x v="95"/>
    <x v="96"/>
    <n v="5944517000"/>
    <n v="96644319000"/>
    <n v="77298748000"/>
    <n v="-19345571000"/>
    <n v="173943067000"/>
    <n v="5.2714707421136674E-2"/>
    <n v="1.0995520910636224E-2"/>
    <n v="3.867985455004283E-2"/>
    <n v="3.7361337138577068E-2"/>
    <n v="3.417507292774135E-2"/>
    <n v="2.3806935854826867E-2"/>
    <n v="28"/>
    <n v="3053090379.3344493"/>
    <n v="0"/>
    <n v="0"/>
    <n v="28"/>
    <n v="3053090379.3344493"/>
    <n v="0"/>
    <n v="0"/>
    <n v="1.2227187981766098E-2"/>
    <n v="0"/>
    <n v="1.2227187981766098E-2"/>
    <n v="0"/>
    <n v="179593551.72555584"/>
    <n v="7.1924635186859404E-4"/>
  </r>
  <r>
    <n v="175"/>
    <s v="SVN"/>
    <x v="107"/>
    <x v="0"/>
    <x v="1"/>
    <n v="0"/>
    <n v="0"/>
    <x v="0"/>
    <n v="2017"/>
    <n v="0"/>
    <s v="na"/>
    <n v="54178877605.999916"/>
    <n v="0"/>
    <x v="0"/>
    <n v="3"/>
    <x v="28"/>
    <n v="3"/>
    <n v="2180000000"/>
    <n v="0"/>
    <n v="4.0237083090820268E-2"/>
    <n v="4.0237083090820268E-2"/>
    <n v="0"/>
    <n v="2.7416555575118847E-3"/>
    <n v="1.017346219718783E-3"/>
    <n v="128235294.11764705"/>
    <n v="2.3668872406364862E-3"/>
    <n v="0"/>
    <s v="na"/>
    <s v="na"/>
    <s v="na"/>
    <s v="na"/>
    <s v="na"/>
    <s v="na"/>
    <n v="0"/>
    <s v="na"/>
    <s v="na"/>
    <s v="na"/>
    <x v="97"/>
    <x v="96"/>
    <x v="97"/>
    <n v="2632783000"/>
    <n v="38162054000"/>
    <n v="37574594000"/>
    <n v="-587460000"/>
    <n v="75736648000"/>
    <n v="6.1197492147566271E-2"/>
    <n v="7.9138845785000373E-3"/>
    <n v="1.5273558894350326E-2"/>
    <n v="1.8161187737208307E-2"/>
    <n v="3.4762338570885787E-2"/>
    <n v="4.8594269876650942E-2"/>
    <s v="na"/>
    <s v="na"/>
    <s v="na"/>
    <s v="na"/>
    <s v="na"/>
    <s v="na"/>
    <s v="na"/>
    <s v="na"/>
    <n v="0"/>
    <n v="0"/>
    <n v="0"/>
    <n v="0"/>
    <n v="0"/>
    <n v="0"/>
  </r>
  <r>
    <n v="12"/>
    <s v="AZE"/>
    <x v="108"/>
    <x v="0"/>
    <x v="0"/>
    <n v="0"/>
    <n v="0"/>
    <x v="0"/>
    <n v="2015"/>
    <n v="0"/>
    <s v="na"/>
    <n v="48174235294.117645"/>
    <n v="3"/>
    <x v="28"/>
    <n v="2"/>
    <x v="29"/>
    <n v="5"/>
    <n v="2190000000"/>
    <n v="1.5568487915190206E-2"/>
    <n v="2.9891496797165192E-2"/>
    <n v="4.5459984712355399E-2"/>
    <n v="5.58605125760634E-4"/>
    <n v="1.8110018361546395E-3"/>
    <n v="1.0220129454973097E-3"/>
    <n v="128823529.41176471"/>
    <n v="2.6741167477856119E-3"/>
    <n v="1"/>
    <n v="2"/>
    <n v="700000000"/>
    <n v="0"/>
    <n v="0"/>
    <n v="0"/>
    <n v="0"/>
    <n v="2"/>
    <n v="700000000"/>
    <n v="1.453058872084419E-2"/>
    <n v="1.7561363795442222E-2"/>
    <x v="98"/>
    <x v="97"/>
    <x v="98"/>
    <n v="2184314000"/>
    <n v="13649506000"/>
    <n v="19635203000"/>
    <n v="5985697000"/>
    <n v="33284709000"/>
    <n v="0.1049232844031132"/>
    <n v="3.8306861406016531E-2"/>
    <n v="5.4629274873356694E-3"/>
    <n v="9.4904181251085715E-3"/>
    <n v="6.5625149374146555E-2"/>
    <n v="4.5341954815974368E-2"/>
    <n v="27"/>
    <n v="1079802016.287219"/>
    <n v="15"/>
    <n v="48909490.424316585"/>
    <n v="10"/>
    <n v="551122917.32230496"/>
    <n v="2"/>
    <n v="479769608.54059738"/>
    <n v="2.2414512855154115E-2"/>
    <n v="1.015262414145445E-3"/>
    <n v="1.14402006374889E-2"/>
    <n v="9.9590498035197674E-3"/>
    <n v="63517765.663954064"/>
    <n v="1.3185007561855363E-3"/>
  </r>
  <r>
    <n v="195"/>
    <s v="TTO"/>
    <x v="109"/>
    <x v="1"/>
    <x v="1"/>
    <n v="0"/>
    <n v="0"/>
    <x v="0"/>
    <n v="2018"/>
    <n v="0"/>
    <s v="na"/>
    <n v="23208326547.532684"/>
    <n v="3"/>
    <x v="29"/>
    <n v="6"/>
    <x v="30"/>
    <n v="9"/>
    <n v="2280000000"/>
    <n v="5.8168778228584551E-2"/>
    <n v="4.0071825001913801E-2"/>
    <n v="9.8240603230498352E-2"/>
    <n v="1.0054892263691411E-3"/>
    <n v="1.1696053525165379E-3"/>
    <n v="1.0640134775040484E-3"/>
    <n v="134117647.05882353"/>
    <n v="5.7788590135587261E-3"/>
    <n v="0"/>
    <s v="na"/>
    <s v="na"/>
    <s v="na"/>
    <s v="na"/>
    <s v="na"/>
    <s v="na"/>
    <n v="0"/>
    <s v="na"/>
    <s v="na"/>
    <s v="na"/>
    <x v="99"/>
    <x v="98"/>
    <x v="99"/>
    <n v="1045492000"/>
    <n v="7163292000"/>
    <n v="11137532000"/>
    <n v="3974240000"/>
    <n v="18300824000"/>
    <n v="5.0740218324200663E-2"/>
    <n v="6.1236636626498579E-2"/>
    <n v="2.8669568529887971E-3"/>
    <n v="5.3831801770410385E-3"/>
    <n v="5.7128138055423078E-2"/>
    <n v="4.5048142435377268E-2"/>
    <n v="29"/>
    <n v="1142178893.3632855"/>
    <n v="9"/>
    <n v="329665259.88211739"/>
    <n v="20"/>
    <n v="812513633.48116803"/>
    <n v="0"/>
    <n v="0"/>
    <n v="4.9214185737347461E-2"/>
    <n v="1.4204611401297465E-2"/>
    <n v="3.5009574336049995E-2"/>
    <n v="0"/>
    <n v="67186993.727252096"/>
    <n v="2.8949521021969099E-3"/>
  </r>
  <r>
    <n v="129"/>
    <s v="MAR"/>
    <x v="110"/>
    <x v="5"/>
    <x v="2"/>
    <n v="0"/>
    <n v="0"/>
    <x v="0"/>
    <n v="2017"/>
    <n v="0"/>
    <s v="na"/>
    <n v="119700325461.93758"/>
    <n v="4"/>
    <x v="30"/>
    <n v="4"/>
    <x v="31"/>
    <n v="8"/>
    <n v="2300000000"/>
    <n v="8.6883640122657826E-3"/>
    <n v="1.0526287168706622E-2"/>
    <n v="1.9214651180972403E-2"/>
    <n v="7.7459910772141247E-4"/>
    <n v="1.5846266066353095E-3"/>
    <n v="1.0733469290611015E-3"/>
    <n v="135294117.64705881"/>
    <n v="1.1302735988807295E-3"/>
    <n v="3"/>
    <n v="0"/>
    <n v="0"/>
    <n v="0"/>
    <n v="0"/>
    <n v="0"/>
    <n v="0"/>
    <n v="0"/>
    <n v="0"/>
    <n v="0"/>
    <n v="0"/>
    <x v="100"/>
    <x v="99"/>
    <x v="100"/>
    <n v="5465123000"/>
    <n v="51067504000"/>
    <n v="29592492000"/>
    <n v="-21475012000"/>
    <n v="80659996000"/>
    <n v="0.10146712868520068"/>
    <n v="9.5784430726550511E-3"/>
    <n v="2.0438693628269347E-2"/>
    <n v="1.4303143310712417E-2"/>
    <n v="6.7755061629311261E-2"/>
    <n v="4.5656709611351931E-2"/>
    <n v="59"/>
    <n v="992214985.20459378"/>
    <n v="44"/>
    <n v="165057422.02168748"/>
    <n v="10"/>
    <n v="656287159.22629499"/>
    <n v="5"/>
    <n v="170870403.95661148"/>
    <n v="8.2891586248869404E-3"/>
    <n v="1.3789220821640339E-3"/>
    <n v="5.4827516691671975E-3"/>
    <n v="1.4274848735557116E-3"/>
    <n v="58365587.364976108"/>
    <n v="4.8759756616982011E-4"/>
  </r>
  <r>
    <n v="189"/>
    <s v="TJK"/>
    <x v="111"/>
    <x v="0"/>
    <x v="2"/>
    <n v="2"/>
    <n v="0"/>
    <x v="0"/>
    <n v="2018"/>
    <n v="0"/>
    <s v="na"/>
    <n v="8300784856.8790398"/>
    <n v="5"/>
    <x v="31"/>
    <n v="2"/>
    <x v="32"/>
    <n v="7"/>
    <n v="2320000000"/>
    <n v="0.19395756277983259"/>
    <n v="8.5534080480547295E-2"/>
    <n v="0.2794916432603799"/>
    <n v="1.1991390032994942E-3"/>
    <n v="8.9292451643735698E-4"/>
    <n v="1.0826803806181545E-3"/>
    <n v="136470588.2352941"/>
    <n v="1.6440684897669401E-2"/>
    <n v="1"/>
    <n v="2"/>
    <n v="87500000"/>
    <n v="1"/>
    <n v="55000000"/>
    <n v="0"/>
    <n v="0"/>
    <n v="3"/>
    <n v="142500000"/>
    <n v="1.7167051364053505E-2"/>
    <n v="3.5749919155007386E-3"/>
    <x v="101"/>
    <x v="100"/>
    <x v="101"/>
    <n v="660887000"/>
    <n v="3327744000"/>
    <n v="1115850000"/>
    <n v="-2211894000"/>
    <n v="4443594000"/>
    <n v="0.18194548619124548"/>
    <n v="4.9665277591074072E-2"/>
    <n v="1.3318594950188197E-3"/>
    <n v="5.3933147851348404E-4"/>
    <n v="0.14872803410932681"/>
    <n v="7.9617411051475295E-2"/>
    <n v="110"/>
    <n v="4526207246.7776613"/>
    <n v="68"/>
    <n v="1220500441.5102644"/>
    <n v="33"/>
    <n v="2663613033.5387716"/>
    <n v="9"/>
    <n v="642093771.72862554"/>
    <n v="0.54527461255988285"/>
    <n v="0.14703434224039783"/>
    <n v="0.32088688954892958"/>
    <n v="7.7353380770555522E-2"/>
    <n v="266247485.1045683"/>
    <n v="3.2074977209404873E-2"/>
  </r>
  <r>
    <n v="71"/>
    <s v="GEO"/>
    <x v="112"/>
    <x v="0"/>
    <x v="0"/>
    <n v="0"/>
    <n v="1"/>
    <x v="0"/>
    <n v="2016"/>
    <n v="0"/>
    <s v="na"/>
    <n v="17477255562.258259"/>
    <n v="6"/>
    <x v="30"/>
    <n v="6"/>
    <x v="33"/>
    <n v="12"/>
    <n v="2370000000"/>
    <n v="5.9505910198272588E-2"/>
    <n v="7.6098904388175515E-2"/>
    <n v="0.1356048145864481"/>
    <n v="7.7459910772141247E-4"/>
    <n v="1.6726614181150489E-3"/>
    <n v="1.1060140095107871E-3"/>
    <n v="139411764.70588234"/>
    <n v="7.9767537992028285E-3"/>
    <n v="1"/>
    <n v="4"/>
    <n v="364000000"/>
    <n v="1"/>
    <n v="100000000"/>
    <n v="0"/>
    <n v="0"/>
    <n v="5"/>
    <n v="464000000"/>
    <n v="2.6548790703844694E-2"/>
    <n v="1.1640675430121704E-2"/>
    <x v="102"/>
    <x v="101"/>
    <x v="102"/>
    <n v="1014954000"/>
    <n v="7398894000"/>
    <n v="2699657000"/>
    <n v="-4699237000"/>
    <n v="10098551000"/>
    <n v="0.1090119685455691"/>
    <n v="7.7189805964239161E-2"/>
    <n v="2.9612515946352172E-3"/>
    <n v="1.3048438421734794E-3"/>
    <n v="0.10050491402182353"/>
    <n v="5.8072847672478417E-2"/>
    <n v="43"/>
    <n v="452734039.2174657"/>
    <n v="28"/>
    <n v="97553120.836823016"/>
    <n v="12"/>
    <n v="310962176.45045644"/>
    <n v="3"/>
    <n v="44218741.930186108"/>
    <n v="2.5904183732092051E-2"/>
    <n v="5.5817185077665626E-3"/>
    <n v="1.7792391679731016E-2"/>
    <n v="2.5300735445944666E-3"/>
    <n v="26631414.071615629"/>
    <n v="1.5237755136524736E-3"/>
  </r>
  <r>
    <n v="149"/>
    <s v="PAN"/>
    <x v="113"/>
    <x v="1"/>
    <x v="0"/>
    <n v="0"/>
    <n v="0"/>
    <x v="0"/>
    <n v="2017"/>
    <n v="1"/>
    <n v="2017"/>
    <n v="66787899999.999992"/>
    <n v="0"/>
    <x v="0"/>
    <n v="7"/>
    <x v="34"/>
    <n v="7"/>
    <n v="2390000000"/>
    <n v="0"/>
    <n v="3.5784925113680775E-2"/>
    <n v="3.5784925113680775E-2"/>
    <n v="0"/>
    <n v="3.0057599919511031E-3"/>
    <n v="1.1153474610678402E-3"/>
    <n v="140588235.29411766"/>
    <n v="2.1049955949223988E-3"/>
    <n v="0"/>
    <s v="na"/>
    <s v="na"/>
    <s v="na"/>
    <s v="na"/>
    <s v="na"/>
    <s v="na"/>
    <n v="0"/>
    <s v="na"/>
    <s v="na"/>
    <s v="na"/>
    <x v="103"/>
    <x v="102"/>
    <x v="103"/>
    <n v="5168273000"/>
    <n v="21490941000"/>
    <n v="11473935000"/>
    <n v="-10017006000"/>
    <n v="32964876000"/>
    <n v="0.21563113499776487"/>
    <n v="4.6553950323058306E-2"/>
    <n v="8.6012968028007109E-3"/>
    <n v="5.5457761598042875E-3"/>
    <n v="0.15678120554738323"/>
    <n v="7.7383373335589242E-2"/>
    <n v="8"/>
    <n v="97687391.995888039"/>
    <n v="3"/>
    <n v="14798489.4873379"/>
    <n v="2"/>
    <n v="0"/>
    <n v="3"/>
    <n v="82888902.508550152"/>
    <n v="1.4626510490057039E-3"/>
    <n v="2.2157440924685314E-4"/>
    <n v="0"/>
    <n v="1.241076639758851E-3"/>
    <n v="5746317.1762287086"/>
    <n v="8.6038297000335531E-5"/>
  </r>
  <r>
    <n v="41"/>
    <s v="COL"/>
    <x v="114"/>
    <x v="1"/>
    <x v="0"/>
    <n v="0"/>
    <n v="0"/>
    <x v="1"/>
    <s v="na"/>
    <n v="0"/>
    <s v="na"/>
    <n v="323429888934.25677"/>
    <n v="7"/>
    <x v="32"/>
    <n v="0"/>
    <x v="0"/>
    <n v="7"/>
    <n v="2440000000"/>
    <n v="7.5441388798051867E-3"/>
    <n v="0"/>
    <n v="7.5441388798051867E-3"/>
    <n v="1.8173286758079291E-3"/>
    <n v="0"/>
    <n v="1.1386810899604728E-3"/>
    <n v="143529411.7647059"/>
    <n v="4.4377287528265809E-4"/>
    <n v="0"/>
    <s v="na"/>
    <s v="na"/>
    <s v="na"/>
    <s v="na"/>
    <s v="na"/>
    <s v="na"/>
    <n v="0"/>
    <s v="na"/>
    <s v="na"/>
    <s v="na"/>
    <x v="104"/>
    <x v="103"/>
    <x v="104"/>
    <n v="15048186000"/>
    <n v="50413025000"/>
    <n v="39496225000"/>
    <n v="-10916800000"/>
    <n v="89909250000"/>
    <n v="0.20794739058011297"/>
    <n v="0.1155788686133928"/>
    <n v="2.0176752183723008E-2"/>
    <n v="1.9089982905364733E-2"/>
    <n v="0.167370832255858"/>
    <n v="4.6526887325057421E-2"/>
    <n v="46"/>
    <n v="672303255.93577743"/>
    <n v="34"/>
    <n v="59405922.509903975"/>
    <n v="9"/>
    <n v="510473727.21455789"/>
    <n v="3"/>
    <n v="102423606.21131551"/>
    <n v="2.0786676771002936E-3"/>
    <n v="1.8367480725313965E-4"/>
    <n v="1.5783133986059072E-3"/>
    <n v="3.1667947124124649E-4"/>
    <n v="39547250.349163376"/>
    <n v="1.2227456924119372E-4"/>
  </r>
  <r>
    <n v="24"/>
    <s v="BIH"/>
    <x v="115"/>
    <x v="0"/>
    <x v="0"/>
    <n v="0"/>
    <n v="0"/>
    <x v="0"/>
    <n v="2017"/>
    <n v="0"/>
    <s v="na"/>
    <n v="20202479537.519318"/>
    <n v="2"/>
    <x v="33"/>
    <n v="6"/>
    <x v="35"/>
    <n v="8"/>
    <n v="2490000000"/>
    <n v="4.9003885793395194E-2"/>
    <n v="7.4248311808174539E-2"/>
    <n v="0.12325219760156973"/>
    <n v="7.3735876600403681E-4"/>
    <n v="1.886460245994416E-3"/>
    <n v="1.1620147188531056E-3"/>
    <n v="146470588.2352941"/>
    <n v="7.2501292706805718E-3"/>
    <n v="0"/>
    <s v="na"/>
    <s v="na"/>
    <s v="na"/>
    <s v="na"/>
    <s v="na"/>
    <s v="na"/>
    <n v="0"/>
    <s v="na"/>
    <s v="na"/>
    <s v="na"/>
    <x v="105"/>
    <x v="104"/>
    <x v="105"/>
    <n v="846705000"/>
    <n v="11159373000"/>
    <n v="6578244000"/>
    <n v="-4581129000"/>
    <n v="17737617000"/>
    <n v="7.4337151379383057E-2"/>
    <n v="2.6069267117486065E-3"/>
    <n v="4.466304165376498E-3"/>
    <n v="3.1795080544360409E-3"/>
    <n v="4.7734991684621447E-2"/>
    <n v="4.1910944566360284E-2"/>
    <n v="29"/>
    <n v="3078201914.6931601"/>
    <n v="20"/>
    <n v="58625691.477180719"/>
    <n v="7"/>
    <n v="2472009080.1990881"/>
    <n v="2"/>
    <n v="547567143.01689136"/>
    <n v="0.1523675303804384"/>
    <n v="2.9019057471783697E-3"/>
    <n v="0.12236166731950708"/>
    <n v="2.7103957313752966E-2"/>
    <n v="181070700.86430353"/>
    <n v="8.9627959047316706E-3"/>
  </r>
  <r>
    <n v="119"/>
    <s v="MLI"/>
    <x v="116"/>
    <x v="3"/>
    <x v="3"/>
    <n v="0"/>
    <n v="0"/>
    <x v="0"/>
    <n v="2019"/>
    <n v="0"/>
    <s v="na"/>
    <n v="17281815733.959595"/>
    <n v="3"/>
    <x v="34"/>
    <n v="4"/>
    <x v="36"/>
    <n v="7"/>
    <n v="2510000000"/>
    <n v="3.9926360205549294E-2"/>
    <n v="0.10531300807840538"/>
    <n v="0.14523936828395467"/>
    <n v="5.139167156997833E-4"/>
    <n v="2.2889050984732247E-3"/>
    <n v="1.1713481704101584E-3"/>
    <n v="147647058.82352942"/>
    <n v="8.5434922519973342E-3"/>
    <n v="0"/>
    <s v="na"/>
    <s v="na"/>
    <s v="na"/>
    <s v="na"/>
    <s v="na"/>
    <s v="na"/>
    <n v="0"/>
    <s v="na"/>
    <s v="na"/>
    <s v="na"/>
    <x v="106"/>
    <x v="105"/>
    <x v="106"/>
    <n v="828847"/>
    <n v="5049220000"/>
    <n v="3642251000"/>
    <n v="-1406969000"/>
    <n v="8691471000"/>
    <n v="1.5763860556680041E-4"/>
    <n v="9.0315027712258163E-6"/>
    <n v="2.0208440311030311E-3"/>
    <n v="1.7604343029504108E-3"/>
    <n v="9.5363258992637722E-5"/>
    <n v="4.7960643300418714E-5"/>
    <n v="149"/>
    <n v="3652028013.9940505"/>
    <n v="130"/>
    <n v="2855610033.669302"/>
    <n v="6"/>
    <n v="646014104.18274343"/>
    <n v="13"/>
    <n v="150403876.14200509"/>
    <n v="0.21132200864852649"/>
    <n v="0.16523784755197288"/>
    <n v="3.7381147567341247E-2"/>
    <n v="8.7030135292123431E-3"/>
    <n v="214825177.29376769"/>
    <n v="1.2430706391089794E-2"/>
  </r>
  <r>
    <n v="54"/>
    <s v="DJI"/>
    <x v="117"/>
    <x v="5"/>
    <x v="2"/>
    <n v="0"/>
    <n v="0"/>
    <x v="0"/>
    <n v="2018"/>
    <n v="0"/>
    <s v="na"/>
    <n v="3324634256.1332436"/>
    <n v="3"/>
    <x v="35"/>
    <n v="3"/>
    <x v="37"/>
    <n v="6"/>
    <n v="2600000000"/>
    <n v="0.33687916134950424"/>
    <n v="0.44516174892613064"/>
    <n v="0.78204091027563483"/>
    <n v="8.3418365446921337E-4"/>
    <n v="1.8613074427144905E-3"/>
    <n v="1.2133487024168974E-3"/>
    <n v="152941176.47058824"/>
    <n v="4.6002406486802053E-2"/>
    <n v="3"/>
    <n v="0"/>
    <n v="0"/>
    <n v="0"/>
    <n v="0"/>
    <n v="0"/>
    <n v="0"/>
    <n v="0"/>
    <n v="0"/>
    <n v="0"/>
    <n v="0"/>
    <x v="107"/>
    <x v="106"/>
    <x v="107"/>
    <n v="2230427000"/>
    <n v="5301007000"/>
    <n v="193889000"/>
    <n v="-5107118000"/>
    <n v="5494896000"/>
    <n v="0.41695681594082029"/>
    <n v="0.10385323561419163"/>
    <n v="2.1216164783442563E-3"/>
    <n v="9.3713707969261925E-5"/>
    <n v="0.40590886524512931"/>
    <n v="0.67087890822436669"/>
    <n v="96"/>
    <n v="2750209235.8192444"/>
    <n v="83"/>
    <n v="705039731.5457077"/>
    <n v="7"/>
    <n v="1179677224.0810373"/>
    <n v="6"/>
    <n v="865492280.19250023"/>
    <n v="0.82722159008789997"/>
    <n v="0.21206535132249787"/>
    <n v="0.35482917313529555"/>
    <n v="0.26032706563010682"/>
    <n v="161777013.87172025"/>
    <n v="4.8660093534582352E-2"/>
  </r>
  <r>
    <n v="110"/>
    <s v="LBY"/>
    <x v="118"/>
    <x v="5"/>
    <x v="0"/>
    <n v="0"/>
    <n v="0"/>
    <x v="0"/>
    <n v="2018"/>
    <n v="0"/>
    <s v="na"/>
    <n v="52091152228.342514"/>
    <n v="1"/>
    <x v="36"/>
    <n v="0"/>
    <x v="0"/>
    <n v="1"/>
    <n v="2600000000"/>
    <n v="4.9912506995484621E-2"/>
    <n v="0"/>
    <n v="4.9912506995484621E-2"/>
    <n v="1.9364977693035312E-3"/>
    <n v="0"/>
    <n v="1.2133487024168974E-3"/>
    <n v="152941176.47058824"/>
    <n v="2.936029823263801E-3"/>
    <n v="3"/>
    <n v="0"/>
    <n v="0"/>
    <n v="0"/>
    <n v="0"/>
    <n v="0"/>
    <n v="0"/>
    <n v="0"/>
    <n v="0"/>
    <n v="0"/>
    <n v="0"/>
    <x v="108"/>
    <x v="107"/>
    <x v="108"/>
    <n v="7219552000"/>
    <n v="15501101000"/>
    <n v="29471855000"/>
    <n v="13970754000"/>
    <n v="44972956000"/>
    <n v="0.15830404562875888"/>
    <n v="0.16170224100247507"/>
    <n v="6.2039894144789139E-3"/>
    <n v="1.4244834997253233E-2"/>
    <n v="0.16053096443115725"/>
    <n v="0.13859459219394807"/>
    <n v="7"/>
    <n v="394418703.00868791"/>
    <n v="6"/>
    <n v="3304198.7619668599"/>
    <n v="1"/>
    <n v="391114504.24672103"/>
    <n v="0"/>
    <n v="0"/>
    <n v="7.5717024127196567E-3"/>
    <n v="6.3431093777362513E-5"/>
    <n v="7.5082713189422931E-3"/>
    <n v="0"/>
    <n v="23201100.176981643"/>
    <n v="4.4539425957174452E-4"/>
  </r>
  <r>
    <n v="94"/>
    <s v="JAM"/>
    <x v="119"/>
    <x v="1"/>
    <x v="0"/>
    <n v="1"/>
    <n v="0"/>
    <x v="0"/>
    <n v="2019"/>
    <n v="0"/>
    <s v="na"/>
    <n v="15830768549.891571"/>
    <n v="2"/>
    <x v="37"/>
    <n v="4"/>
    <x v="38"/>
    <n v="6"/>
    <n v="2680000000"/>
    <n v="3.4110788639108658E-2"/>
    <n v="0.1351797920142454"/>
    <n v="0.16929058065335406"/>
    <n v="4.0219569054765649E-4"/>
    <n v="2.6913499509520337E-3"/>
    <n v="1.2506825086451095E-3"/>
    <n v="157647058.82352942"/>
    <n v="9.9582694501972983E-3"/>
    <n v="0"/>
    <s v="na"/>
    <s v="na"/>
    <s v="na"/>
    <s v="na"/>
    <s v="na"/>
    <s v="na"/>
    <n v="0"/>
    <s v="na"/>
    <s v="na"/>
    <s v="na"/>
    <x v="109"/>
    <x v="108"/>
    <x v="109"/>
    <n v="528351"/>
    <n v="6339233000"/>
    <n v="1586351000"/>
    <n v="-4752882000"/>
    <n v="7925584000"/>
    <n v="7.7636837137868263E-5"/>
    <n v="2.2815253370786162E-5"/>
    <n v="2.5371445826922493E-3"/>
    <n v="7.6674197273051401E-4"/>
    <n v="6.6663983373338795E-5"/>
    <n v="3.3374943126410549E-5"/>
    <n v="79"/>
    <n v="2417432921.7819471"/>
    <n v="52"/>
    <n v="392676844.9338299"/>
    <n v="24"/>
    <n v="2003071917.3938727"/>
    <n v="3"/>
    <n v="21684159.454244822"/>
    <n v="0.15270471008171646"/>
    <n v="2.4804660853722068E-2"/>
    <n v="0.12653030148732686"/>
    <n v="1.3697477406675459E-3"/>
    <n v="142201936.57540867"/>
    <n v="8.9826300048068512E-3"/>
  </r>
  <r>
    <n v="81"/>
    <s v="GUY"/>
    <x v="120"/>
    <x v="1"/>
    <x v="0"/>
    <n v="0"/>
    <n v="0"/>
    <x v="0"/>
    <n v="2018"/>
    <n v="0"/>
    <s v="na"/>
    <n v="5173759527.5070505"/>
    <n v="4"/>
    <x v="38"/>
    <n v="4"/>
    <x v="39"/>
    <n v="8"/>
    <n v="2750000000"/>
    <n v="0.17782040218697548"/>
    <n v="0.35370797391539688"/>
    <n v="0.53152837610237236"/>
    <n v="6.8522228759971106E-4"/>
    <n v="2.3014815001131876E-3"/>
    <n v="1.2833495890947951E-3"/>
    <n v="161764705.88235295"/>
    <n v="3.1266375064845434E-2"/>
    <n v="0"/>
    <s v="na"/>
    <s v="na"/>
    <s v="na"/>
    <s v="na"/>
    <s v="na"/>
    <s v="na"/>
    <n v="0"/>
    <s v="na"/>
    <s v="na"/>
    <s v="na"/>
    <x v="110"/>
    <x v="109"/>
    <x v="110"/>
    <n v="254378000"/>
    <n v="5980170000"/>
    <n v="3842163000"/>
    <n v="-2138007000"/>
    <n v="9822333000"/>
    <n v="3.7343754441763362E-2"/>
    <n v="8.0829470274946698E-3"/>
    <n v="2.3934371743519617E-3"/>
    <n v="1.8570591490610776E-3"/>
    <n v="2.5897920585669414E-2"/>
    <n v="4.9166954638607013E-2"/>
    <n v="69"/>
    <n v="1083990022.7455916"/>
    <n v="61"/>
    <n v="502081136.62308753"/>
    <n v="7"/>
    <n v="581908886.12250423"/>
    <n v="1"/>
    <n v="0"/>
    <n v="0.2095168932731411"/>
    <n v="9.7043771353055669E-2"/>
    <n v="0.11247312192008546"/>
    <n v="0"/>
    <n v="63764118.985034801"/>
    <n v="1.2324523133714183E-2"/>
  </r>
  <r>
    <n v="154"/>
    <s v="POL"/>
    <x v="121"/>
    <x v="0"/>
    <x v="1"/>
    <n v="2"/>
    <n v="0"/>
    <x v="0"/>
    <n v="2015"/>
    <n v="0"/>
    <s v="na"/>
    <n v="595862086928.21094"/>
    <n v="2"/>
    <x v="39"/>
    <n v="11"/>
    <x v="40"/>
    <n v="13"/>
    <n v="2810000000"/>
    <n v="1.1076388554983132E-3"/>
    <n v="3.6082174838202629E-3"/>
    <n v="4.7158563393185759E-3"/>
    <n v="4.9157251066935794E-4"/>
    <n v="2.7039263525919966E-3"/>
    <n v="1.3113499437659543E-3"/>
    <n v="165294117.64705881"/>
    <n v="2.7740331407756329E-4"/>
    <n v="2"/>
    <n v="0"/>
    <n v="0"/>
    <n v="0"/>
    <n v="0"/>
    <n v="0"/>
    <n v="0"/>
    <n v="0"/>
    <n v="0"/>
    <n v="0"/>
    <n v="0"/>
    <x v="111"/>
    <x v="110"/>
    <x v="111"/>
    <n v="33116140000"/>
    <n v="246653880000"/>
    <n v="251864773000"/>
    <n v="5210893000"/>
    <n v="498518653000"/>
    <n v="0.12330864610765499"/>
    <n v="1.0726327337566973E-2"/>
    <n v="9.8718024001014676E-2"/>
    <n v="0.12173553829596546"/>
    <n v="6.6429089063594182E-2"/>
    <n v="5.5576853648669565E-2"/>
    <s v="na"/>
    <s v="na"/>
    <s v="na"/>
    <s v="na"/>
    <s v="na"/>
    <s v="na"/>
    <s v="na"/>
    <s v="na"/>
    <n v="0"/>
    <n v="0"/>
    <n v="0"/>
    <n v="0"/>
    <n v="0"/>
    <n v="0"/>
  </r>
  <r>
    <n v="134"/>
    <s v="NPL"/>
    <x v="122"/>
    <x v="6"/>
    <x v="2"/>
    <n v="1"/>
    <n v="0"/>
    <x v="0"/>
    <n v="2017"/>
    <n v="0"/>
    <s v="na"/>
    <n v="34186180694.928478"/>
    <n v="3"/>
    <x v="5"/>
    <n v="13"/>
    <x v="41"/>
    <n v="16"/>
    <n v="2930000000"/>
    <n v="1.3163213639327587E-2"/>
    <n v="7.2543932945627596E-2"/>
    <n v="8.5707146584955179E-2"/>
    <n v="3.3516307545638038E-4"/>
    <n v="3.1189476067107679E-3"/>
    <n v="1.3673506531082728E-3"/>
    <n v="172352941.17647058"/>
    <n v="5.0415968579385394E-3"/>
    <n v="1"/>
    <n v="2"/>
    <n v="202300000"/>
    <n v="3"/>
    <n v="362000000"/>
    <n v="0"/>
    <n v="0"/>
    <n v="5"/>
    <n v="564300000"/>
    <n v="1.6506669903716794E-2"/>
    <n v="1.4156967985382924E-2"/>
    <x v="112"/>
    <x v="111"/>
    <x v="112"/>
    <n v="1958005"/>
    <n v="12325259000"/>
    <n v="959629000"/>
    <n v="-11365630000"/>
    <n v="13284888000"/>
    <n v="1.5739133757757139E-4"/>
    <n v="1.8878128943581321E-5"/>
    <n v="4.9329254977895426E-3"/>
    <n v="4.6382410484779873E-4"/>
    <n v="1.4738588688139486E-4"/>
    <n v="5.7274751381936916E-5"/>
    <n v="157"/>
    <n v="4542336114.3011894"/>
    <n v="142"/>
    <n v="2330204591.3633966"/>
    <n v="12"/>
    <n v="1759332002.6515505"/>
    <n v="3"/>
    <n v="452799520.28624201"/>
    <n v="0.13287053487595488"/>
    <n v="6.8162179687685398E-2"/>
    <n v="5.1463251140907572E-2"/>
    <n v="1.3245104047361888E-2"/>
    <n v="267196242.01771703"/>
    <n v="7.8159138162326395E-3"/>
  </r>
  <r>
    <n v="132"/>
    <s v="NAM"/>
    <x v="123"/>
    <x v="3"/>
    <x v="0"/>
    <n v="0"/>
    <n v="0"/>
    <x v="0"/>
    <n v="2018"/>
    <n v="0"/>
    <s v="na"/>
    <n v="12565772084.744125"/>
    <n v="0"/>
    <x v="0"/>
    <n v="7"/>
    <x v="42"/>
    <n v="7"/>
    <n v="3250000000"/>
    <n v="0"/>
    <n v="0.25863910136853158"/>
    <n v="0.25863910136853158"/>
    <n v="0"/>
    <n v="4.0873305329879013E-3"/>
    <n v="1.5166858780211216E-3"/>
    <n v="191176470.58823529"/>
    <n v="1.5214064786384209E-2"/>
    <n v="0"/>
    <s v="na"/>
    <s v="na"/>
    <s v="na"/>
    <s v="na"/>
    <s v="na"/>
    <s v="na"/>
    <n v="0"/>
    <s v="na"/>
    <s v="na"/>
    <s v="na"/>
    <x v="113"/>
    <x v="112"/>
    <x v="113"/>
    <n v="1955732000"/>
    <n v="7715202000"/>
    <n v="6439325000"/>
    <n v="-1275877000"/>
    <n v="14154527000"/>
    <n v="4.0149305228819675E-2"/>
    <n v="0.25561250596918156"/>
    <n v="3.0878472141150845E-3"/>
    <n v="3.112363375793199E-3"/>
    <n v="0.13817007096033657"/>
    <n v="0.15563962061467107"/>
    <n v="140"/>
    <n v="3212928697.5196543"/>
    <n v="117"/>
    <n v="350831970.32019562"/>
    <n v="22"/>
    <n v="2862096727.1994586"/>
    <n v="1"/>
    <n v="0"/>
    <n v="0.25568892033466151"/>
    <n v="2.7919650933835916E-2"/>
    <n v="0.22776926940082559"/>
    <n v="0"/>
    <n v="188995805.73645025"/>
    <n v="1.5040524725568325E-2"/>
  </r>
  <r>
    <n v="60"/>
    <s v="GNQ"/>
    <x v="124"/>
    <x v="3"/>
    <x v="0"/>
    <n v="0"/>
    <n v="0"/>
    <x v="0"/>
    <n v="2019"/>
    <n v="0"/>
    <s v="na"/>
    <n v="11417278044.985857"/>
    <n v="8"/>
    <x v="40"/>
    <n v="5"/>
    <x v="43"/>
    <n v="13"/>
    <n v="3360000000"/>
    <n v="0.18218002502912475"/>
    <n v="0.11211078463330754"/>
    <n v="0.29429080966243232"/>
    <n v="1.5491982154428249E-3"/>
    <n v="1.609779409915235E-3"/>
    <n v="1.5680198615849134E-3"/>
    <n v="197647058.82352942"/>
    <n v="1.7311224097790137E-2"/>
    <n v="0"/>
    <s v="na"/>
    <s v="na"/>
    <s v="na"/>
    <s v="na"/>
    <s v="na"/>
    <s v="na"/>
    <n v="0"/>
    <s v="na"/>
    <s v="na"/>
    <s v="na"/>
    <x v="114"/>
    <x v="113"/>
    <x v="114"/>
    <n v="1836309000"/>
    <n v="1028414000"/>
    <n v="5072616000"/>
    <n v="4044202000"/>
    <n v="6101030000"/>
    <n v="0.11016672274006382"/>
    <n v="0.33966931461005523"/>
    <n v="4.116010578669166E-4"/>
    <n v="2.4517824861864548E-3"/>
    <n v="0.30098344050103015"/>
    <n v="0.1608359709525034"/>
    <n v="121"/>
    <n v="9890268670.6055279"/>
    <n v="89"/>
    <n v="237978965.35684896"/>
    <n v="29"/>
    <n v="9256483708.7608376"/>
    <n v="3"/>
    <n v="395805996.48784"/>
    <n v="0.86625451632484785"/>
    <n v="2.0843756665921132E-2"/>
    <n v="0.81074347776141098"/>
    <n v="3.4667281897515556E-2"/>
    <n v="581780510.03561926"/>
    <n v="5.0956148019108694E-2"/>
  </r>
  <r>
    <n v="1"/>
    <s v="AFG"/>
    <x v="125"/>
    <x v="6"/>
    <x v="3"/>
    <n v="2"/>
    <n v="0"/>
    <x v="0"/>
    <n v="2013"/>
    <n v="0"/>
    <s v="na"/>
    <n v="19291104007.613544"/>
    <n v="2"/>
    <x v="41"/>
    <n v="1"/>
    <x v="44"/>
    <n v="3"/>
    <n v="3480000000"/>
    <n v="0.16950818360159386"/>
    <n v="1.0885846653313368E-2"/>
    <n v="0.18039403025490724"/>
    <n v="2.4355183483163643E-3"/>
    <n v="2.6410443443921825E-4"/>
    <n v="1.6240205709272318E-3"/>
    <n v="204705882.35294119"/>
    <n v="1.0611413544406308E-2"/>
    <n v="1"/>
    <n v="0"/>
    <n v="0"/>
    <n v="0"/>
    <n v="0"/>
    <n v="0"/>
    <n v="0"/>
    <n v="0"/>
    <n v="0"/>
    <n v="0"/>
    <n v="0"/>
    <x v="115"/>
    <x v="114"/>
    <x v="115"/>
    <n v="1187688"/>
    <n v="6776781000"/>
    <n v="863833000"/>
    <n v="-5912948000"/>
    <n v="7640614000"/>
    <n v="1.7068369185901095E-4"/>
    <n v="3.5888881299973489E-5"/>
    <n v="2.7122639603626756E-3"/>
    <n v="4.1752236329142676E-4"/>
    <n v="1.5544405200943276E-4"/>
    <n v="6.1566616380859276E-5"/>
    <n v="123"/>
    <n v="1522264756.7167196"/>
    <n v="113"/>
    <n v="1454135259.3851943"/>
    <n v="6"/>
    <n v="18129497.3315253"/>
    <n v="4"/>
    <n v="50000000"/>
    <n v="7.8910193844579007E-2"/>
    <n v="7.5378540223063256E-2"/>
    <n v="9.3978537072684912E-4"/>
    <n v="2.5918682507888972E-3"/>
    <n v="89544985.689218804"/>
    <n v="4.6417761085046473E-3"/>
  </r>
  <r>
    <n v="124"/>
    <s v="MEX"/>
    <x v="126"/>
    <x v="1"/>
    <x v="0"/>
    <n v="3"/>
    <n v="0"/>
    <x v="1"/>
    <s v="na"/>
    <n v="0"/>
    <s v="na"/>
    <n v="1268870527160.0325"/>
    <n v="15"/>
    <x v="42"/>
    <n v="0"/>
    <x v="0"/>
    <n v="15"/>
    <n v="3600000000"/>
    <n v="2.837168901745608E-3"/>
    <n v="0"/>
    <n v="2.837168901745608E-3"/>
    <n v="2.681304603651043E-3"/>
    <n v="0"/>
    <n v="1.68002128026955E-3"/>
    <n v="211764705.88235295"/>
    <n v="1.6689228833797695E-4"/>
    <n v="0"/>
    <s v="na"/>
    <s v="na"/>
    <s v="na"/>
    <s v="na"/>
    <s v="na"/>
    <s v="na"/>
    <n v="0"/>
    <s v="na"/>
    <s v="na"/>
    <s v="na"/>
    <x v="116"/>
    <x v="115"/>
    <x v="116"/>
    <n v="89982760000"/>
    <n v="455289486000"/>
    <n v="460703804000"/>
    <n v="5414318000"/>
    <n v="915993290000"/>
    <n v="0.18241676242003094"/>
    <n v="1.5042910303384428E-2"/>
    <n v="0.18222003402645695"/>
    <n v="0.22267514788556383"/>
    <n v="9.8235173753292451E-2"/>
    <n v="7.0915635657010728E-2"/>
    <n v="59"/>
    <n v="6218525621.0088673"/>
    <n v="17"/>
    <n v="3157034942.0911288"/>
    <n v="36"/>
    <n v="2963256979.8272028"/>
    <n v="6"/>
    <n v="98233699.090534985"/>
    <n v="4.9008354185096255E-3"/>
    <n v="2.4880670442847769E-3"/>
    <n v="2.3353501530684311E-3"/>
    <n v="7.7418221156417137E-5"/>
    <n v="365795624.7652275"/>
    <n v="2.882844363829192E-4"/>
  </r>
  <r>
    <n v="187"/>
    <s v="SYR"/>
    <x v="127"/>
    <x v="5"/>
    <x v="3"/>
    <n v="0"/>
    <n v="0"/>
    <x v="1"/>
    <s v="na"/>
    <n v="0"/>
    <s v="na"/>
    <s v="na"/>
    <n v="4"/>
    <x v="43"/>
    <n v="0"/>
    <x v="0"/>
    <n v="4"/>
    <n v="4060000000"/>
    <n v="0"/>
    <n v="0"/>
    <n v="0"/>
    <n v="3.0239157474508988E-3"/>
    <n v="0"/>
    <n v="1.8946906660817703E-3"/>
    <n v="238823529.41176471"/>
    <n v="0"/>
    <n v="0"/>
    <s v="na"/>
    <s v="na"/>
    <s v="na"/>
    <s v="na"/>
    <s v="na"/>
    <s v="na"/>
    <n v="0"/>
    <s v="na"/>
    <s v="na"/>
    <s v="na"/>
    <x v="117"/>
    <x v="116"/>
    <x v="117"/>
    <n v="1317198000"/>
    <n v="6283881000"/>
    <n v="736769000"/>
    <n v="-5547112000"/>
    <n v="7020650000"/>
    <n v="0.20939273038429596"/>
    <n v="1.898831248328852E-3"/>
    <n v="2.5149911097182825E-3"/>
    <n v="3.561076435837265E-4"/>
    <n v="0.18761767072849381"/>
    <s v="na"/>
    <n v="60"/>
    <n v="363754853.11969489"/>
    <n v="58"/>
    <n v="321470491.99145317"/>
    <n v="2"/>
    <n v="42284361.128241703"/>
    <n v="0"/>
    <n v="0"/>
    <n v="0"/>
    <n v="0"/>
    <n v="0"/>
    <n v="0"/>
    <n v="21397344.301158521"/>
    <n v="0"/>
  </r>
  <r>
    <n v="137"/>
    <s v="NZL"/>
    <x v="128"/>
    <x v="4"/>
    <x v="1"/>
    <n v="0"/>
    <n v="1"/>
    <x v="0"/>
    <n v="2017"/>
    <n v="0"/>
    <s v="na"/>
    <n v="212891048340.60776"/>
    <n v="5"/>
    <x v="29"/>
    <n v="10"/>
    <x v="45"/>
    <n v="15"/>
    <n v="4090000000"/>
    <n v="6.3412717938243872E-3"/>
    <n v="1.2870433122280608E-2"/>
    <n v="1.9211704916104994E-2"/>
    <n v="1.0054892263691411E-3"/>
    <n v="3.4459340493498002E-3"/>
    <n v="1.9086908434173498E-3"/>
    <n v="240588235.29411766"/>
    <n v="1.1301002891826468E-3"/>
    <n v="1"/>
    <n v="0"/>
    <n v="0"/>
    <n v="0"/>
    <n v="0"/>
    <n v="0"/>
    <n v="0"/>
    <n v="0"/>
    <n v="0"/>
    <n v="0"/>
    <n v="0"/>
    <x v="118"/>
    <x v="117"/>
    <x v="118"/>
    <n v="19570900000"/>
    <n v="42320991000"/>
    <n v="38183311000"/>
    <n v="-4137680000"/>
    <n v="80504302000"/>
    <n v="0.20218075706213967"/>
    <n v="0.28846136470459566"/>
    <n v="1.6938085893012208E-2"/>
    <n v="1.8455403124228331E-2"/>
    <n v="0.24310377847881967"/>
    <n v="9.192918233315385E-2"/>
    <s v="na"/>
    <s v="na"/>
    <s v="na"/>
    <s v="na"/>
    <s v="na"/>
    <s v="na"/>
    <s v="na"/>
    <s v="na"/>
    <n v="0"/>
    <n v="0"/>
    <n v="0"/>
    <n v="0"/>
    <n v="0"/>
    <n v="0"/>
  </r>
  <r>
    <n v="28"/>
    <s v="BRN"/>
    <x v="129"/>
    <x v="4"/>
    <x v="1"/>
    <n v="0"/>
    <n v="1"/>
    <x v="0"/>
    <n v="2018"/>
    <n v="0"/>
    <s v="na"/>
    <n v="13469422941.391878"/>
    <n v="1"/>
    <x v="44"/>
    <n v="3"/>
    <x v="46"/>
    <n v="4"/>
    <n v="4110000000"/>
    <n v="1.0393912241761779E-2"/>
    <n v="0.29474165428424476"/>
    <n v="0.30513556652600654"/>
    <n v="1.0427295680865167E-4"/>
    <n v="4.9928314510652213E-3"/>
    <n v="1.9180242949744029E-3"/>
    <n v="241764705.88235295"/>
    <n v="1.7949150972118032E-2"/>
    <n v="1"/>
    <n v="0"/>
    <n v="0"/>
    <n v="0"/>
    <n v="0"/>
    <n v="0"/>
    <n v="0"/>
    <n v="0"/>
    <n v="0"/>
    <n v="0"/>
    <n v="0"/>
    <x v="119"/>
    <x v="118"/>
    <x v="119"/>
    <n v="1099333000"/>
    <n v="5101654000"/>
    <n v="7249807000"/>
    <n v="2148153000"/>
    <n v="12351461000"/>
    <n v="0.1314920612021121"/>
    <n v="5.9105849300539998E-2"/>
    <n v="2.0418296359938572E-3"/>
    <n v="3.5040992321973448E-3"/>
    <n v="8.9004288642452911E-2"/>
    <n v="8.1616933760519303E-2"/>
    <n v="26"/>
    <n v="1770880321.4632452"/>
    <n v="0"/>
    <n v="0"/>
    <n v="26"/>
    <n v="1770880321.4632452"/>
    <n v="0"/>
    <n v="0"/>
    <n v="0.13147410465679898"/>
    <n v="0"/>
    <n v="0.13147410465679898"/>
    <n v="0"/>
    <n v="104169430.67430854"/>
    <n v="7.733770862164647E-3"/>
  </r>
  <r>
    <n v="18"/>
    <s v="BEL"/>
    <x v="130"/>
    <x v="0"/>
    <x v="1"/>
    <n v="0"/>
    <n v="0"/>
    <x v="1"/>
    <s v="na"/>
    <n v="0"/>
    <s v="na"/>
    <n v="533254518108.23444"/>
    <n v="10"/>
    <x v="45"/>
    <n v="0"/>
    <x v="0"/>
    <n v="10"/>
    <n v="4630000000"/>
    <n v="8.6825330921251592E-3"/>
    <n v="0"/>
    <n v="8.6825330921251592E-3"/>
    <n v="3.4484556430289803E-3"/>
    <n v="0"/>
    <n v="2.1606940354577824E-3"/>
    <n v="272352941.17647058"/>
    <n v="5.1073724071324462E-4"/>
    <n v="2"/>
    <n v="0"/>
    <n v="0"/>
    <n v="0"/>
    <n v="0"/>
    <n v="0"/>
    <n v="0"/>
    <n v="0"/>
    <n v="0"/>
    <n v="0"/>
    <n v="0"/>
    <x v="120"/>
    <x v="119"/>
    <x v="120"/>
    <n v="26163707000"/>
    <n v="427766455000"/>
    <n v="446876870000"/>
    <n v="19110415000"/>
    <n v="874643325000"/>
    <n v="4.2645573973302792E-2"/>
    <n v="1.7726048340787923E-2"/>
    <n v="0.171204520162095"/>
    <n v="0.21599208048624638"/>
    <n v="2.9913573055622415E-2"/>
    <n v="4.906420126137509E-2"/>
    <s v="na"/>
    <s v="na"/>
    <s v="na"/>
    <s v="na"/>
    <s v="na"/>
    <s v="na"/>
    <s v="na"/>
    <s v="na"/>
    <n v="0"/>
    <n v="0"/>
    <n v="0"/>
    <n v="0"/>
    <n v="0"/>
    <n v="0"/>
  </r>
  <r>
    <n v="168"/>
    <s v="SEN"/>
    <x v="131"/>
    <x v="3"/>
    <x v="2"/>
    <n v="0"/>
    <n v="0"/>
    <x v="0"/>
    <n v="2018"/>
    <n v="1"/>
    <n v="2005"/>
    <n v="23306213742.360191"/>
    <n v="2"/>
    <x v="46"/>
    <n v="6"/>
    <x v="47"/>
    <n v="8"/>
    <n v="4670000000"/>
    <n v="2.1024436033099655E-2"/>
    <n v="0.17935131146603381"/>
    <n v="0.20037574749913345"/>
    <n v="3.6495534883028088E-4"/>
    <n v="5.2569358855044396E-3"/>
    <n v="2.1793609385718886E-3"/>
    <n v="274705882.35294116"/>
    <n v="1.1786808676419614E-2"/>
    <n v="3"/>
    <n v="0"/>
    <n v="0"/>
    <n v="0"/>
    <n v="0"/>
    <n v="0"/>
    <n v="0"/>
    <n v="0"/>
    <n v="0"/>
    <n v="0"/>
    <n v="0"/>
    <x v="121"/>
    <x v="120"/>
    <x v="121"/>
    <n v="1147392000"/>
    <n v="8146866000"/>
    <n v="4175809000"/>
    <n v="-3971057000"/>
    <n v="12322675000"/>
    <n v="0.10692185191213406"/>
    <n v="6.617017205528318E-2"/>
    <n v="3.2606116446295122E-3"/>
    <n v="2.0183225719943663E-3"/>
    <n v="9.3112250383946674E-2"/>
    <n v="4.9231162671204656E-2"/>
    <n v="83"/>
    <n v="4271792281.2145119"/>
    <n v="67"/>
    <n v="2574765569.3663158"/>
    <n v="8"/>
    <n v="1365681223.5220661"/>
    <n v="8"/>
    <n v="331345488.32612902"/>
    <n v="0.18328984400629258"/>
    <n v="0.11047549798646841"/>
    <n v="5.8597301072540721E-2"/>
    <n v="1.4217044947283404E-2"/>
    <n v="251281898.89497128"/>
    <n v="1.0781755529781917E-2"/>
  </r>
  <r>
    <n v="113"/>
    <s v="LUX"/>
    <x v="132"/>
    <x v="0"/>
    <x v="1"/>
    <n v="0"/>
    <n v="0"/>
    <x v="0"/>
    <n v="2019"/>
    <n v="0"/>
    <s v="na"/>
    <n v="71104919108.141068"/>
    <n v="0"/>
    <x v="0"/>
    <n v="5"/>
    <x v="48"/>
    <n v="5"/>
    <n v="4680000000"/>
    <n v="0"/>
    <n v="6.5818231125224211E-2"/>
    <n v="6.5818231125224211E-2"/>
    <n v="0"/>
    <n v="5.8857559675025784E-3"/>
    <n v="2.1840276643504152E-3"/>
    <n v="275294117.64705884"/>
    <n v="3.8716606544249538E-3"/>
    <n v="2"/>
    <n v="0"/>
    <n v="0"/>
    <n v="0"/>
    <n v="0"/>
    <n v="0"/>
    <n v="0"/>
    <n v="0"/>
    <n v="0"/>
    <n v="0"/>
    <n v="0"/>
    <x v="122"/>
    <x v="121"/>
    <x v="122"/>
    <n v="864271000"/>
    <n v="22673693000"/>
    <n v="14667447000"/>
    <n v="-8006246000"/>
    <n v="37341140000"/>
    <n v="2.904529050472722E-2"/>
    <n v="1.4024731093284332E-2"/>
    <n v="9.0746683967251537E-3"/>
    <n v="7.0893183461291096E-3"/>
    <n v="2.314527622884572E-2"/>
    <n v="1.2154869323253985E-2"/>
    <s v="na"/>
    <s v="na"/>
    <s v="na"/>
    <s v="na"/>
    <s v="na"/>
    <s v="na"/>
    <s v="na"/>
    <s v="na"/>
    <n v="0"/>
    <n v="0"/>
    <n v="0"/>
    <n v="0"/>
    <n v="0"/>
    <n v="0"/>
  </r>
  <r>
    <n v="104"/>
    <s v="KGZ"/>
    <x v="133"/>
    <x v="0"/>
    <x v="2"/>
    <n v="2"/>
    <n v="0"/>
    <x v="0"/>
    <n v="2013"/>
    <n v="0"/>
    <s v="na"/>
    <n v="8871019822.7670345"/>
    <n v="1"/>
    <x v="47"/>
    <n v="8"/>
    <x v="49"/>
    <n v="9"/>
    <n v="4730000000"/>
    <n v="4.3963378257715562E-2"/>
    <n v="0.48923349138073213"/>
    <n v="0.5331968696384477"/>
    <n v="2.9047466539552967E-4"/>
    <n v="5.4581583117438437E-3"/>
    <n v="2.2073612932430476E-3"/>
    <n v="278235294.11764705"/>
    <n v="3.1364521743438102E-2"/>
    <n v="1"/>
    <n v="1"/>
    <n v="50000000"/>
    <n v="0"/>
    <n v="0"/>
    <n v="0"/>
    <n v="0"/>
    <n v="1"/>
    <n v="50000000"/>
    <n v="5.6363305458609694E-3"/>
    <n v="1.2543831282458731E-3"/>
    <x v="123"/>
    <x v="122"/>
    <x v="123"/>
    <n v="1815401000"/>
    <n v="4903813000"/>
    <n v="1965502000"/>
    <n v="-2938311000"/>
    <n v="6869315000"/>
    <n v="0.35358852386907902"/>
    <n v="4.1449461766001762E-2"/>
    <n v="1.9626479398195062E-3"/>
    <n v="9.499996412431869E-4"/>
    <n v="0.26427686021095265"/>
    <n v="0.20464400218573101"/>
    <n v="96"/>
    <n v="3151288944.3117113"/>
    <n v="58"/>
    <n v="761839555.53911817"/>
    <n v="34"/>
    <n v="2325623547.1757441"/>
    <n v="4"/>
    <n v="63825841.59684895"/>
    <n v="0.35523412271316129"/>
    <n v="8.5879591158605523E-2"/>
    <n v="0.26215966074240371"/>
    <n v="7.1948708121520686E-3"/>
    <n v="185369937.90068889"/>
    <n v="2.0896124865480075E-2"/>
  </r>
  <r>
    <n v="47"/>
    <s v="CIV"/>
    <x v="134"/>
    <x v="3"/>
    <x v="2"/>
    <n v="0"/>
    <n v="0"/>
    <x v="0"/>
    <n v="2017"/>
    <n v="0"/>
    <s v="na"/>
    <n v="58539424929.724831"/>
    <n v="3"/>
    <x v="48"/>
    <n v="10"/>
    <x v="42"/>
    <n v="13"/>
    <n v="4870000000"/>
    <n v="2.7673657572563636E-2"/>
    <n v="5.5518140191871491E-2"/>
    <n v="8.3191797764435124E-2"/>
    <n v="1.2065870716429694E-3"/>
    <n v="4.0873305329879013E-3"/>
    <n v="2.2726954541424193E-3"/>
    <n v="286470588.2352941"/>
    <n v="4.8936351626138307E-3"/>
    <n v="2"/>
    <n v="0"/>
    <n v="0"/>
    <n v="0"/>
    <n v="0"/>
    <n v="0"/>
    <n v="0"/>
    <n v="0"/>
    <n v="0"/>
    <n v="0"/>
    <n v="0"/>
    <x v="124"/>
    <x v="123"/>
    <x v="124"/>
    <n v="2173237"/>
    <n v="10482561000"/>
    <n v="12717852000"/>
    <n v="2235291000"/>
    <n v="23200413000"/>
    <n v="1.7190236240933871E-4"/>
    <n v="2.9192036516858349E-5"/>
    <n v="4.195424407635916E-3"/>
    <n v="6.1470071449349567E-3"/>
    <n v="9.3672341091514185E-5"/>
    <n v="3.7124331211126836E-5"/>
    <n v="94"/>
    <n v="3399096727.9645572"/>
    <n v="85"/>
    <n v="1322772802.478085"/>
    <n v="7"/>
    <n v="2076323925.4864721"/>
    <n v="2"/>
    <n v="0"/>
    <n v="5.806508574426706E-2"/>
    <n v="2.2596272581530172E-2"/>
    <n v="3.5468813162736888E-2"/>
    <n v="0"/>
    <n v="199946866.3508563"/>
    <n v="3.4155932790745332E-3"/>
  </r>
  <r>
    <n v="179"/>
    <s v="SSD"/>
    <x v="135"/>
    <x v="3"/>
    <x v="3"/>
    <n v="0"/>
    <n v="0"/>
    <x v="0"/>
    <n v="2018"/>
    <n v="0"/>
    <s v="na"/>
    <s v="na"/>
    <n v="5"/>
    <x v="49"/>
    <n v="4"/>
    <x v="50"/>
    <n v="9"/>
    <n v="4900000000"/>
    <n v="0"/>
    <n v="0"/>
    <n v="0"/>
    <n v="1.5715424204732502E-3"/>
    <n v="3.5088160575496141E-3"/>
    <n v="2.2866956314779988E-3"/>
    <n v="288235294.11764705"/>
    <n v="0"/>
    <n v="0"/>
    <s v="na"/>
    <s v="na"/>
    <s v="na"/>
    <s v="na"/>
    <s v="na"/>
    <s v="na"/>
    <n v="0"/>
    <s v="na"/>
    <s v="na"/>
    <s v="na"/>
    <x v="125"/>
    <x v="124"/>
    <x v="125"/>
    <n v="1633568000"/>
    <n v="610004000"/>
    <n v="1640256000"/>
    <n v="1030252000"/>
    <n v="2250260000"/>
    <n v="0.20103146864610724"/>
    <n v="0.92115986772796443"/>
    <n v="2.4414126188777147E-4"/>
    <n v="7.9279624825972432E-4"/>
    <n v="0.72594633509016737"/>
    <s v="na"/>
    <n v="120"/>
    <n v="4487661719.8055677"/>
    <n v="102"/>
    <n v="239328309.42801467"/>
    <n v="15"/>
    <n v="4198778654.9963436"/>
    <n v="3"/>
    <n v="49554755.381209098"/>
    <n v="0"/>
    <n v="0"/>
    <n v="0"/>
    <n v="0"/>
    <n v="263980101.1650334"/>
    <n v="0"/>
  </r>
  <r>
    <n v="22"/>
    <s v="BTN"/>
    <x v="136"/>
    <x v="6"/>
    <x v="2"/>
    <n v="0"/>
    <n v="0"/>
    <x v="1"/>
    <s v="na"/>
    <n v="0"/>
    <s v="na"/>
    <n v="2530547157.566781"/>
    <n v="0"/>
    <x v="0"/>
    <n v="0"/>
    <x v="0"/>
    <n v="0"/>
    <n v="5060000000"/>
    <n v="0"/>
    <n v="0"/>
    <n v="1.9995675578973939"/>
    <n v="0"/>
    <n v="0"/>
    <n v="2.361363243934423E-3"/>
    <n v="297647058.82352942"/>
    <n v="0.11762162105278788"/>
    <n v="0"/>
    <s v="na"/>
    <s v="na"/>
    <s v="na"/>
    <s v="na"/>
    <s v="na"/>
    <s v="na"/>
    <n v="0"/>
    <s v="na"/>
    <s v="na"/>
    <s v="na"/>
    <x v="126"/>
    <x v="125"/>
    <x v="126"/>
    <n v="10851000"/>
    <n v="825067000"/>
    <n v="279132000"/>
    <n v="-545935000"/>
    <n v="1104199000"/>
    <n v="1.3095906150652007E-2"/>
    <n v="1.6479658369516931E-4"/>
    <n v="3.3021570108057968E-4"/>
    <n v="1.3491479523271573E-4"/>
    <n v="9.8270329895245329E-3"/>
    <n v="4.2880054487637589E-3"/>
    <n v="0"/>
    <s v="na"/>
    <s v="na"/>
    <s v="na"/>
    <s v="na"/>
    <s v="na"/>
    <s v="na"/>
    <s v="na"/>
    <n v="0"/>
    <n v="0"/>
    <n v="0"/>
    <n v="0"/>
    <n v="0"/>
    <n v="0"/>
  </r>
  <r>
    <n v="23"/>
    <s v="BOL"/>
    <x v="137"/>
    <x v="1"/>
    <x v="2"/>
    <n v="2"/>
    <n v="0"/>
    <x v="0"/>
    <n v="2018"/>
    <n v="0"/>
    <s v="na"/>
    <n v="40895322850.940666"/>
    <n v="1"/>
    <x v="50"/>
    <n v="17"/>
    <x v="51"/>
    <n v="18"/>
    <n v="5060000000"/>
    <n v="4.1569545891502772E-3"/>
    <n v="0.11957357612320503"/>
    <n v="0.1237305307123553"/>
    <n v="1.2661716183907704E-4"/>
    <n v="6.1498604019417967E-3"/>
    <n v="2.361363243934423E-3"/>
    <n v="297647058.82352942"/>
    <n v="7.2782665124914887E-3"/>
    <n v="3"/>
    <n v="0"/>
    <n v="0"/>
    <n v="0"/>
    <n v="0"/>
    <n v="0"/>
    <n v="0"/>
    <n v="0"/>
    <n v="0"/>
    <n v="0"/>
    <n v="0"/>
    <x v="127"/>
    <x v="126"/>
    <x v="127"/>
    <n v="2530042000"/>
    <n v="9784564000"/>
    <n v="8924398000"/>
    <n v="-860166000"/>
    <n v="18708962000"/>
    <n v="0.21733017434399735"/>
    <n v="4.5219968898742524E-2"/>
    <n v="3.916065799538463E-3"/>
    <n v="4.3134908528769823E-3"/>
    <n v="0.13523155373344603"/>
    <n v="6.1866292368487917E-2"/>
    <n v="103"/>
    <n v="5775620046.4463949"/>
    <n v="73"/>
    <n v="461907741.31260389"/>
    <n v="18"/>
    <n v="3300493884.6819634"/>
    <n v="12"/>
    <n v="2013218420.4518256"/>
    <n v="0.14122935445449222"/>
    <n v="1.1294879441255692E-2"/>
    <n v="8.0705901178771258E-2"/>
    <n v="4.9228573834465231E-2"/>
    <n v="339742355.67331737"/>
    <n v="8.3076090855583665E-3"/>
  </r>
  <r>
    <n v="150"/>
    <s v="PNG"/>
    <x v="138"/>
    <x v="4"/>
    <x v="2"/>
    <n v="0"/>
    <n v="0"/>
    <x v="0"/>
    <n v="2016"/>
    <n v="0"/>
    <s v="na"/>
    <n v="24829107011.07011"/>
    <n v="5"/>
    <x v="51"/>
    <n v="11"/>
    <x v="52"/>
    <n v="16"/>
    <n v="5640000000"/>
    <n v="9.2230461569922692E-2"/>
    <n v="0.13492229094290001"/>
    <n v="0.22715275251282271"/>
    <n v="1.7056076506558025E-3"/>
    <n v="4.2130945493875291E-3"/>
    <n v="2.632033339088962E-3"/>
    <n v="331764705.88235295"/>
    <n v="1.3361926618401337E-2"/>
    <n v="3"/>
    <n v="0"/>
    <n v="0"/>
    <n v="0"/>
    <n v="0"/>
    <n v="0"/>
    <n v="0"/>
    <n v="0"/>
    <n v="0"/>
    <n v="0"/>
    <n v="0"/>
    <x v="128"/>
    <x v="127"/>
    <x v="128"/>
    <n v="3866858000"/>
    <n v="4289754000"/>
    <n v="11801523000"/>
    <n v="7511769000"/>
    <n v="16091277000"/>
    <n v="0.18694102272531246"/>
    <n v="0.25970605658269702"/>
    <n v="1.7168837495296998E-3"/>
    <n v="5.7041115278047118E-3"/>
    <n v="0.24030771454621036"/>
    <n v="0.1557389074957852"/>
    <n v="145"/>
    <n v="10985457319.344872"/>
    <n v="124"/>
    <n v="1238557865.0704238"/>
    <n v="16"/>
    <n v="5311957729.7807856"/>
    <n v="5"/>
    <n v="4434941724.4936609"/>
    <n v="0.44244270703924155"/>
    <n v="4.9883302871835469E-2"/>
    <n v="0.21394074814742381"/>
    <n v="0.17861865601998222"/>
    <n v="646203371.72616887"/>
    <n v="2.6026041590543621E-2"/>
  </r>
  <r>
    <n v="85"/>
    <s v="HUN"/>
    <x v="139"/>
    <x v="0"/>
    <x v="1"/>
    <n v="1"/>
    <n v="0"/>
    <x v="0"/>
    <n v="2015"/>
    <n v="0"/>
    <s v="na"/>
    <n v="163503650313.08057"/>
    <n v="5"/>
    <x v="52"/>
    <n v="4"/>
    <x v="53"/>
    <n v="9"/>
    <n v="5880000000"/>
    <n v="2.1283928483164846E-2"/>
    <n v="1.4678571367699893E-2"/>
    <n v="3.5962499850864735E-2"/>
    <n v="2.5919277835293416E-3"/>
    <n v="3.0183363935910659E-3"/>
    <n v="2.7440347577735984E-3"/>
    <n v="345882352.94117647"/>
    <n v="2.1154411676979259E-3"/>
    <n v="2"/>
    <n v="1"/>
    <n v="216100000"/>
    <n v="0"/>
    <n v="0"/>
    <n v="0"/>
    <n v="0"/>
    <n v="1"/>
    <n v="216100000"/>
    <n v="1.3216830302333112E-3"/>
    <n v="5.4214438802786639E-3"/>
    <x v="129"/>
    <x v="128"/>
    <x v="129"/>
    <n v="8824299000"/>
    <n v="117324011000"/>
    <n v="122180658000"/>
    <n v="4856647000"/>
    <n v="239504669000"/>
    <n v="6.1009659821466555E-2"/>
    <n v="1.3638828168694262E-2"/>
    <n v="4.6956466015427398E-2"/>
    <n v="5.9054420329695163E-2"/>
    <n v="3.6843953969014277E-2"/>
    <n v="5.3970042767259495E-2"/>
    <s v="na"/>
    <s v="na"/>
    <s v="na"/>
    <s v="na"/>
    <s v="na"/>
    <s v="na"/>
    <s v="na"/>
    <s v="na"/>
    <n v="0"/>
    <n v="0"/>
    <n v="0"/>
    <n v="0"/>
    <n v="0"/>
    <n v="0"/>
  </r>
  <r>
    <n v="171"/>
    <s v="SLE"/>
    <x v="140"/>
    <x v="3"/>
    <x v="3"/>
    <n v="0"/>
    <n v="0"/>
    <x v="0"/>
    <n v="2018"/>
    <n v="0"/>
    <s v="na"/>
    <n v="4121733705.2916489"/>
    <n v="5"/>
    <x v="53"/>
    <n v="4"/>
    <x v="54"/>
    <n v="9"/>
    <n v="5990000000"/>
    <n v="0.98259623002826357"/>
    <n v="0.47067572500119292"/>
    <n v="1.4532719550294564"/>
    <n v="3.0164676791074236E-3"/>
    <n v="2.4398219181527782E-3"/>
    <n v="2.7953687413373902E-3"/>
    <n v="352352941.17647058"/>
    <n v="8.5486585589968023E-2"/>
    <n v="0"/>
    <s v="na"/>
    <s v="na"/>
    <s v="na"/>
    <s v="na"/>
    <s v="na"/>
    <s v="na"/>
    <n v="0"/>
    <s v="na"/>
    <s v="na"/>
    <s v="na"/>
    <x v="130"/>
    <x v="129"/>
    <x v="130"/>
    <n v="511142000"/>
    <n v="1184904000"/>
    <n v="760200000"/>
    <n v="-424704000"/>
    <n v="1945104000"/>
    <n v="0.26473621491698907"/>
    <n v="0.25974085766903449"/>
    <n v="4.7423288663003512E-4"/>
    <n v="3.6743271045924683E-4"/>
    <n v="0.26278389227516885"/>
    <n v="0.12401140795286585"/>
    <n v="166"/>
    <n v="3394795029.1822715"/>
    <n v="150"/>
    <n v="497214732.22004497"/>
    <n v="12"/>
    <n v="2773640094.1698499"/>
    <n v="4"/>
    <n v="123940202.79237621"/>
    <n v="0.82363278947979968"/>
    <n v="0.12063242503553796"/>
    <n v="0.67293044444111905"/>
    <n v="3.0069920003142549E-2"/>
    <n v="199693825.24601597"/>
    <n v="4.8448987616458807E-2"/>
  </r>
  <r>
    <n v="17"/>
    <s v="BLR"/>
    <x v="141"/>
    <x v="0"/>
    <x v="0"/>
    <n v="3"/>
    <n v="0"/>
    <x v="0"/>
    <n v="2013"/>
    <n v="0"/>
    <s v="na"/>
    <n v="64409647193.804375"/>
    <n v="8"/>
    <x v="54"/>
    <n v="9"/>
    <x v="55"/>
    <n v="17"/>
    <n v="6180000000"/>
    <n v="5.3718660957559485E-2"/>
    <n v="4.2229698787445605E-2"/>
    <n v="9.5948359745005096E-2"/>
    <n v="2.5770316468423913E-3"/>
    <n v="3.4207812460698745E-3"/>
    <n v="2.8840365311293943E-3"/>
    <n v="363529411.7647059"/>
    <n v="5.6440211614708878E-3"/>
    <n v="2"/>
    <n v="0"/>
    <n v="0"/>
    <n v="2"/>
    <n v="231000000"/>
    <n v="0"/>
    <n v="0"/>
    <n v="2"/>
    <n v="231000000"/>
    <n v="3.5864192720220351E-3"/>
    <n v="5.7952500524959339E-3"/>
    <x v="131"/>
    <x v="130"/>
    <x v="131"/>
    <n v="2412342000"/>
    <n v="39476679000"/>
    <n v="32955122000"/>
    <n v="-6521557000"/>
    <n v="72431801000"/>
    <n v="4.5031042251553126E-2"/>
    <n v="1.9258493414164874E-2"/>
    <n v="1.5799709880916335E-2"/>
    <n v="1.5928426466686605E-2"/>
    <n v="3.3305011979475697E-2"/>
    <n v="3.7453116188347103E-2"/>
    <n v="112"/>
    <n v="43845023715.92009"/>
    <n v="30"/>
    <n v="523596159.95291084"/>
    <n v="63"/>
    <n v="29055329693.990318"/>
    <n v="19"/>
    <n v="14266097861.976858"/>
    <n v="0.68072137678371858"/>
    <n v="8.1291573974539028E-3"/>
    <n v="0.45110214012762329"/>
    <n v="0.22149007925864136"/>
    <n v="2579119042.1129465"/>
    <n v="4.0042433928454038E-2"/>
  </r>
  <r>
    <n v="96"/>
    <s v="JOR"/>
    <x v="142"/>
    <x v="5"/>
    <x v="0"/>
    <n v="0"/>
    <n v="0"/>
    <x v="1"/>
    <s v="na"/>
    <n v="0"/>
    <s v="na"/>
    <n v="44502895915.492958"/>
    <n v="3"/>
    <x v="55"/>
    <n v="7"/>
    <x v="56"/>
    <n v="10"/>
    <n v="6340000000"/>
    <n v="4.3592668748655986E-2"/>
    <n v="9.8869970357776463E-2"/>
    <n v="0.14246263910643245"/>
    <n v="1.4449252586341732E-3"/>
    <n v="5.5336167215836209E-3"/>
    <n v="2.958704143585819E-3"/>
    <n v="372941176.47058821"/>
    <n v="8.3801552415548493E-3"/>
    <n v="1"/>
    <n v="1"/>
    <n v="250000000"/>
    <n v="0"/>
    <n v="0"/>
    <n v="0"/>
    <n v="0"/>
    <n v="1"/>
    <n v="250000000"/>
    <n v="5.6176119521463902E-3"/>
    <n v="6.2719156412293659E-3"/>
    <x v="132"/>
    <x v="131"/>
    <x v="132"/>
    <n v="3293628000"/>
    <n v="19336709000"/>
    <n v="8312917000"/>
    <n v="-11023792000"/>
    <n v="27649626000"/>
    <n v="0.15963098994766897"/>
    <n v="2.4887774050913778E-2"/>
    <n v="7.7391107861860368E-3"/>
    <n v="4.0179395226687068E-3"/>
    <n v="0.11912016459101472"/>
    <n v="7.4009296074896036E-2"/>
    <n v="72"/>
    <n v="4727412211.0386553"/>
    <n v="56"/>
    <n v="282307787.39558607"/>
    <n v="15"/>
    <n v="1692278229.7153194"/>
    <n v="1"/>
    <n v="2752826193.9277501"/>
    <n v="0.10622706935781417"/>
    <n v="6.3435824026297849E-3"/>
    <n v="3.8026249638423652E-2"/>
    <n v="6.1857237316760738E-2"/>
    <n v="278083071.23756796"/>
    <n v="6.2486511386949514E-3"/>
  </r>
  <r>
    <n v="145"/>
    <s v="OMN"/>
    <x v="143"/>
    <x v="5"/>
    <x v="1"/>
    <n v="0"/>
    <n v="0"/>
    <x v="0"/>
    <n v="2018"/>
    <n v="0"/>
    <s v="na"/>
    <n v="76331518668.577118"/>
    <n v="3"/>
    <x v="56"/>
    <n v="9"/>
    <x v="57"/>
    <n v="12"/>
    <n v="6620000000"/>
    <n v="1.3493770567727655E-2"/>
    <n v="7.3233182013201545E-2"/>
    <n v="8.6726952580929204E-2"/>
    <n v="7.6715103937793731E-4"/>
    <n v="7.030208516739191E-3"/>
    <n v="3.0893724653845616E-3"/>
    <n v="389411764.70588237"/>
    <n v="5.1015854459370126E-3"/>
    <n v="1"/>
    <n v="3"/>
    <n v="477100000"/>
    <n v="1"/>
    <n v="46000000"/>
    <n v="0"/>
    <n v="0"/>
    <n v="4"/>
    <n v="523100000"/>
    <n v="6.8530013436682883E-3"/>
    <n v="1.3123356287708325E-2"/>
    <x v="133"/>
    <x v="132"/>
    <x v="133"/>
    <n v="22480835000"/>
    <n v="31690640000"/>
    <n v="42022781000"/>
    <n v="10332141000"/>
    <n v="73713421000"/>
    <n v="9.5307952127189607E-2"/>
    <n v="0.46309322079374043"/>
    <n v="1.2683511648499167E-2"/>
    <n v="2.031116064702097E-2"/>
    <n v="0.30497614538877527"/>
    <n v="0.29451575695237064"/>
    <n v="10"/>
    <n v="5408010964.3148966"/>
    <n v="0"/>
    <n v="0"/>
    <n v="10"/>
    <n v="5408010964.3148966"/>
    <n v="0"/>
    <n v="0"/>
    <n v="7.0848989495360004E-2"/>
    <n v="0"/>
    <n v="7.0848989495360004E-2"/>
    <n v="0"/>
    <n v="318118292.01852334"/>
    <n v="4.1675876173741183E-3"/>
  </r>
  <r>
    <n v="198"/>
    <s v="TKM"/>
    <x v="144"/>
    <x v="0"/>
    <x v="0"/>
    <n v="2"/>
    <n v="0"/>
    <x v="1"/>
    <s v="na"/>
    <n v="0"/>
    <s v="na"/>
    <n v="45231428571.428574"/>
    <n v="3"/>
    <x v="57"/>
    <n v="1"/>
    <x v="58"/>
    <n v="4"/>
    <n v="6800000000"/>
    <n v="0.13707283178573684"/>
    <n v="1.3265112753458404E-2"/>
    <n v="0.15033794453919525"/>
    <n v="4.6178023729545742E-3"/>
    <n v="7.5458409839776648E-4"/>
    <n v="3.173373529398039E-3"/>
    <n v="400000000"/>
    <n v="8.8434085023056021E-3"/>
    <n v="0"/>
    <s v="na"/>
    <s v="na"/>
    <s v="na"/>
    <s v="na"/>
    <s v="na"/>
    <s v="na"/>
    <n v="0"/>
    <s v="na"/>
    <s v="na"/>
    <s v="na"/>
    <x v="134"/>
    <x v="133"/>
    <x v="134"/>
    <n v="9116722000"/>
    <n v="3078798000"/>
    <n v="10962729000"/>
    <n v="7883931000"/>
    <n v="14041527000"/>
    <n v="0.13999749252792812"/>
    <n v="0.7922934152618385"/>
    <n v="1.2322240982313999E-3"/>
    <n v="5.2986914371220594E-3"/>
    <n v="0.64926855889676383"/>
    <n v="0.20155724211989134"/>
    <n v="38"/>
    <n v="9634636425.0091076"/>
    <n v="27"/>
    <n v="375606001.45091975"/>
    <n v="8"/>
    <n v="8985435792.6473618"/>
    <n v="3"/>
    <n v="273594630.91082501"/>
    <n v="0.21300756419387198"/>
    <n v="8.3040932668701859E-3"/>
    <n v="0.19865469821404691"/>
    <n v="6.0487727129548826E-3"/>
    <n v="566743319.11818278"/>
    <n v="1.2529856717286587E-2"/>
  </r>
  <r>
    <n v="183"/>
    <s v="SDN"/>
    <x v="145"/>
    <x v="3"/>
    <x v="3"/>
    <n v="0"/>
    <n v="0"/>
    <x v="0"/>
    <n v="2018"/>
    <n v="0"/>
    <s v="na"/>
    <n v="32250448249.459461"/>
    <n v="18"/>
    <x v="58"/>
    <n v="1"/>
    <x v="59"/>
    <n v="19"/>
    <n v="6840000000"/>
    <n v="0.16712945997860168"/>
    <n v="4.4960615393130322E-2"/>
    <n v="0.21209007537173202"/>
    <n v="4.0145088371330894E-3"/>
    <n v="1.8235782377946021E-3"/>
    <n v="3.1920404325121452E-3"/>
    <n v="402352941.17647058"/>
    <n v="1.2475886786572471E-2"/>
    <n v="2"/>
    <n v="0"/>
    <n v="0"/>
    <n v="0"/>
    <n v="0"/>
    <n v="0"/>
    <n v="0"/>
    <n v="0"/>
    <n v="0"/>
    <n v="0"/>
    <n v="0"/>
    <x v="135"/>
    <x v="134"/>
    <x v="135"/>
    <n v="3032543000"/>
    <n v="8154317000"/>
    <n v="4193398000"/>
    <n v="-3960919000"/>
    <n v="12347715000"/>
    <n v="0.28109319272233346"/>
    <n v="0.17656802430868712"/>
    <n v="3.2635937505539419E-3"/>
    <n v="2.0268239847071627E-3"/>
    <n v="0.24559548062131334"/>
    <n v="9.4031034128365248E-2"/>
    <n v="285"/>
    <n v="20177493061.799458"/>
    <n v="210"/>
    <n v="3907103924.7161674"/>
    <n v="46"/>
    <n v="12873324230.182573"/>
    <n v="29"/>
    <n v="3397064906.9007163"/>
    <n v="0.62565000355111799"/>
    <n v="0.12114882542079561"/>
    <n v="0.39916729623745117"/>
    <n v="0.10533388189287116"/>
    <n v="1186911356.5764387"/>
    <n v="3.6802941385359882E-2"/>
  </r>
  <r>
    <n v="139"/>
    <s v="NER"/>
    <x v="146"/>
    <x v="3"/>
    <x v="3"/>
    <n v="0"/>
    <n v="0"/>
    <x v="0"/>
    <s v="na"/>
    <n v="0"/>
    <s v="na"/>
    <n v="12911689659.350994"/>
    <n v="5"/>
    <x v="59"/>
    <n v="4"/>
    <x v="60"/>
    <n v="9"/>
    <n v="7470000000"/>
    <n v="0.44455839254492435"/>
    <n v="0.13398711134193714"/>
    <n v="0.57854550388686155"/>
    <n v="4.2751912291547189E-3"/>
    <n v="2.1757174837135598E-3"/>
    <n v="3.4860441565593165E-3"/>
    <n v="439411764.70588237"/>
    <n v="3.4032088463933033E-2"/>
    <n v="0"/>
    <s v="na"/>
    <s v="na"/>
    <s v="na"/>
    <s v="na"/>
    <s v="na"/>
    <s v="na"/>
    <n v="0"/>
    <s v="na"/>
    <s v="na"/>
    <s v="na"/>
    <x v="136"/>
    <x v="135"/>
    <x v="136"/>
    <n v="565618000"/>
    <n v="2772522000"/>
    <n v="854318000"/>
    <n v="-1918204000"/>
    <n v="3626840000"/>
    <n v="0.2039074892823213"/>
    <n v="3.2774681090647745E-4"/>
    <n v="1.10964357560214E-3"/>
    <n v="4.1292341269945132E-4"/>
    <n v="0.15595339193347377"/>
    <n v="4.3806660082661153E-2"/>
    <n v="115"/>
    <n v="3214830315.2802434"/>
    <n v="107"/>
    <n v="1892117308.0012741"/>
    <n v="4"/>
    <n v="1309496212.231102"/>
    <n v="4"/>
    <n v="13216795.047867401"/>
    <n v="0.24898602739820164"/>
    <n v="0.146542966716285"/>
    <n v="0.10141943051448185"/>
    <n v="1.023630167434782E-3"/>
    <n v="189107665.60472021"/>
    <n v="1.4646236905776567E-2"/>
  </r>
  <r>
    <n v="144"/>
    <s v="NOR"/>
    <x v="147"/>
    <x v="0"/>
    <x v="1"/>
    <n v="0"/>
    <n v="0"/>
    <x v="1"/>
    <s v="na"/>
    <n v="0"/>
    <s v="na"/>
    <n v="405509999999.99994"/>
    <n v="11"/>
    <x v="60"/>
    <n v="0"/>
    <x v="0"/>
    <n v="11"/>
    <n v="7470000000"/>
    <n v="1.8421247318191909E-2"/>
    <n v="0"/>
    <n v="1.8421247318191909E-2"/>
    <n v="5.5637070525759143E-3"/>
    <n v="0"/>
    <n v="3.4860441565593165E-3"/>
    <n v="439411764.70588237"/>
    <n v="1.0836027834230536E-3"/>
    <n v="2"/>
    <n v="0"/>
    <n v="0"/>
    <n v="0"/>
    <n v="0"/>
    <n v="0"/>
    <n v="0"/>
    <n v="0"/>
    <n v="0"/>
    <n v="0"/>
    <n v="0"/>
    <x v="137"/>
    <x v="136"/>
    <x v="137"/>
    <n v="12997462000"/>
    <n v="85927067000"/>
    <n v="102793716000"/>
    <n v="16866649000"/>
    <n v="188720783000"/>
    <n v="0.10182162973164206"/>
    <n v="4.1327701393731112E-2"/>
    <n v="3.4390500009336147E-2"/>
    <n v="4.9683995906416797E-2"/>
    <n v="6.8871386571133508E-2"/>
    <n v="3.2052136815368309E-2"/>
    <s v="na"/>
    <s v="na"/>
    <s v="na"/>
    <s v="na"/>
    <s v="na"/>
    <s v="na"/>
    <s v="na"/>
    <s v="na"/>
    <n v="0"/>
    <n v="0"/>
    <n v="0"/>
    <n v="0"/>
    <n v="0"/>
    <n v="0"/>
  </r>
  <r>
    <n v="207"/>
    <s v="UZB"/>
    <x v="148"/>
    <x v="0"/>
    <x v="2"/>
    <n v="2"/>
    <n v="0"/>
    <x v="0"/>
    <n v="2015"/>
    <n v="0"/>
    <s v="na"/>
    <n v="57726542784.920425"/>
    <n v="7"/>
    <x v="61"/>
    <n v="16"/>
    <x v="61"/>
    <n v="23"/>
    <n v="7700000000"/>
    <n v="6.9465445296812561E-2"/>
    <n v="6.392206811601954E-2"/>
    <n v="0.13338751341283211"/>
    <n v="2.986675405733523E-3"/>
    <n v="4.6406922051462638E-3"/>
    <n v="3.5933788494654268E-3"/>
    <n v="452941176.47058821"/>
    <n v="7.8463243184018882E-3"/>
    <n v="1"/>
    <n v="7"/>
    <n v="1132600000"/>
    <n v="3"/>
    <n v="801300000"/>
    <n v="0"/>
    <n v="0"/>
    <n v="10"/>
    <n v="1933900000"/>
    <n v="3.3501053531048833E-2"/>
    <n v="4.8517030634293884E-2"/>
    <x v="138"/>
    <x v="137"/>
    <x v="138"/>
    <n v="6819911000"/>
    <n v="21855139000"/>
    <n v="14344696000"/>
    <n v="-7510443000"/>
    <n v="36199835000"/>
    <n v="0.23117075576595508"/>
    <n v="0.12322617363240043"/>
    <n v="8.7470593868116397E-3"/>
    <n v="6.9333208787081251E-3"/>
    <n v="0.18839619020362938"/>
    <n v="0.11814168441387289"/>
    <n v="149"/>
    <n v="12695736545.016287"/>
    <n v="64"/>
    <n v="2542801902.4255037"/>
    <n v="56"/>
    <n v="8886742719.4394569"/>
    <n v="29"/>
    <n v="1266191923.151324"/>
    <n v="0.21992892580313542"/>
    <n v="4.4049093878695697E-2"/>
    <n v="0.15394552125787256"/>
    <n v="2.1934310666567133E-2"/>
    <n v="746808032.05978155"/>
    <n v="1.2936995635478553E-2"/>
  </r>
  <r>
    <n v="201"/>
    <s v="UGA"/>
    <x v="149"/>
    <x v="3"/>
    <x v="3"/>
    <n v="0"/>
    <n v="0"/>
    <x v="0"/>
    <n v="2018"/>
    <n v="0"/>
    <s v="na"/>
    <n v="35170037380.862961"/>
    <n v="7"/>
    <x v="62"/>
    <n v="10"/>
    <x v="62"/>
    <n v="17"/>
    <n v="7790000000"/>
    <n v="0.14643146221966385"/>
    <n v="7.5063895196099531E-2"/>
    <n v="0.22149535741576337"/>
    <n v="3.8357551968896866E-3"/>
    <n v="3.3201700329501724E-3"/>
    <n v="3.6353793814721653E-3"/>
    <n v="458235294.11764705"/>
    <n v="1.3029138671515493E-2"/>
    <n v="0"/>
    <s v="na"/>
    <s v="na"/>
    <s v="na"/>
    <s v="na"/>
    <s v="na"/>
    <s v="na"/>
    <n v="0"/>
    <s v="na"/>
    <s v="na"/>
    <s v="na"/>
    <x v="139"/>
    <x v="138"/>
    <x v="139"/>
    <n v="1297195000"/>
    <n v="7696029000"/>
    <n v="3563785000"/>
    <n v="-4132244000"/>
    <n v="11259814000"/>
    <n v="0.16327485252459417"/>
    <n v="1.139995819051935E-2"/>
    <n v="3.0801736244104689E-3"/>
    <n v="1.7225087898500488E-3"/>
    <n v="0.11520572187071651"/>
    <n v="3.6883526336706184E-2"/>
    <n v="144"/>
    <n v="3764362664.242372"/>
    <n v="128"/>
    <n v="928849483.01561439"/>
    <n v="11"/>
    <n v="2465643586.7059298"/>
    <n v="5"/>
    <n v="369869594.52082771"/>
    <n v="0.10703322898060584"/>
    <n v="2.6410250093195191E-2"/>
    <n v="7.0106368099783656E-2"/>
    <n v="1.0516610787626985E-2"/>
    <n v="221433097.89661011"/>
    <n v="6.2960722929768136E-3"/>
  </r>
  <r>
    <n v="157"/>
    <s v="QAT"/>
    <x v="150"/>
    <x v="5"/>
    <x v="1"/>
    <n v="0"/>
    <n v="0"/>
    <x v="0"/>
    <n v="2019"/>
    <n v="0"/>
    <s v="na"/>
    <n v="175837550996.18515"/>
    <n v="10"/>
    <x v="63"/>
    <n v="10"/>
    <x v="63"/>
    <n v="20"/>
    <n v="7800000000"/>
    <n v="2.2577657488451544E-2"/>
    <n v="2.1781468055609425E-2"/>
    <n v="4.4359125544060969E-2"/>
    <n v="2.9568831323596224E-3"/>
    <n v="4.8167618281057421E-3"/>
    <n v="3.6400461072506919E-3"/>
    <n v="458823529.41176468"/>
    <n v="2.6093603261212331E-3"/>
    <n v="1"/>
    <n v="0"/>
    <n v="0"/>
    <n v="0"/>
    <n v="0"/>
    <n v="0"/>
    <n v="0"/>
    <n v="0"/>
    <n v="0"/>
    <n v="0"/>
    <n v="0"/>
    <x v="140"/>
    <x v="139"/>
    <x v="140"/>
    <n v="12504189000"/>
    <n v="29178065000"/>
    <n v="72934956000"/>
    <n v="43756891000"/>
    <n v="102113021000"/>
    <n v="0.11945182108546266"/>
    <n v="0.12365560349415992"/>
    <n v="1.167790638838994E-2"/>
    <n v="3.5252155446337689E-2"/>
    <n v="0.12245440275437547"/>
    <n v="7.111216534329054E-2"/>
    <s v="na"/>
    <s v="na"/>
    <s v="na"/>
    <s v="na"/>
    <s v="na"/>
    <s v="na"/>
    <s v="na"/>
    <s v="na"/>
    <n v="0"/>
    <n v="0"/>
    <n v="0"/>
    <n v="0"/>
    <n v="0"/>
    <n v="0"/>
  </r>
  <r>
    <n v="127"/>
    <s v="MNG"/>
    <x v="151"/>
    <x v="4"/>
    <x v="2"/>
    <n v="2"/>
    <n v="0"/>
    <x v="0"/>
    <n v="2013"/>
    <n v="0"/>
    <s v="na"/>
    <n v="13996719329.423601"/>
    <n v="6"/>
    <x v="64"/>
    <n v="14"/>
    <x v="64"/>
    <n v="20"/>
    <n v="7860000000"/>
    <n v="0.15932304903136424"/>
    <n v="0.40223711481909447"/>
    <n v="0.5615601638504587"/>
    <n v="1.6609192405949518E-3"/>
    <n v="7.0805141232990415E-3"/>
    <n v="3.6680464619218509E-3"/>
    <n v="462352941.17647058"/>
    <n v="3.3032950814732863E-2"/>
    <n v="1"/>
    <n v="2"/>
    <n v="121000000"/>
    <n v="0"/>
    <n v="0"/>
    <n v="0"/>
    <n v="0"/>
    <n v="2"/>
    <n v="121000000"/>
    <n v="8.6448829295045163E-3"/>
    <n v="3.0356071703550131E-3"/>
    <x v="141"/>
    <x v="140"/>
    <x v="141"/>
    <n v="8809468"/>
    <n v="6127356000"/>
    <n v="7619754000"/>
    <n v="1492398000"/>
    <n v="13747110000"/>
    <n v="3.3241172864772344E-4"/>
    <n v="8.8882961313449223E-4"/>
    <n v="2.4523452729418292E-3"/>
    <n v="3.6829082678935653E-3"/>
    <n v="6.4082327121845969E-4"/>
    <n v="6.293952027373248E-4"/>
    <n v="139"/>
    <n v="5225733735.4564066"/>
    <n v="80"/>
    <n v="804804606.9130677"/>
    <n v="50"/>
    <n v="4326680144.5949039"/>
    <n v="9"/>
    <n v="94248983.948433891"/>
    <n v="0.3733541848246526"/>
    <n v="5.7499517420573319E-2"/>
    <n v="0.30912101920193902"/>
    <n v="6.7336482021401771E-3"/>
    <n v="307396102.08567095"/>
    <n v="2.1962010872038387E-2"/>
  </r>
  <r>
    <n v="91"/>
    <s v="IRL"/>
    <x v="152"/>
    <x v="0"/>
    <x v="1"/>
    <n v="2"/>
    <n v="0"/>
    <x v="1"/>
    <s v="na"/>
    <n v="0"/>
    <s v="na"/>
    <n v="399122063504.14838"/>
    <n v="6"/>
    <x v="65"/>
    <n v="0"/>
    <x v="0"/>
    <n v="6"/>
    <n v="7930000000"/>
    <n v="1.9868608441180744E-2"/>
    <n v="0"/>
    <n v="1.9868608441180744E-2"/>
    <n v="5.9063181963757696E-3"/>
    <n v="0"/>
    <n v="3.7007135423715366E-3"/>
    <n v="466470588.2352941"/>
    <n v="1.1687416730106321E-3"/>
    <n v="2"/>
    <n v="0"/>
    <n v="0"/>
    <n v="0"/>
    <n v="0"/>
    <n v="0"/>
    <n v="0"/>
    <n v="0"/>
    <n v="0"/>
    <n v="0"/>
    <n v="0"/>
    <x v="142"/>
    <x v="141"/>
    <x v="142"/>
    <n v="14919504000"/>
    <n v="101473370000"/>
    <n v="170743383000"/>
    <n v="69270013000"/>
    <n v="272216753000"/>
    <n v="5.6240272694205388E-2"/>
    <n v="5.3955906449387851E-2"/>
    <n v="4.0612580572922032E-2"/>
    <n v="8.2526577227928569E-2"/>
    <n v="5.4807442361932808E-2"/>
    <n v="3.7380804932235799E-2"/>
    <s v="na"/>
    <s v="na"/>
    <s v="na"/>
    <s v="na"/>
    <s v="na"/>
    <s v="na"/>
    <s v="na"/>
    <s v="na"/>
    <n v="0"/>
    <n v="0"/>
    <n v="0"/>
    <n v="0"/>
    <n v="0"/>
    <n v="0"/>
  </r>
  <r>
    <n v="38"/>
    <s v="TCD"/>
    <x v="153"/>
    <x v="3"/>
    <x v="3"/>
    <n v="0"/>
    <n v="0"/>
    <x v="0"/>
    <n v="2018"/>
    <n v="1"/>
    <n v="2006"/>
    <n v="11314951342.780731"/>
    <n v="5"/>
    <x v="66"/>
    <n v="3"/>
    <x v="65"/>
    <n v="8"/>
    <n v="8280000000"/>
    <n v="0.6831668794521123"/>
    <n v="4.8608251448727269E-2"/>
    <n v="0.73177513090083957"/>
    <n v="5.7573568295062674E-3"/>
    <n v="6.9170209019795261E-4"/>
    <n v="3.8640489446199653E-3"/>
    <n v="487058823.52941179"/>
    <n v="4.3045595935343503E-2"/>
    <n v="0"/>
    <s v="na"/>
    <s v="na"/>
    <s v="na"/>
    <s v="na"/>
    <s v="na"/>
    <s v="na"/>
    <n v="0"/>
    <s v="na"/>
    <s v="na"/>
    <s v="na"/>
    <x v="143"/>
    <x v="142"/>
    <x v="143"/>
    <n v="718596000"/>
    <n v="1006326000"/>
    <n v="1319682000"/>
    <n v="313356000"/>
    <n v="2326008000"/>
    <n v="0.27701659303247655"/>
    <n v="0.3332825635266678"/>
    <n v="4.0276080076601708E-4"/>
    <n v="6.3785100526740309E-4"/>
    <n v="0.3089396081182868"/>
    <n v="6.3508536469181129E-2"/>
    <n v="96"/>
    <n v="4127853844.9958119"/>
    <n v="85"/>
    <n v="2946617135.621397"/>
    <n v="6"/>
    <n v="736995321.85174417"/>
    <n v="5"/>
    <n v="444241387.52267027"/>
    <n v="0.3648141048020947"/>
    <n v="0.26041801209347881"/>
    <n v="6.5134643492918656E-2"/>
    <n v="3.9261449215697179E-2"/>
    <n v="242814932.05857718"/>
    <n v="2.145965322365263E-2"/>
  </r>
  <r>
    <n v="180"/>
    <s v="ESP"/>
    <x v="154"/>
    <x v="0"/>
    <x v="1"/>
    <n v="3"/>
    <n v="0"/>
    <x v="1"/>
    <s v="na"/>
    <n v="0"/>
    <s v="na"/>
    <n v="1393046093137.2527"/>
    <n v="17"/>
    <x v="67"/>
    <n v="0"/>
    <x v="0"/>
    <n v="17"/>
    <n v="8510000000"/>
    <n v="6.1089148750525478E-3"/>
    <n v="0"/>
    <n v="6.1089148750525478E-3"/>
    <n v="6.3383061602973268E-3"/>
    <n v="0"/>
    <n v="3.9713836375260755E-3"/>
    <n v="500588235.29411763"/>
    <n v="3.5934793382662046E-4"/>
    <n v="2"/>
    <n v="0"/>
    <n v="0"/>
    <n v="0"/>
    <n v="0"/>
    <n v="0"/>
    <n v="0"/>
    <n v="0"/>
    <n v="0"/>
    <n v="0"/>
    <n v="0"/>
    <x v="144"/>
    <x v="143"/>
    <x v="144"/>
    <n v="40252615000"/>
    <n v="375485170000"/>
    <n v="337215114000"/>
    <n v="-38270056000"/>
    <n v="712700284000"/>
    <n v="8.692497229650907E-2"/>
    <n v="2.257780474216823E-2"/>
    <n v="0.1502800362357368"/>
    <n v="0.16298850742547216"/>
    <n v="5.6479021972720304E-2"/>
    <n v="2.8895393482169601E-2"/>
    <s v="na"/>
    <s v="na"/>
    <s v="na"/>
    <s v="na"/>
    <s v="na"/>
    <s v="na"/>
    <s v="na"/>
    <s v="na"/>
    <n v="0"/>
    <n v="0"/>
    <n v="0"/>
    <n v="0"/>
    <n v="0"/>
    <n v="0"/>
  </r>
  <r>
    <n v="202"/>
    <s v="UKR"/>
    <x v="155"/>
    <x v="0"/>
    <x v="2"/>
    <n v="2"/>
    <n v="0"/>
    <x v="0"/>
    <n v="2017"/>
    <n v="0"/>
    <s v="na"/>
    <n v="153929501862.34137"/>
    <n v="6"/>
    <x v="68"/>
    <n v="9"/>
    <x v="66"/>
    <n v="15"/>
    <n v="9150000000"/>
    <n v="3.9108812327500846E-2"/>
    <n v="2.0333983818119208E-2"/>
    <n v="5.944279614562005E-2"/>
    <n v="4.4837371427720223E-3"/>
    <n v="3.9364137133083479E-3"/>
    <n v="4.2700540873517731E-3"/>
    <n v="538235294.11764705"/>
    <n v="3.4966350673894149E-3"/>
    <n v="0"/>
    <s v="na"/>
    <s v="na"/>
    <s v="na"/>
    <s v="na"/>
    <s v="na"/>
    <s v="na"/>
    <n v="0"/>
    <s v="na"/>
    <s v="na"/>
    <s v="na"/>
    <x v="145"/>
    <x v="144"/>
    <x v="145"/>
    <n v="12793817000"/>
    <n v="60684881000"/>
    <n v="49853049000"/>
    <n v="-10831832000"/>
    <n v="110537930000"/>
    <n v="0.15166461313485974"/>
    <n v="7.2013007669801704E-2"/>
    <n v="2.4287846349940731E-2"/>
    <n v="2.4095818098826157E-2"/>
    <n v="0.1157414201622918"/>
    <n v="8.3114782060695988E-2"/>
    <n v="70"/>
    <n v="31397707013.803066"/>
    <n v="32"/>
    <n v="1843879105.019238"/>
    <n v="29"/>
    <n v="6769559487.0643797"/>
    <n v="9"/>
    <n v="22784268421.719448"/>
    <n v="0.20397458988649186"/>
    <n v="1.197872456358764E-2"/>
    <n v="4.3978310883630183E-2"/>
    <n v="0.14801755443927403"/>
    <n v="1846923941.9884157"/>
    <n v="1.1998505287440698E-2"/>
  </r>
  <r>
    <n v="155"/>
    <s v="PRT"/>
    <x v="156"/>
    <x v="0"/>
    <x v="1"/>
    <n v="3"/>
    <n v="0"/>
    <x v="0"/>
    <n v="2018"/>
    <n v="0"/>
    <s v="na"/>
    <n v="239510770948.27414"/>
    <n v="4"/>
    <x v="69"/>
    <n v="8"/>
    <x v="67"/>
    <n v="12"/>
    <n v="9220000000"/>
    <n v="1.9164065072427485E-2"/>
    <n v="1.9331072175455176E-2"/>
    <n v="3.8495137247882658E-2"/>
    <n v="3.4186633696550802E-3"/>
    <n v="5.8228739593027641E-3"/>
    <n v="4.3027211678014592E-3"/>
    <n v="542352941.17647064"/>
    <n v="2.264419838110745E-3"/>
    <n v="2"/>
    <n v="0"/>
    <n v="0"/>
    <n v="0"/>
    <n v="0"/>
    <n v="0"/>
    <n v="0"/>
    <n v="0"/>
    <n v="0"/>
    <n v="0"/>
    <n v="0"/>
    <x v="146"/>
    <x v="145"/>
    <x v="146"/>
    <n v="3980164000"/>
    <n v="89541380000"/>
    <n v="67064074000"/>
    <n v="-22477306000"/>
    <n v="156605454000"/>
    <n v="3.6924492340859615E-2"/>
    <n v="1.0048509728174284E-2"/>
    <n v="3.5837052715019017E-2"/>
    <n v="3.2414541547302694E-2"/>
    <n v="2.5415232345611667E-2"/>
    <n v="1.6617891480377619E-2"/>
    <s v="na"/>
    <s v="na"/>
    <s v="na"/>
    <s v="na"/>
    <s v="na"/>
    <s v="na"/>
    <s v="na"/>
    <s v="na"/>
    <n v="0"/>
    <n v="0"/>
    <n v="0"/>
    <n v="0"/>
    <n v="0"/>
    <n v="0"/>
  </r>
  <r>
    <n v="100"/>
    <s v="KOR"/>
    <x v="157"/>
    <x v="4"/>
    <x v="3"/>
    <n v="2"/>
    <n v="1"/>
    <x v="0"/>
    <n v="2018"/>
    <n v="0"/>
    <s v="na"/>
    <n v="1646739219509.8928"/>
    <n v="4"/>
    <x v="70"/>
    <n v="14"/>
    <x v="68"/>
    <n v="18"/>
    <n v="9360000000"/>
    <n v="1.2873926696365199E-3"/>
    <n v="4.39656741894736E-3"/>
    <n v="5.6839600885838799E-3"/>
    <n v="1.5789904888167253E-3"/>
    <n v="9.1053147873330475E-3"/>
    <n v="4.3680553287008305E-3"/>
    <n v="550588235.29411769"/>
    <n v="3.3435059344611063E-4"/>
    <n v="1"/>
    <n v="0"/>
    <n v="0"/>
    <n v="0"/>
    <n v="0"/>
    <n v="0"/>
    <n v="0"/>
    <n v="0"/>
    <n v="0"/>
    <n v="0"/>
    <n v="0"/>
    <x v="147"/>
    <x v="146"/>
    <x v="147"/>
    <n v="243433161000"/>
    <n v="503259397000"/>
    <n v="542333337000"/>
    <n v="39073940000"/>
    <n v="1045592734000"/>
    <n v="0.21305069242452715"/>
    <n v="0.25116176474322099"/>
    <n v="0.20141898125333429"/>
    <n v="0.26212971321536199"/>
    <n v="0.23281833651303854"/>
    <n v="0.14782739010275789"/>
    <s v="na"/>
    <s v="na"/>
    <s v="na"/>
    <s v="na"/>
    <s v="na"/>
    <s v="na"/>
    <s v="na"/>
    <s v="na"/>
    <n v="0"/>
    <n v="0"/>
    <n v="0"/>
    <n v="0"/>
    <n v="0"/>
    <n v="0"/>
  </r>
  <r>
    <n v="131"/>
    <s v="MMR"/>
    <x v="158"/>
    <x v="4"/>
    <x v="2"/>
    <n v="4"/>
    <n v="1"/>
    <x v="0"/>
    <n v="2016"/>
    <n v="0"/>
    <s v="na"/>
    <n v="79844294296.064682"/>
    <n v="7"/>
    <x v="71"/>
    <n v="16"/>
    <x v="69"/>
    <n v="23"/>
    <n v="9880000000"/>
    <n v="5.2351893605577543E-2"/>
    <n v="7.1388945825787559E-2"/>
    <n v="0.1237408394313651"/>
    <n v="3.1132925675726002E-3"/>
    <n v="7.1685489347787807E-3"/>
    <n v="4.61072506918421E-3"/>
    <n v="581176470.58823526"/>
    <n v="7.2788729077273582E-3"/>
    <n v="1"/>
    <n v="1"/>
    <n v="20000000"/>
    <n v="0"/>
    <n v="0"/>
    <n v="0"/>
    <n v="0"/>
    <n v="1"/>
    <n v="20000000"/>
    <n v="2.5048752921328965E-4"/>
    <n v="5.0175325129834928E-4"/>
    <x v="148"/>
    <x v="147"/>
    <x v="148"/>
    <n v="12200684000"/>
    <n v="18610892000"/>
    <n v="18105886000"/>
    <n v="-505006000"/>
    <n v="36716778000"/>
    <n v="0.34641375598762275"/>
    <n v="0.31777594313804913"/>
    <n v="7.4486178086324521E-3"/>
    <n v="8.7512427890635777E-3"/>
    <n v="0.33229179314154417"/>
    <n v="0.15280595949360579"/>
    <n v="280"/>
    <n v="17089617367.982758"/>
    <n v="182"/>
    <n v="3050070955.9996686"/>
    <n v="81"/>
    <n v="7760284650.3226576"/>
    <n v="17"/>
    <n v="6279261761.6604366"/>
    <n v="0.21403680148532617"/>
    <n v="3.8200236884678669E-2"/>
    <n v="9.7192726402557009E-2"/>
    <n v="7.8643838198090565E-2"/>
    <n v="1005271609.8813387"/>
    <n v="1.2590400087372128E-2"/>
  </r>
  <r>
    <n v="34"/>
    <s v="CMR"/>
    <x v="159"/>
    <x v="3"/>
    <x v="2"/>
    <n v="0"/>
    <n v="0"/>
    <x v="0"/>
    <n v="2015"/>
    <n v="0"/>
    <s v="na"/>
    <n v="39007354359.279823"/>
    <n v="15"/>
    <x v="72"/>
    <n v="10"/>
    <x v="70"/>
    <n v="25"/>
    <n v="9960000000"/>
    <n v="0.15304806229648182"/>
    <n v="0.10228840344438232"/>
    <n v="0.25533646574086416"/>
    <n v="4.4464968010546465E-3"/>
    <n v="5.017984254345147E-3"/>
    <n v="4.6480588754124223E-3"/>
    <n v="585882352.94117641"/>
    <n v="1.5019792102403772E-2"/>
    <n v="0"/>
    <s v="na"/>
    <s v="na"/>
    <s v="na"/>
    <s v="na"/>
    <s v="na"/>
    <s v="na"/>
    <n v="0"/>
    <s v="na"/>
    <s v="na"/>
    <s v="na"/>
    <x v="149"/>
    <x v="148"/>
    <x v="149"/>
    <n v="2691354000"/>
    <n v="6165015000"/>
    <n v="5721600000"/>
    <n v="-443415000"/>
    <n v="11886615000"/>
    <n v="0.27190704321076264"/>
    <n v="0.17740544602908279"/>
    <n v="2.4674174950607528E-3"/>
    <n v="2.7654604001100063E-3"/>
    <n v="0.22641887534844865"/>
    <n v="6.8996066106178477E-2"/>
    <n v="132"/>
    <n v="6758834345.7368317"/>
    <n v="103"/>
    <n v="1578225644.3265741"/>
    <n v="18"/>
    <n v="4176630992.847837"/>
    <n v="11"/>
    <n v="1003977708.5624185"/>
    <n v="0.17327077051891651"/>
    <n v="4.0459694594773644E-2"/>
    <n v="0.10707291128689991"/>
    <n v="2.5738164637242895E-2"/>
    <n v="397578490.92569596"/>
    <n v="1.0192398265818617E-2"/>
  </r>
  <r>
    <n v="191"/>
    <s v="THA"/>
    <x v="160"/>
    <x v="4"/>
    <x v="0"/>
    <n v="4"/>
    <n v="1"/>
    <x v="0"/>
    <n v="2014"/>
    <n v="0"/>
    <s v="na"/>
    <n v="544263968873.60052"/>
    <n v="8"/>
    <x v="73"/>
    <n v="29"/>
    <x v="71"/>
    <n v="37"/>
    <n v="10140000000"/>
    <n v="3.2704718698977221E-3"/>
    <n v="1.5360193726036492E-2"/>
    <n v="1.8630665595934216E-2"/>
    <n v="1.3257561651385712E-3"/>
    <n v="1.0513871771008879E-2"/>
    <n v="4.7320599394258993E-3"/>
    <n v="596470588.2352941"/>
    <n v="1.0959215056431891E-3"/>
    <n v="1"/>
    <n v="0"/>
    <n v="0"/>
    <n v="1"/>
    <n v="500000000"/>
    <n v="0"/>
    <n v="0"/>
    <n v="1"/>
    <n v="500000000"/>
    <n v="9.1867187356677591E-4"/>
    <n v="1.2543831282458732E-2"/>
    <x v="150"/>
    <x v="149"/>
    <x v="150"/>
    <n v="79955378000"/>
    <n v="240139196000"/>
    <n v="245380465000"/>
    <n v="5241269000"/>
    <n v="485519661000"/>
    <n v="0.21218256681429049"/>
    <n v="0.11819207775973528"/>
    <n v="9.6110658848392594E-2"/>
    <n v="0.11860143297645404"/>
    <n v="0.16468000046655165"/>
    <n v="0.14690551381799954"/>
    <n v="55"/>
    <n v="2707817429.782577"/>
    <n v="23"/>
    <n v="17890173.653132062"/>
    <n v="27"/>
    <n v="2677493910.3410997"/>
    <n v="5"/>
    <n v="12433345.7883453"/>
    <n v="4.9751914229902638E-3"/>
    <n v="3.2870398696715605E-5"/>
    <n v="4.9194766941533822E-3"/>
    <n v="2.2844330140165517E-5"/>
    <n v="159283378.22250453"/>
    <n v="2.9265831899942724E-4"/>
  </r>
  <r>
    <n v="216"/>
    <s v="ZWE"/>
    <x v="161"/>
    <x v="3"/>
    <x v="2"/>
    <n v="0"/>
    <n v="0"/>
    <x v="0"/>
    <n v="2018"/>
    <n v="0"/>
    <s v="na"/>
    <n v="16932434838.692844"/>
    <n v="9"/>
    <x v="74"/>
    <n v="15"/>
    <x v="72"/>
    <n v="24"/>
    <n v="10270000000"/>
    <n v="9.9808445512994226E-2"/>
    <n v="0.50671980029673991"/>
    <n v="0.60652824580973419"/>
    <n v="1.2587235500472953E-3"/>
    <n v="1.0790552607088061E-2"/>
    <n v="4.7927273745467444E-3"/>
    <n v="604117647.05882359"/>
    <n v="3.5678132106454957E-2"/>
    <n v="0"/>
    <s v="na"/>
    <s v="na"/>
    <s v="na"/>
    <s v="na"/>
    <s v="na"/>
    <s v="na"/>
    <n v="0"/>
    <s v="na"/>
    <s v="na"/>
    <s v="na"/>
    <x v="151"/>
    <x v="150"/>
    <x v="151"/>
    <n v="414840000"/>
    <n v="4793889000"/>
    <n v="4279384000"/>
    <n v="-514505000"/>
    <n v="9073273000"/>
    <n v="8.5857849441236547E-2"/>
    <n v="7.5875406366897661E-4"/>
    <n v="1.9186531724544539E-3"/>
    <n v="2.0683841912864168E-3"/>
    <n v="4.5721097557628876E-2"/>
    <n v="2.4499725169592028E-2"/>
    <n v="204"/>
    <n v="17281064864.699394"/>
    <n v="141"/>
    <n v="8254176990.2777405"/>
    <n v="52"/>
    <n v="8899474794.6103668"/>
    <n v="11"/>
    <n v="127413079.81127936"/>
    <n v="1.0205894798549517"/>
    <n v="0.48747726295192106"/>
    <n v="0.52558742315510909"/>
    <n v="7.524793747921219E-3"/>
    <n v="1016533227.3352585"/>
    <n v="6.0034675285585398E-2"/>
  </r>
  <r>
    <n v="130"/>
    <s v="MOZ"/>
    <x v="162"/>
    <x v="3"/>
    <x v="3"/>
    <n v="0"/>
    <n v="0"/>
    <x v="0"/>
    <n v="2018"/>
    <n v="0"/>
    <s v="na"/>
    <n v="15291448211.603004"/>
    <n v="9"/>
    <x v="75"/>
    <n v="7"/>
    <x v="73"/>
    <n v="16"/>
    <n v="10410000000"/>
    <n v="0.48131477791719574"/>
    <n v="0.19945789030535965"/>
    <n v="0.68077266822255533"/>
    <n v="5.4817783007976885E-3"/>
    <n v="3.8358025001886458E-3"/>
    <n v="4.8580615354461157E-3"/>
    <n v="612352941.17647064"/>
    <n v="4.0045451071915025E-2"/>
    <n v="0"/>
    <s v="na"/>
    <s v="na"/>
    <s v="na"/>
    <s v="na"/>
    <s v="na"/>
    <s v="na"/>
    <n v="0"/>
    <s v="na"/>
    <s v="na"/>
    <s v="na"/>
    <x v="152"/>
    <x v="151"/>
    <x v="152"/>
    <n v="1185314000"/>
    <n v="7638740000"/>
    <n v="4722313000"/>
    <n v="-2916427000"/>
    <n v="12361053000"/>
    <n v="0.11278234368495328"/>
    <n v="6.8567881883305912E-2"/>
    <n v="3.0572449079556779E-3"/>
    <n v="2.2824681205300414E-3"/>
    <n v="9.5891021582061017E-2"/>
    <n v="7.7514829439149863E-2"/>
    <n v="117"/>
    <n v="9474383767.6672211"/>
    <n v="85"/>
    <n v="1791185758.9066896"/>
    <n v="17"/>
    <n v="3154804544.1743064"/>
    <n v="15"/>
    <n v="4528393464.5862246"/>
    <n v="0.61958708139090113"/>
    <n v="0.11713643692345341"/>
    <n v="0.2063116913792685"/>
    <n v="0.29613895308817922"/>
    <n v="557316692.21571887"/>
    <n v="3.6446298905347126E-2"/>
  </r>
  <r>
    <n v="74"/>
    <s v="GRC"/>
    <x v="163"/>
    <x v="0"/>
    <x v="1"/>
    <n v="3"/>
    <n v="0"/>
    <x v="0"/>
    <n v="2018"/>
    <n v="0"/>
    <s v="na"/>
    <n v="205326724570.22711"/>
    <n v="3"/>
    <x v="76"/>
    <n v="8"/>
    <x v="74"/>
    <n v="11"/>
    <n v="10540000000"/>
    <n v="2.9416531202367483E-2"/>
    <n v="2.1916289803088358E-2"/>
    <n v="5.1332821005455838E-2"/>
    <n v="4.4986332794589726E-3"/>
    <n v="5.6593807379832486E-3"/>
    <n v="4.9187289705669608E-3"/>
    <n v="620000000"/>
    <n v="3.0195777062032845E-3"/>
    <n v="2"/>
    <n v="0"/>
    <n v="0"/>
    <n v="0"/>
    <n v="0"/>
    <n v="0"/>
    <n v="0"/>
    <n v="0"/>
    <n v="0"/>
    <n v="0"/>
    <n v="0"/>
    <x v="153"/>
    <x v="152"/>
    <x v="153"/>
    <n v="5545589000"/>
    <n v="62198045000"/>
    <n v="37885527000"/>
    <n v="-24312518000"/>
    <n v="100083572000"/>
    <n v="7.3097088501736671E-2"/>
    <n v="2.6371363396898242E-2"/>
    <n v="2.4893458392489874E-2"/>
    <n v="1.8311473129159404E-2"/>
    <n v="5.5409583103208988E-2"/>
    <n v="2.7008607922848656E-2"/>
    <s v="na"/>
    <s v="na"/>
    <s v="na"/>
    <s v="na"/>
    <s v="na"/>
    <s v="na"/>
    <s v="na"/>
    <s v="na"/>
    <n v="0"/>
    <n v="0"/>
    <n v="0"/>
    <n v="0"/>
    <n v="0"/>
    <n v="0"/>
  </r>
  <r>
    <n v="169"/>
    <s v="SRB"/>
    <x v="164"/>
    <x v="0"/>
    <x v="0"/>
    <n v="2"/>
    <n v="0"/>
    <x v="0"/>
    <n v="2015"/>
    <n v="0"/>
    <s v="na"/>
    <n v="51475016532.129341"/>
    <n v="3"/>
    <x v="77"/>
    <n v="24"/>
    <x v="75"/>
    <n v="27"/>
    <n v="10660000000"/>
    <n v="1.8067017024064842E-2"/>
    <n v="0.18902373725177518"/>
    <n v="0.20709075427584001"/>
    <n v="6.9267035594318611E-4"/>
    <n v="1.2236838795683779E-2"/>
    <n v="4.9747296799092788E-3"/>
    <n v="627058823.52941179"/>
    <n v="1.2181809075049413E-2"/>
    <n v="2"/>
    <n v="0"/>
    <n v="0"/>
    <n v="0"/>
    <n v="0"/>
    <n v="0"/>
    <n v="0"/>
    <n v="0"/>
    <n v="0"/>
    <n v="0"/>
    <n v="0"/>
    <x v="154"/>
    <x v="153"/>
    <x v="154"/>
    <n v="2824403000"/>
    <n v="26548364000"/>
    <n v="19557555000"/>
    <n v="-6990809000"/>
    <n v="46105919000"/>
    <n v="9.439572246335029E-2"/>
    <n v="1.6277648202957885E-2"/>
    <n v="1.0625423912000385E-2"/>
    <n v="9.4528879815914176E-3"/>
    <n v="6.1259011017652638E-2"/>
    <n v="5.4869394713784742E-2"/>
    <n v="66"/>
    <n v="4251444743.7936091"/>
    <n v="38"/>
    <n v="1195786657.3237548"/>
    <n v="24"/>
    <n v="2571020557.8682885"/>
    <n v="4"/>
    <n v="484637528.60156596"/>
    <n v="8.2592392003215193E-2"/>
    <n v="2.3230427844105235E-2"/>
    <n v="4.9946959342179631E-2"/>
    <n v="9.4150048169303266E-3"/>
    <n v="250084984.92903584"/>
    <n v="4.8583760001891293E-3"/>
  </r>
  <r>
    <n v="43"/>
    <s v="COG"/>
    <x v="165"/>
    <x v="3"/>
    <x v="2"/>
    <n v="0"/>
    <n v="0"/>
    <x v="0"/>
    <s v="na"/>
    <n v="0"/>
    <s v="na"/>
    <n v="12693562947.785587"/>
    <n v="10"/>
    <x v="78"/>
    <n v="12"/>
    <x v="76"/>
    <n v="22"/>
    <n v="10990000000"/>
    <n v="0.33717877459666695"/>
    <n v="0.5286143872765503"/>
    <n v="0.86579316187321731"/>
    <n v="3.1877732510073513E-3"/>
    <n v="8.438765500415021E-3"/>
    <n v="5.1287316306006542E-3"/>
    <n v="646470588.2352941"/>
    <n v="5.0929009521953957E-2"/>
    <n v="0"/>
    <s v="na"/>
    <s v="na"/>
    <s v="na"/>
    <s v="na"/>
    <s v="na"/>
    <s v="na"/>
    <n v="0"/>
    <s v="na"/>
    <s v="na"/>
    <s v="na"/>
    <x v="155"/>
    <x v="154"/>
    <x v="155"/>
    <n v="3589978000"/>
    <n v="2302133000"/>
    <n v="5577729000"/>
    <n v="3275596000"/>
    <n v="7879862000"/>
    <n v="0.11133327223057921"/>
    <n v="0.59767586413753693"/>
    <n v="9.2138027890551692E-4"/>
    <n v="2.6959222371443631E-3"/>
    <n v="0.45558894305509412"/>
    <n v="0.28281878104415731"/>
    <n v="168"/>
    <n v="14102108181.011784"/>
    <n v="142"/>
    <n v="8393094901.1244373"/>
    <n v="10"/>
    <n v="2265789246.255024"/>
    <n v="16"/>
    <n v="3443224033.6323285"/>
    <n v="1.1109653167530806"/>
    <n v="0.66120875089595132"/>
    <n v="0.17849907512770435"/>
    <n v="0.27125749072942557"/>
    <n v="829535775.35363436"/>
    <n v="6.535090098547533E-2"/>
  </r>
  <r>
    <n v="103"/>
    <s v="KWT"/>
    <x v="166"/>
    <x v="5"/>
    <x v="1"/>
    <n v="0"/>
    <n v="0"/>
    <x v="0"/>
    <n v="2018"/>
    <n v="0"/>
    <s v="na"/>
    <n v="136196760180.97563"/>
    <n v="7"/>
    <x v="79"/>
    <n v="20"/>
    <x v="77"/>
    <n v="27"/>
    <n v="11110000000"/>
    <n v="1.975083692464916E-2"/>
    <n v="6.1822322269719676E-2"/>
    <n v="8.1573159194368833E-2"/>
    <n v="2.0035303843948071E-3"/>
    <n v="1.0589330180848655E-2"/>
    <n v="5.1847323399429723E-3"/>
    <n v="653529411.7647059"/>
    <n v="4.7984211290805203E-3"/>
    <n v="3"/>
    <n v="0"/>
    <n v="0"/>
    <n v="0"/>
    <n v="0"/>
    <n v="0"/>
    <n v="0"/>
    <n v="0"/>
    <n v="0"/>
    <n v="0"/>
    <n v="0"/>
    <x v="156"/>
    <x v="155"/>
    <x v="156"/>
    <n v="6899119000"/>
    <n v="33530893000"/>
    <n v="64482097000"/>
    <n v="30951204000"/>
    <n v="98012990000"/>
    <n v="0.17859291728377172"/>
    <n v="1.4123904810353794E-2"/>
    <n v="1.3420034178864141E-2"/>
    <n v="3.1166576791378679E-2"/>
    <n v="7.0389843223842063E-2"/>
    <n v="5.065552947685821E-2"/>
    <s v="na"/>
    <s v="na"/>
    <s v="na"/>
    <s v="na"/>
    <s v="na"/>
    <s v="na"/>
    <s v="na"/>
    <s v="na"/>
    <n v="0"/>
    <n v="0"/>
    <n v="0"/>
    <n v="0"/>
    <n v="0"/>
    <n v="0"/>
  </r>
  <r>
    <n v="95"/>
    <s v="JPN"/>
    <x v="167"/>
    <x v="4"/>
    <x v="1"/>
    <n v="0"/>
    <n v="0"/>
    <x v="1"/>
    <s v="na"/>
    <n v="0"/>
    <s v="na"/>
    <n v="5148781948478.1729"/>
    <n v="26"/>
    <x v="80"/>
    <n v="0"/>
    <x v="0"/>
    <n v="26"/>
    <n v="11800000000"/>
    <n v="2.2918041816643118E-3"/>
    <n v="0"/>
    <n v="2.2918041816643118E-3"/>
    <n v="8.7887206453006409E-3"/>
    <n v="0"/>
    <n v="5.5067364186613035E-3"/>
    <n v="694117647.05882359"/>
    <n v="1.34812010686136E-4"/>
    <n v="0"/>
    <s v="na"/>
    <s v="na"/>
    <s v="na"/>
    <s v="na"/>
    <s v="na"/>
    <s v="na"/>
    <n v="0"/>
    <s v="na"/>
    <s v="na"/>
    <s v="na"/>
    <x v="157"/>
    <x v="156"/>
    <x v="157"/>
    <n v="303956352000"/>
    <n v="720964445000"/>
    <n v="705842013000"/>
    <n v="-15122432000"/>
    <n v="1426806458000"/>
    <n v="0.23473621920426327"/>
    <n v="0.19086407654796259"/>
    <n v="0.28855084454940749"/>
    <n v="0.34115948959826486"/>
    <n v="0.21303264384299556"/>
    <n v="5.90346134370364E-2"/>
    <s v="na"/>
    <s v="na"/>
    <s v="na"/>
    <s v="na"/>
    <s v="na"/>
    <s v="na"/>
    <s v="na"/>
    <s v="na"/>
    <n v="0"/>
    <n v="0"/>
    <n v="0"/>
    <n v="0"/>
    <n v="0"/>
    <n v="0"/>
  </r>
  <r>
    <n v="73"/>
    <s v="GHA"/>
    <x v="168"/>
    <x v="3"/>
    <x v="2"/>
    <n v="0"/>
    <n v="0"/>
    <x v="0"/>
    <n v="2018"/>
    <n v="0"/>
    <s v="na"/>
    <n v="67234292582.760582"/>
    <n v="12"/>
    <x v="81"/>
    <n v="19"/>
    <x v="78"/>
    <n v="31"/>
    <n v="12520000000"/>
    <n v="6.7673798967978691E-2"/>
    <n v="0.11854069841204179"/>
    <n v="0.18621449738002047"/>
    <n v="3.3888710962811795E-3"/>
    <n v="1.0023392107050331E-2"/>
    <n v="5.8427406747152133E-3"/>
    <n v="736470588.2352941"/>
    <n v="1.0953793963530616E-2"/>
    <n v="2"/>
    <n v="0"/>
    <n v="0"/>
    <n v="0"/>
    <n v="0"/>
    <n v="0"/>
    <n v="0"/>
    <n v="0"/>
    <n v="0"/>
    <n v="0"/>
    <n v="0"/>
    <x v="158"/>
    <x v="157"/>
    <x v="158"/>
    <n v="4704508"/>
    <n v="10439795000"/>
    <n v="16768275000"/>
    <n v="6328480000"/>
    <n v="27208070000"/>
    <n v="1.8160423648165506E-4"/>
    <n v="1.6749468863076257E-4"/>
    <n v="4.1783082162570187E-3"/>
    <n v="8.1047260365377898E-3"/>
    <n v="1.7290855249931363E-4"/>
    <n v="6.9971852447307131E-5"/>
    <n v="156"/>
    <n v="33441115748.742939"/>
    <n v="118"/>
    <n v="5949626326.3930635"/>
    <n v="27"/>
    <n v="12773336941.599604"/>
    <n v="11"/>
    <n v="14718152480.750273"/>
    <n v="0.49738183394402979"/>
    <n v="8.8490948559762139E-2"/>
    <n v="0.18998246952441039"/>
    <n v="0.21890841585985729"/>
    <n v="1967124455.8084083"/>
    <n v="2.9257754937884108E-2"/>
  </r>
  <r>
    <n v="92"/>
    <s v="ISR"/>
    <x v="169"/>
    <x v="5"/>
    <x v="1"/>
    <n v="0"/>
    <n v="0"/>
    <x v="1"/>
    <s v="na"/>
    <n v="0"/>
    <s v="na"/>
    <n v="394652208893.13806"/>
    <n v="3"/>
    <x v="82"/>
    <n v="15"/>
    <x v="79"/>
    <n v="18"/>
    <n v="12780000000"/>
    <n v="4.6116554246699035E-3"/>
    <n v="2.7771287612297878E-2"/>
    <n v="3.238294303696778E-2"/>
    <n v="1.3555484385124718E-3"/>
    <n v="1.3783736197399201E-2"/>
    <n v="5.9640755449569026E-3"/>
    <n v="751764705.88235295"/>
    <n v="1.9048790021745756E-3"/>
    <n v="1"/>
    <n v="0"/>
    <n v="0"/>
    <n v="0"/>
    <n v="0"/>
    <n v="0"/>
    <n v="0"/>
    <n v="0"/>
    <n v="0"/>
    <n v="0"/>
    <n v="0"/>
    <x v="159"/>
    <x v="158"/>
    <x v="159"/>
    <n v="14952260000"/>
    <n v="76491065000"/>
    <n v="58448249000"/>
    <n v="-18042816000"/>
    <n v="134939314000"/>
    <n v="0.13374743834459621"/>
    <n v="8.0785585210602293E-2"/>
    <n v="3.0613938813908677E-2"/>
    <n v="2.8250195411295663E-2"/>
    <n v="0.11080729223212148"/>
    <n v="3.7887181835205938E-2"/>
    <n v="15"/>
    <n v="2654539877.4793816"/>
    <n v="0"/>
    <n v="0"/>
    <n v="15"/>
    <n v="2654539877.4793816"/>
    <n v="0"/>
    <n v="0"/>
    <n v="6.726276497791412E-3"/>
    <n v="0"/>
    <n v="6.726276497791412E-3"/>
    <n v="0"/>
    <n v="156149404.55761069"/>
    <n v="3.9566332339949488E-4"/>
  </r>
  <r>
    <n v="79"/>
    <s v="GIN"/>
    <x v="170"/>
    <x v="3"/>
    <x v="3"/>
    <n v="0"/>
    <n v="0"/>
    <x v="0"/>
    <n v="2018"/>
    <n v="0"/>
    <s v="na"/>
    <n v="13513809258.208292"/>
    <n v="2"/>
    <x v="83"/>
    <n v="16"/>
    <x v="80"/>
    <n v="18"/>
    <n v="12810000000"/>
    <n v="0.13319708496748831"/>
    <n v="0.81472216971780342"/>
    <n v="0.94791925468529181"/>
    <n v="1.3406523018255215E-3"/>
    <n v="1.3846618205599013E-2"/>
    <n v="5.9780757222924821E-3"/>
    <n v="753529411.7647059"/>
    <n v="5.575995615795834E-2"/>
    <n v="2"/>
    <n v="0"/>
    <n v="0"/>
    <n v="0"/>
    <n v="0"/>
    <n v="0"/>
    <n v="0"/>
    <n v="0"/>
    <n v="0"/>
    <n v="0"/>
    <n v="0"/>
    <x v="160"/>
    <x v="159"/>
    <x v="160"/>
    <n v="4223056000"/>
    <n v="4499351000"/>
    <n v="6696489000"/>
    <n v="2197138000"/>
    <n v="11195840000"/>
    <n v="0.38187640839756665"/>
    <n v="0.3740557178545354"/>
    <n v="1.8007705372686186E-3"/>
    <n v="3.2366602260333224E-3"/>
    <n v="0.37719867379312316"/>
    <n v="0.31249930491914518"/>
    <n v="101"/>
    <n v="22998381265.191792"/>
    <n v="89"/>
    <n v="22130339937.752663"/>
    <n v="7"/>
    <n v="579789711.17455518"/>
    <n v="5"/>
    <n v="288251616.2645728"/>
    <n v="1.7018429686080234"/>
    <n v="1.6376093161379119"/>
    <n v="4.2903499679218186E-2"/>
    <n v="2.1330152790893411E-2"/>
    <n v="1352845956.7759876"/>
    <n v="0.10010840991811902"/>
  </r>
  <r>
    <n v="57"/>
    <s v="ECU"/>
    <x v="171"/>
    <x v="1"/>
    <x v="0"/>
    <n v="3"/>
    <n v="0"/>
    <x v="0"/>
    <n v="2018"/>
    <n v="0"/>
    <s v="na"/>
    <n v="108108009000"/>
    <n v="14"/>
    <x v="84"/>
    <n v="13"/>
    <x v="81"/>
    <n v="27"/>
    <n v="14000000000"/>
    <n v="7.6867570468345234E-2"/>
    <n v="5.263254825088861E-2"/>
    <n v="0.12950011871923384"/>
    <n v="6.1893447934278246E-3"/>
    <n v="7.1559725331388187E-3"/>
    <n v="6.5334160899371396E-3"/>
    <n v="823529411.7647059"/>
    <n v="7.6176540423078731E-3"/>
    <n v="2"/>
    <n v="1"/>
    <n v="50000000"/>
    <n v="0"/>
    <n v="0"/>
    <n v="0"/>
    <n v="0"/>
    <n v="1"/>
    <n v="50000000"/>
    <n v="4.625004239972637E-4"/>
    <n v="1.2543831282458731E-3"/>
    <x v="161"/>
    <x v="160"/>
    <x v="161"/>
    <n v="7393351000"/>
    <n v="22393118000"/>
    <n v="22329379000"/>
    <n v="-63739000"/>
    <n v="44722497000"/>
    <n v="0.20079919196603171"/>
    <n v="0.1297318210237732"/>
    <n v="8.9623741584018597E-3"/>
    <n v="1.0792612797739789E-2"/>
    <n v="0.16531614949853984"/>
    <n v="6.8388559445211869E-2"/>
    <n v="122"/>
    <n v="33929188045.953293"/>
    <n v="80"/>
    <n v="6998072030.8370457"/>
    <n v="34"/>
    <n v="26758269325.671894"/>
    <n v="8"/>
    <n v="172846689.44435728"/>
    <n v="0.31384527714272575"/>
    <n v="6.4732225628510512E-2"/>
    <n v="0.24751421817112454"/>
    <n v="1.5988333430907722E-3"/>
    <n v="1995834590.9384289"/>
    <n v="1.8461486890748575E-2"/>
  </r>
  <r>
    <n v="178"/>
    <s v="ZAF"/>
    <x v="172"/>
    <x v="3"/>
    <x v="0"/>
    <n v="3"/>
    <n v="0"/>
    <x v="0"/>
    <n v="2015"/>
    <n v="0"/>
    <s v="na"/>
    <n v="351431649241.43854"/>
    <n v="12"/>
    <x v="85"/>
    <n v="9"/>
    <x v="82"/>
    <n v="21"/>
    <n v="14380000000"/>
    <n v="2.6946918470322448E-2"/>
    <n v="1.3971422353672991E-2"/>
    <n v="4.0918340823995439E-2"/>
    <n v="7.053320721270938E-3"/>
    <n v="6.1750132052217216E-3"/>
    <n v="6.7107516695211469E-3"/>
    <n v="845882352.94117641"/>
    <n v="2.4069612249409079E-3"/>
    <n v="3"/>
    <n v="0"/>
    <n v="0"/>
    <n v="0"/>
    <n v="0"/>
    <n v="0"/>
    <n v="0"/>
    <n v="0"/>
    <n v="0"/>
    <n v="0"/>
    <n v="0"/>
    <x v="162"/>
    <x v="161"/>
    <x v="162"/>
    <n v="25949039000"/>
    <n v="88216179000"/>
    <n v="90419473000"/>
    <n v="2203294000"/>
    <n v="178635652000"/>
    <n v="0.1846525794321697"/>
    <n v="0.10683200951635717"/>
    <n v="3.5306668907052287E-2"/>
    <n v="4.3703067669937763E-2"/>
    <n v="0.1452623746126557"/>
    <n v="7.3838082187562576E-2"/>
    <n v="105"/>
    <n v="17600242592.929501"/>
    <n v="23"/>
    <n v="14242439.259523757"/>
    <n v="70"/>
    <n v="6556835451.6622343"/>
    <n v="12"/>
    <n v="11029164702.007742"/>
    <n v="5.0081552503650241E-2"/>
    <n v="4.0526911250782078E-5"/>
    <n v="1.8657498451875618E-2"/>
    <n v="3.1383527140523844E-2"/>
    <n v="1035308387.8193824"/>
    <n v="2.9459736766853086E-3"/>
  </r>
  <r>
    <n v="181"/>
    <s v="LKA"/>
    <x v="173"/>
    <x v="6"/>
    <x v="2"/>
    <n v="2"/>
    <n v="1"/>
    <x v="0"/>
    <n v="2017"/>
    <n v="0"/>
    <s v="na"/>
    <n v="83975584254.403229"/>
    <n v="21"/>
    <x v="86"/>
    <n v="21"/>
    <x v="83"/>
    <n v="42"/>
    <n v="14820000000"/>
    <n v="7.0973010225737002E-2"/>
    <n v="0.1055068574832265"/>
    <n v="0.17647986770896351"/>
    <n v="4.4390487327111714E-3"/>
    <n v="1.1142691853007017E-2"/>
    <n v="6.9160876037763141E-3"/>
    <n v="871764705.88235295"/>
    <n v="1.0381168688762559E-2"/>
    <n v="1"/>
    <n v="3"/>
    <n v="460000000"/>
    <n v="2"/>
    <n v="102000000"/>
    <n v="0"/>
    <n v="0"/>
    <n v="5"/>
    <n v="562000000"/>
    <n v="6.6924214340376171E-3"/>
    <n v="1.4099266361483615E-2"/>
    <x v="163"/>
    <x v="162"/>
    <x v="163"/>
    <n v="4289406000"/>
    <n v="19474314000"/>
    <n v="11974156000"/>
    <n v="-7500158000"/>
    <n v="31448470000"/>
    <n v="0.20708400819664302"/>
    <n v="2.1428399630003151E-2"/>
    <n v="7.7941842911828348E-3"/>
    <n v="5.7875514266533187E-3"/>
    <n v="0.13639474352806352"/>
    <n v="5.1079204010123773E-2"/>
    <n v="174"/>
    <n v="15644917570.613316"/>
    <n v="117"/>
    <n v="6130186630.0136003"/>
    <n v="47"/>
    <n v="8665415491.7066727"/>
    <n v="10"/>
    <n v="849315448.89303958"/>
    <n v="0.18630317025502541"/>
    <n v="7.2999630600273743E-2"/>
    <n v="0.10318970172871771"/>
    <n v="1.0113837926033912E-2"/>
    <n v="920289268.85960674"/>
    <n v="1.0959010015001493E-2"/>
  </r>
  <r>
    <n v="190"/>
    <s v="TZA"/>
    <x v="174"/>
    <x v="3"/>
    <x v="2"/>
    <n v="1"/>
    <n v="0"/>
    <x v="0"/>
    <n v="2018"/>
    <n v="0"/>
    <s v="na"/>
    <n v="61136873747.332352"/>
    <n v="6"/>
    <x v="87"/>
    <n v="24"/>
    <x v="84"/>
    <n v="30"/>
    <n v="14950000000"/>
    <n v="2.2899437183948053E-2"/>
    <n v="0.22163383845892579"/>
    <n v="0.24453327564287386"/>
    <n v="1.0427295680865167E-3"/>
    <n v="1.7041024222149558E-2"/>
    <n v="6.9767550388971592E-3"/>
    <n v="879411764.70588231"/>
    <n v="1.4384310331933756E-2"/>
    <n v="0"/>
    <s v="na"/>
    <s v="na"/>
    <s v="na"/>
    <s v="na"/>
    <s v="na"/>
    <s v="na"/>
    <n v="0"/>
    <s v="na"/>
    <s v="na"/>
    <s v="na"/>
    <x v="164"/>
    <x v="163"/>
    <x v="164"/>
    <n v="2223259000"/>
    <n v="9077091000"/>
    <n v="4932713000"/>
    <n v="-4144378000"/>
    <n v="14009804000"/>
    <n v="0.21951382882467521"/>
    <n v="4.6771827187188877E-2"/>
    <n v="3.632914621887944E-3"/>
    <n v="2.3841622040352054E-3"/>
    <n v="0.15869308378618288"/>
    <n v="3.6365271295819401E-2"/>
    <n v="204"/>
    <n v="14476993314.021706"/>
    <n v="174"/>
    <n v="10042915638.938545"/>
    <n v="22"/>
    <n v="2193990114.9791784"/>
    <n v="8"/>
    <n v="2240087560.1039782"/>
    <n v="0.23679642786205429"/>
    <n v="0.16426936844111625"/>
    <n v="3.58865277286919E-2"/>
    <n v="3.6640531692246077E-2"/>
    <n v="851587842.00127685"/>
    <n v="1.392920163894437E-2"/>
  </r>
  <r>
    <n v="39"/>
    <s v="CHL"/>
    <x v="175"/>
    <x v="1"/>
    <x v="1"/>
    <n v="2"/>
    <n v="1"/>
    <x v="0"/>
    <n v="2018"/>
    <n v="0"/>
    <s v="na"/>
    <n v="279385487344.5257"/>
    <n v="2"/>
    <x v="88"/>
    <n v="11"/>
    <x v="85"/>
    <n v="13"/>
    <n v="15210000000"/>
    <n v="7.5164963647892484E-3"/>
    <n v="4.6924413020184311E-2"/>
    <n v="5.4440909384973556E-2"/>
    <n v="1.5640943521297752E-3"/>
    <n v="1.6487662549991195E-2"/>
    <n v="7.0980899091388494E-3"/>
    <n v="894705882.35294116"/>
    <n v="3.2024064344102093E-3"/>
    <n v="2"/>
    <n v="0"/>
    <n v="0"/>
    <n v="0"/>
    <n v="0"/>
    <n v="0"/>
    <n v="0"/>
    <n v="0"/>
    <n v="0"/>
    <n v="0"/>
    <n v="0"/>
    <x v="165"/>
    <x v="164"/>
    <x v="165"/>
    <n v="36319227000"/>
    <n v="64119106000"/>
    <n v="69145962000"/>
    <n v="5026856000"/>
    <n v="133265068000"/>
    <n v="0.22835842408657414"/>
    <n v="0.31349754017450793"/>
    <n v="2.5662322624041445E-2"/>
    <n v="3.3420794836848317E-2"/>
    <n v="0.27253373704803124"/>
    <n v="0.12999682748450264"/>
    <n v="32"/>
    <n v="1502672359.4791894"/>
    <n v="8"/>
    <n v="6355155.097238021"/>
    <n v="21"/>
    <n v="1215003113.1098843"/>
    <n v="3"/>
    <n v="281314091.27206707"/>
    <n v="5.3784911083307671E-3"/>
    <n v="2.2746904850505452E-5"/>
    <n v="4.3488411823324122E-3"/>
    <n v="1.0069030211478491E-3"/>
    <n v="88392491.734069958"/>
    <n v="3.1638182990180978E-4"/>
  </r>
  <r>
    <n v="185"/>
    <s v="SWE"/>
    <x v="176"/>
    <x v="0"/>
    <x v="1"/>
    <n v="0"/>
    <n v="0"/>
    <x v="1"/>
    <s v="na"/>
    <n v="0"/>
    <s v="na"/>
    <n v="533879529188.45374"/>
    <n v="16"/>
    <x v="89"/>
    <n v="0"/>
    <x v="0"/>
    <n v="16"/>
    <n v="15340000000"/>
    <n v="2.8733073963930062E-2"/>
    <n v="0"/>
    <n v="2.8733073963930062E-2"/>
    <n v="1.1425336838890833E-2"/>
    <n v="0"/>
    <n v="7.1587573442596936E-3"/>
    <n v="902352941.17647064"/>
    <n v="1.6901808214076508E-3"/>
    <n v="2"/>
    <n v="0"/>
    <n v="0"/>
    <n v="0"/>
    <n v="0"/>
    <n v="0"/>
    <n v="0"/>
    <n v="0"/>
    <n v="0"/>
    <n v="0"/>
    <n v="0"/>
    <x v="166"/>
    <x v="165"/>
    <x v="166"/>
    <n v="17204597000"/>
    <n v="158959381000"/>
    <n v="160567911000"/>
    <n v="1608530000"/>
    <n v="319527292000"/>
    <n v="6.0806842220906737E-2"/>
    <n v="4.6950719811008811E-2"/>
    <n v="6.3620146533857225E-2"/>
    <n v="7.7608396147736292E-2"/>
    <n v="5.3843904513796587E-2"/>
    <n v="3.2225616565880653E-2"/>
    <s v="na"/>
    <s v="na"/>
    <s v="na"/>
    <s v="na"/>
    <s v="na"/>
    <s v="na"/>
    <s v="na"/>
    <s v="na"/>
    <n v="0"/>
    <n v="0"/>
    <n v="0"/>
    <n v="0"/>
    <n v="0"/>
    <n v="0"/>
  </r>
  <r>
    <n v="197"/>
    <s v="TUR"/>
    <x v="177"/>
    <x v="0"/>
    <x v="0"/>
    <n v="2"/>
    <n v="0"/>
    <x v="0"/>
    <n v="2015"/>
    <n v="0"/>
    <s v="na"/>
    <n v="761428183369.17065"/>
    <n v="15"/>
    <x v="90"/>
    <n v="13"/>
    <x v="86"/>
    <n v="28"/>
    <n v="16310000000"/>
    <n v="1.313321494845641E-2"/>
    <n v="8.2870586324759951E-3"/>
    <n v="2.1420273580932403E-2"/>
    <n v="7.4480683434751194E-3"/>
    <n v="7.93570943481651E-3"/>
    <n v="7.6114297447767675E-3"/>
    <n v="959411764.70588231"/>
    <n v="1.2600160929960237E-3"/>
    <n v="1"/>
    <n v="12"/>
    <n v="2704600000"/>
    <n v="3"/>
    <n v="567000000"/>
    <n v="0"/>
    <n v="0"/>
    <n v="15"/>
    <n v="3271600000"/>
    <n v="4.2966626025369992E-3"/>
    <n v="8.2076796847383976E-2"/>
    <x v="167"/>
    <x v="166"/>
    <x v="167"/>
    <n v="21854543000"/>
    <n v="210346890000"/>
    <n v="180870841000"/>
    <n v="-29476049000"/>
    <n v="391217731000"/>
    <n v="9.0935368714032336E-2"/>
    <n v="1.5074685255651574E-2"/>
    <n v="8.4186915428043504E-2"/>
    <n v="8.742155137026239E-2"/>
    <n v="5.5862864252438499E-2"/>
    <n v="2.8702041081928337E-2"/>
    <n v="59"/>
    <n v="9626239800.4556942"/>
    <n v="9"/>
    <n v="2263951.8206853508"/>
    <n v="37"/>
    <n v="6908789199.9155893"/>
    <n v="13"/>
    <n v="2715186648.719419"/>
    <n v="1.2642347644477076E-2"/>
    <n v="2.9732965894009953E-6"/>
    <n v="9.0734613596065612E-3"/>
    <n v="3.5659129882811137E-3"/>
    <n v="566249400.02680552"/>
    <n v="7.4366750849865155E-4"/>
  </r>
  <r>
    <n v="66"/>
    <s v="FIN"/>
    <x v="178"/>
    <x v="0"/>
    <x v="1"/>
    <n v="0"/>
    <n v="0"/>
    <x v="1"/>
    <s v="na"/>
    <n v="0"/>
    <s v="na"/>
    <n v="268782471380.39172"/>
    <n v="8"/>
    <x v="91"/>
    <n v="0"/>
    <x v="0"/>
    <n v="8"/>
    <n v="16330000000"/>
    <n v="6.0755449996920112E-2"/>
    <n v="0"/>
    <n v="6.0755449996920112E-2"/>
    <n v="1.216269560489487E-2"/>
    <n v="0"/>
    <n v="7.6207631963338199E-3"/>
    <n v="960588235.29411769"/>
    <n v="3.5738499998188302E-3"/>
    <n v="2"/>
    <n v="0"/>
    <n v="0"/>
    <n v="0"/>
    <n v="0"/>
    <n v="0"/>
    <n v="0"/>
    <n v="0"/>
    <n v="0"/>
    <n v="0"/>
    <n v="0"/>
    <x v="168"/>
    <x v="167"/>
    <x v="168"/>
    <n v="9337090000"/>
    <n v="73719857000"/>
    <n v="72839176000"/>
    <n v="-880681000"/>
    <n v="146559033000"/>
    <n v="7.4528915594613804E-2"/>
    <n v="5.2757722025850481E-2"/>
    <n v="2.9504821139150011E-2"/>
    <n v="3.5205861438171698E-2"/>
    <n v="6.370873093847447E-2"/>
    <n v="3.4738463234032013E-2"/>
    <s v="na"/>
    <s v="na"/>
    <s v="na"/>
    <s v="na"/>
    <s v="na"/>
    <s v="na"/>
    <s v="na"/>
    <s v="na"/>
    <n v="0"/>
    <n v="0"/>
    <n v="0"/>
    <n v="0"/>
    <n v="0"/>
    <n v="0"/>
  </r>
  <r>
    <n v="44"/>
    <s v="COD"/>
    <x v="179"/>
    <x v="3"/>
    <x v="3"/>
    <n v="1"/>
    <n v="0"/>
    <x v="0"/>
    <n v="2021"/>
    <n v="0"/>
    <s v="na"/>
    <n v="50400746171.423866"/>
    <n v="28"/>
    <x v="92"/>
    <n v="0"/>
    <x v="0"/>
    <n v="28"/>
    <n v="16340000000"/>
    <n v="0.32420154940611629"/>
    <n v="0"/>
    <n v="0.32420154940611629"/>
    <n v="1.2170143673238345E-2"/>
    <n v="0"/>
    <n v="7.625429922112347E-3"/>
    <n v="961176470.58823526"/>
    <n v="1.9070679376830369E-2"/>
    <n v="0"/>
    <s v="na"/>
    <s v="na"/>
    <s v="na"/>
    <s v="na"/>
    <s v="na"/>
    <s v="na"/>
    <n v="0"/>
    <s v="na"/>
    <s v="na"/>
    <s v="na"/>
    <x v="169"/>
    <x v="168"/>
    <x v="169"/>
    <n v="5620926000"/>
    <n v="8824802000"/>
    <n v="13382299000"/>
    <n v="4557497000"/>
    <n v="22207101000"/>
    <n v="0.23290074950123527"/>
    <n v="0.26644323221294042"/>
    <n v="3.5319412597126076E-3"/>
    <n v="6.4681588973244785E-3"/>
    <n v="0.25311390262060768"/>
    <n v="0.11152465840251674"/>
    <n v="249"/>
    <n v="13037513170.499128"/>
    <n v="154"/>
    <n v="1001809010.4741279"/>
    <n v="62"/>
    <n v="10544151469.910511"/>
    <n v="33"/>
    <n v="1491552690.11449"/>
    <n v="0.2586769871651447"/>
    <n v="1.9876868629419855E-2"/>
    <n v="0.20920625726546915"/>
    <n v="2.959386127025572E-2"/>
    <n v="766912539.44112515"/>
    <n v="1.5216293362655571E-2"/>
  </r>
  <r>
    <n v="98"/>
    <s v="KEN"/>
    <x v="180"/>
    <x v="3"/>
    <x v="2"/>
    <n v="0"/>
    <n v="0"/>
    <x v="0"/>
    <n v="2017"/>
    <n v="0"/>
    <s v="na"/>
    <n v="95503088538.09198"/>
    <n v="10"/>
    <x v="93"/>
    <n v="32"/>
    <x v="87"/>
    <n v="42"/>
    <n v="16560000000"/>
    <n v="7.6856153160663451E-2"/>
    <n v="9.6541380400724394E-2"/>
    <n v="0.17339753356138785"/>
    <n v="5.4668821641107382E-3"/>
    <n v="1.1595442312045677E-2"/>
    <n v="7.7280978892399306E-3"/>
    <n v="974117647.05882359"/>
    <n v="1.0199854915375757E-2"/>
    <n v="3"/>
    <n v="0"/>
    <n v="0"/>
    <n v="0"/>
    <n v="0"/>
    <n v="0"/>
    <n v="0"/>
    <n v="0"/>
    <n v="0"/>
    <n v="0"/>
    <n v="0"/>
    <x v="170"/>
    <x v="169"/>
    <x v="170"/>
    <n v="3738971000"/>
    <n v="17220379000"/>
    <n v="5836027000"/>
    <n v="-11384352000"/>
    <n v="23056406000"/>
    <n v="0.20849825662954341"/>
    <n v="2.5454303072963851E-2"/>
    <n v="6.8920942473257212E-3"/>
    <n v="2.8207671914277123E-3"/>
    <n v="0.1621662543589838"/>
    <n v="3.9150262648403135E-2"/>
    <n v="191"/>
    <n v="15971557294.632847"/>
    <n v="133"/>
    <n v="2806509408.8657408"/>
    <n v="36"/>
    <n v="7976308103.5065899"/>
    <n v="22"/>
    <n v="5188739782.2605143"/>
    <n v="0.16723602910771304"/>
    <n v="2.9386582694091067E-2"/>
    <n v="8.351884976290784E-2"/>
    <n v="5.4330596650714123E-2"/>
    <n v="939503370.27252042"/>
    <n v="9.8374134769242966E-3"/>
  </r>
  <r>
    <n v="215"/>
    <s v="ZMB"/>
    <x v="181"/>
    <x v="3"/>
    <x v="2"/>
    <n v="0"/>
    <n v="0"/>
    <x v="0"/>
    <n v="2018"/>
    <n v="0"/>
    <s v="na"/>
    <n v="23308688906.12878"/>
    <n v="19"/>
    <x v="94"/>
    <n v="30"/>
    <x v="88"/>
    <n v="49"/>
    <n v="16620000000"/>
    <n v="0.24969229386684597"/>
    <n v="0.46334652470136367"/>
    <n v="0.71303881856820961"/>
    <n v="4.3347757759025201E-3"/>
    <n v="1.3582513771159795E-2"/>
    <n v="7.7560982439110896E-3"/>
    <n v="977647058.82352936"/>
    <n v="4.1943459915777033E-2"/>
    <n v="0"/>
    <s v="na"/>
    <s v="na"/>
    <s v="na"/>
    <s v="na"/>
    <s v="na"/>
    <s v="na"/>
    <n v="0"/>
    <s v="na"/>
    <s v="na"/>
    <s v="na"/>
    <x v="171"/>
    <x v="170"/>
    <x v="171"/>
    <n v="2525981000"/>
    <n v="7226897000"/>
    <n v="6962507000"/>
    <n v="-264390000"/>
    <n v="14189404000"/>
    <n v="0.14113346295097329"/>
    <n v="0.21630484536676228"/>
    <n v="2.8924134155070289E-3"/>
    <n v="3.3652365411753218E-3"/>
    <n v="0.17801882305979871"/>
    <n v="0.10837078868626623"/>
    <n v="167"/>
    <n v="9911112078.2602673"/>
    <n v="116"/>
    <n v="2841730205.5317831"/>
    <n v="36"/>
    <n v="4926950738.8012905"/>
    <n v="15"/>
    <n v="2142431133.9271944"/>
    <n v="0.42521104975811153"/>
    <n v="0.12191720508074477"/>
    <n v="0.21137828724059204"/>
    <n v="9.191555743677475E-2"/>
    <n v="583006592.83883929"/>
    <n v="2.5012414691653623E-2"/>
  </r>
  <r>
    <n v="153"/>
    <s v="PHL"/>
    <x v="182"/>
    <x v="4"/>
    <x v="2"/>
    <n v="0"/>
    <n v="1"/>
    <x v="0"/>
    <n v="2017"/>
    <n v="0"/>
    <s v="na"/>
    <n v="376823278560.84857"/>
    <n v="6"/>
    <x v="95"/>
    <n v="23"/>
    <x v="89"/>
    <n v="29"/>
    <n v="17680000000"/>
    <n v="1.0137377962925279E-2"/>
    <n v="3.6781167163912137E-2"/>
    <n v="4.6918545126837415E-2"/>
    <n v="2.8451621072074955E-3"/>
    <n v="1.7430892672988405E-2"/>
    <n v="8.2507711764349019E-3"/>
    <n v="1040000000"/>
    <n v="2.7599144192257305E-3"/>
    <n v="1"/>
    <n v="3"/>
    <n v="1257600000"/>
    <n v="0"/>
    <n v="0"/>
    <n v="0"/>
    <n v="0"/>
    <n v="3"/>
    <n v="1257600000"/>
    <n v="3.3373734361714217E-3"/>
    <n v="3.1550244441640202E-2"/>
    <x v="172"/>
    <x v="171"/>
    <x v="172"/>
    <n v="35378000000"/>
    <n v="112908749000"/>
    <n v="70334023000"/>
    <n v="-42574726000"/>
    <n v="183242772000"/>
    <n v="0.22805155692584991"/>
    <n v="0.13690364334768679"/>
    <n v="4.5189350330538246E-2"/>
    <n v="3.3995028556160239E-2"/>
    <n v="0.19306627821587419"/>
    <n v="9.3884858003238356E-2"/>
    <n v="92"/>
    <n v="31484642653.510399"/>
    <n v="55"/>
    <n v="10910181587.909098"/>
    <n v="32"/>
    <n v="17148159172.128071"/>
    <n v="5"/>
    <n v="3426301893.4732318"/>
    <n v="8.3552806964993093E-2"/>
    <n v="2.8953045654655188E-2"/>
    <n v="4.5507165156090601E-2"/>
    <n v="9.0925961542473021E-3"/>
    <n v="1852037803.1476705"/>
    <n v="4.91487099794077E-3"/>
  </r>
  <r>
    <n v="33"/>
    <s v="KHM"/>
    <x v="183"/>
    <x v="4"/>
    <x v="2"/>
    <n v="4"/>
    <n v="1"/>
    <x v="0"/>
    <n v="2013"/>
    <n v="0"/>
    <s v="na"/>
    <n v="27089389786.968418"/>
    <n v="15"/>
    <x v="96"/>
    <n v="32"/>
    <x v="90"/>
    <n v="47"/>
    <n v="18220000000"/>
    <n v="0.21004533674424897"/>
    <n v="0.46254271870042873"/>
    <n v="0.6725880554446777"/>
    <n v="4.2379508874373431E-3"/>
    <n v="1.5758231254873356E-2"/>
    <n v="8.5027743684753347E-3"/>
    <n v="1071764705.8823529"/>
    <n v="3.9564003261451632E-2"/>
    <n v="1"/>
    <n v="2"/>
    <n v="135000000"/>
    <n v="1"/>
    <n v="50000000"/>
    <n v="0"/>
    <n v="0"/>
    <n v="3"/>
    <n v="185000000"/>
    <n v="6.8292420558323476E-3"/>
    <n v="4.641217574509731E-3"/>
    <x v="173"/>
    <x v="172"/>
    <x v="173"/>
    <n v="8597896000"/>
    <n v="20279485000"/>
    <n v="14824722000"/>
    <n v="-5454763000"/>
    <n v="35104207000"/>
    <n v="0.37406018939830077"/>
    <n v="6.827433256421267E-2"/>
    <n v="8.1164370370262039E-3"/>
    <n v="7.1653351568861179E-3"/>
    <n v="0.24492494589038857"/>
    <n v="0.31738979975606874"/>
    <n v="308"/>
    <n v="14819153501.184505"/>
    <n v="199"/>
    <n v="3733341709.0953841"/>
    <n v="97"/>
    <n v="10598719750.883251"/>
    <n v="12"/>
    <n v="487092041.20587224"/>
    <n v="0.5470464125520238"/>
    <n v="0.13781564437052546"/>
    <n v="0.39124985222006942"/>
    <n v="1.7980915961429002E-2"/>
    <n v="871714911.83438265"/>
    <n v="3.2179200738354341E-2"/>
  </r>
  <r>
    <n v="210"/>
    <s v="VEN"/>
    <x v="184"/>
    <x v="1"/>
    <x v="4"/>
    <n v="3"/>
    <n v="0"/>
    <x v="0"/>
    <n v="2018"/>
    <n v="0"/>
    <s v="na"/>
    <s v="na"/>
    <n v="18"/>
    <x v="97"/>
    <n v="10"/>
    <x v="91"/>
    <n v="28"/>
    <n v="19770000000"/>
    <n v="0"/>
    <n v="0"/>
    <n v="0"/>
    <n v="8.662103483461565E-3"/>
    <n v="1.0237190934929698E-2"/>
    <n v="9.2261168641469462E-3"/>
    <n v="1162941176.4705882"/>
    <n v="0"/>
    <n v="3"/>
    <n v="0"/>
    <n v="0"/>
    <n v="0"/>
    <n v="0"/>
    <n v="0"/>
    <n v="0"/>
    <n v="0"/>
    <n v="0"/>
    <s v="na"/>
    <n v="0"/>
    <x v="174"/>
    <x v="173"/>
    <x v="174"/>
    <n v="6328231000"/>
    <n v="6177724000"/>
    <n v="17015898000"/>
    <n v="10838174000"/>
    <n v="23193622000"/>
    <n v="0.24926105471853388"/>
    <n v="0.28140536573503205"/>
    <n v="2.4725040048169701E-3"/>
    <n v="8.2244113694265684E-3"/>
    <n v="0.27284358605137221"/>
    <s v="na"/>
    <n v="84"/>
    <n v="173012228093.00427"/>
    <n v="9"/>
    <n v="92644565.738441646"/>
    <n v="63"/>
    <n v="166305580599.91101"/>
    <n v="12"/>
    <n v="6614002927.354825"/>
    <n v="0"/>
    <n v="0"/>
    <n v="0"/>
    <n v="0"/>
    <n v="10177189887.82378"/>
    <n v="0"/>
  </r>
  <r>
    <n v="135"/>
    <s v="NLD"/>
    <x v="185"/>
    <x v="0"/>
    <x v="1"/>
    <n v="0"/>
    <n v="0"/>
    <x v="1"/>
    <s v="na"/>
    <n v="0"/>
    <s v="na"/>
    <n v="910194347568.62598"/>
    <n v="23"/>
    <x v="98"/>
    <n v="0"/>
    <x v="0"/>
    <n v="23"/>
    <n v="20330000000"/>
    <n v="2.2335889092595335E-2"/>
    <n v="0"/>
    <n v="2.2335889092595335E-2"/>
    <n v="1.5141922942284919E-2"/>
    <n v="0"/>
    <n v="9.4874535077444314E-3"/>
    <n v="1195882352.9411764"/>
    <n v="1.313875828976196E-3"/>
    <n v="2"/>
    <n v="0"/>
    <n v="0"/>
    <n v="0"/>
    <n v="0"/>
    <n v="0"/>
    <n v="0"/>
    <n v="0"/>
    <n v="0"/>
    <n v="0"/>
    <n v="0"/>
    <x v="175"/>
    <x v="174"/>
    <x v="175"/>
    <n v="62485810000"/>
    <n v="514857688000"/>
    <n v="576784455000"/>
    <n v="61926767000"/>
    <n v="1091642143000"/>
    <n v="9.3556955878650497E-2"/>
    <n v="2.4822603792260662E-2"/>
    <n v="0.20606095311004605"/>
    <n v="0.27878120974928899"/>
    <n v="5.7240195791891484E-2"/>
    <n v="6.8651063552434069E-2"/>
    <s v="na"/>
    <s v="na"/>
    <s v="na"/>
    <s v="na"/>
    <s v="na"/>
    <s v="na"/>
    <s v="na"/>
    <s v="na"/>
    <n v="0"/>
    <n v="0"/>
    <n v="0"/>
    <n v="0"/>
    <n v="0"/>
    <n v="0"/>
  </r>
  <r>
    <n v="7"/>
    <s v="ARG"/>
    <x v="186"/>
    <x v="1"/>
    <x v="0"/>
    <n v="3"/>
    <n v="0"/>
    <x v="1"/>
    <s v="na"/>
    <n v="0"/>
    <s v="na"/>
    <n v="445445177459.45306"/>
    <n v="31"/>
    <x v="99"/>
    <n v="0"/>
    <x v="0"/>
    <n v="31"/>
    <n v="22810000000"/>
    <n v="5.1207199346268141E-2"/>
    <n v="0"/>
    <n v="5.1207199346268141E-2"/>
    <n v="1.6989043891466746E-2"/>
    <n v="0"/>
    <n v="1.064480150081901E-2"/>
    <n v="1341764705.8823528"/>
    <n v="3.0121881968393021E-3"/>
    <n v="2"/>
    <n v="0"/>
    <n v="0"/>
    <n v="0"/>
    <n v="0"/>
    <n v="0"/>
    <n v="0"/>
    <n v="0"/>
    <n v="0"/>
    <n v="0"/>
    <n v="0"/>
    <x v="176"/>
    <x v="175"/>
    <x v="176"/>
    <n v="15583830000"/>
    <n v="49125030000"/>
    <n v="65115327000"/>
    <n v="15990297000"/>
    <n v="114240357000"/>
    <n v="0.18847304520730063"/>
    <n v="9.713666952789779E-2"/>
    <n v="1.9661259294159759E-2"/>
    <n v="3.1472640215798708E-2"/>
    <n v="0.13641265144155668"/>
    <n v="3.498484390128688E-2"/>
    <n v="67"/>
    <n v="34167061581.110947"/>
    <n v="2"/>
    <n v="502647697.70549798"/>
    <n v="55"/>
    <n v="16417355731.435488"/>
    <n v="10"/>
    <n v="17247058151.969959"/>
    <n v="7.6703179897420773E-2"/>
    <n v="1.1284165215847506E-3"/>
    <n v="3.6856063466822221E-2"/>
    <n v="3.8718699909013797E-2"/>
    <n v="2009827151.8300557"/>
    <n v="4.5119517586718096E-3"/>
  </r>
  <r>
    <n v="3"/>
    <s v="DZA"/>
    <x v="187"/>
    <x v="5"/>
    <x v="2"/>
    <n v="3"/>
    <n v="0"/>
    <x v="0"/>
    <n v="2018"/>
    <n v="0"/>
    <s v="na"/>
    <n v="171157803367.47278"/>
    <n v="21"/>
    <x v="100"/>
    <n v="19"/>
    <x v="92"/>
    <n v="40"/>
    <n v="24610000000"/>
    <n v="9.4766348252179583E-2"/>
    <n v="4.9019091358556512E-2"/>
    <n v="0.14378543961073609"/>
    <n v="1.2080766853116645E-2"/>
    <n v="1.0551600975928768E-2"/>
    <n v="1.1484812140953786E-2"/>
    <n v="1447647058.8235295"/>
    <n v="8.4579670359256533E-3"/>
    <n v="2"/>
    <n v="0"/>
    <n v="0"/>
    <n v="0"/>
    <n v="0"/>
    <n v="0"/>
    <n v="0"/>
    <n v="0"/>
    <n v="0"/>
    <n v="0"/>
    <n v="0"/>
    <x v="177"/>
    <x v="176"/>
    <x v="177"/>
    <n v="8087231000"/>
    <n v="42521470000"/>
    <n v="36767788000"/>
    <n v="-5753682000"/>
    <n v="79289258000"/>
    <n v="0.16334268311984509"/>
    <n v="3.1050548920702001E-2"/>
    <n v="1.7018323393163025E-2"/>
    <n v="1.7771228627244111E-2"/>
    <n v="0.10199655292523989"/>
    <n v="4.7250144842282522E-2"/>
    <n v="40"/>
    <n v="3648671293.308445"/>
    <n v="34"/>
    <n v="300781939.017712"/>
    <n v="5"/>
    <n v="3347889354.2907329"/>
    <n v="1"/>
    <n v="0"/>
    <n v="2.1317586586892635E-2"/>
    <n v="1.7573369901922526E-3"/>
    <n v="1.9560249596700382E-2"/>
    <n v="0"/>
    <n v="214627723.13579088"/>
    <n v="1.2539756815819199E-3"/>
  </r>
  <r>
    <n v="58"/>
    <s v="EGY"/>
    <x v="188"/>
    <x v="5"/>
    <x v="2"/>
    <n v="0"/>
    <n v="0"/>
    <x v="0"/>
    <n v="2016"/>
    <n v="0"/>
    <s v="na"/>
    <n v="303080865603.64465"/>
    <n v="14"/>
    <x v="101"/>
    <n v="19"/>
    <x v="93"/>
    <n v="33"/>
    <n v="24700000000"/>
    <n v="2.870521034929821E-2"/>
    <n v="5.2791191446985214E-2"/>
    <n v="8.1496401796283424E-2"/>
    <n v="6.4798194588233538E-3"/>
    <n v="2.0122242623940439E-2"/>
    <n v="1.1526812672960525E-2"/>
    <n v="1452941176.4705882"/>
    <n v="4.7939059880166713E-3"/>
    <n v="2"/>
    <n v="3"/>
    <n v="660000000"/>
    <n v="2"/>
    <n v="649000000"/>
    <n v="0"/>
    <n v="0"/>
    <n v="5"/>
    <n v="1309000000"/>
    <n v="4.318979350256478E-3"/>
    <n v="3.2839750297476961E-2"/>
    <x v="178"/>
    <x v="177"/>
    <x v="178"/>
    <n v="12597793000"/>
    <n v="78657518000"/>
    <n v="30632553000"/>
    <n v="-48024965000"/>
    <n v="109290071000"/>
    <n v="0.15307972214429649"/>
    <n v="1.8180724277209282E-2"/>
    <n v="3.1481016028550787E-2"/>
    <n v="1.4805843169003595E-2"/>
    <n v="0.11526932762263463"/>
    <n v="4.1565781379530632E-2"/>
    <n v="71"/>
    <n v="6470899582.0142622"/>
    <n v="48"/>
    <n v="956566800.48591578"/>
    <n v="16"/>
    <n v="2572561247.8118019"/>
    <n v="7"/>
    <n v="2941771533.7165456"/>
    <n v="2.1350406166770718E-2"/>
    <n v="3.1561438185176306E-3"/>
    <n v="8.4880358338954992E-3"/>
    <n v="9.7062265143575913E-3"/>
    <n v="380641151.88319188"/>
    <n v="1.2559062451041598E-3"/>
  </r>
  <r>
    <n v="5"/>
    <s v="AGO"/>
    <x v="189"/>
    <x v="3"/>
    <x v="2"/>
    <n v="2"/>
    <n v="0"/>
    <x v="0"/>
    <n v="2018"/>
    <n v="0"/>
    <s v="na"/>
    <n v="89417190341.253281"/>
    <n v="21"/>
    <x v="102"/>
    <n v="20"/>
    <x v="94"/>
    <n v="41"/>
    <n v="24850000000"/>
    <n v="0.16853582563360128"/>
    <n v="0.10937494191749307"/>
    <n v="0.27791076755109434"/>
    <n v="1.1224238993617006E-2"/>
    <n v="1.2299720803883593E-2"/>
    <n v="1.1596813559638422E-2"/>
    <n v="1461764705.8823528"/>
    <n v="1.6347692208887901E-2"/>
    <n v="0"/>
    <s v="na"/>
    <s v="na"/>
    <s v="na"/>
    <s v="na"/>
    <s v="na"/>
    <s v="na"/>
    <n v="0"/>
    <s v="na"/>
    <s v="na"/>
    <s v="na"/>
    <x v="179"/>
    <x v="178"/>
    <x v="179"/>
    <n v="23387870"/>
    <n v="14160146000"/>
    <n v="34819241000"/>
    <n v="20659095000"/>
    <n v="48979387000"/>
    <n v="1.4336024501442288E-4"/>
    <n v="6.133926928504846E-4"/>
    <n v="5.6673003995958704E-3"/>
    <n v="1.6829423963119886E-2"/>
    <n v="4.7750434279628692E-4"/>
    <n v="2.6155899006379126E-4"/>
    <n v="350"/>
    <n v="88449059776.888641"/>
    <n v="78"/>
    <n v="310799325.71688968"/>
    <n v="199"/>
    <n v="72542723598.448303"/>
    <n v="73"/>
    <n v="15595536852.723465"/>
    <n v="0.98917288095644862"/>
    <n v="3.4758341716033558E-3"/>
    <n v="0.81128386299765209"/>
    <n v="0.17441318378719342"/>
    <n v="5202885869.2287436"/>
    <n v="5.8186640056261688E-2"/>
  </r>
  <r>
    <n v="64"/>
    <s v="ETH"/>
    <x v="190"/>
    <x v="3"/>
    <x v="3"/>
    <n v="1"/>
    <n v="0"/>
    <x v="0"/>
    <n v="2018"/>
    <n v="0"/>
    <s v="na"/>
    <n v="95912590628.141235"/>
    <n v="21"/>
    <x v="103"/>
    <n v="39"/>
    <x v="95"/>
    <n v="60"/>
    <n v="25000000000"/>
    <n v="0.14367248251510453"/>
    <n v="0.11698151333958438"/>
    <n v="0.2606539958546889"/>
    <n v="1.0263438177308714E-2"/>
    <n v="1.4110722640038232E-2"/>
    <n v="1.166681444631632E-2"/>
    <n v="1470588235.2941177"/>
    <n v="1.533258799145229E-2"/>
    <n v="2"/>
    <n v="0"/>
    <n v="0"/>
    <n v="0"/>
    <n v="0"/>
    <n v="0"/>
    <n v="0"/>
    <n v="0"/>
    <n v="0"/>
    <n v="0"/>
    <n v="0"/>
    <x v="180"/>
    <x v="179"/>
    <x v="180"/>
    <n v="4408066000"/>
    <n v="15575890000"/>
    <n v="2678468000"/>
    <n v="-12897422000"/>
    <n v="18254358000"/>
    <n v="0.27502139524611435"/>
    <n v="4.6430646175350983E-2"/>
    <n v="6.2339221376009335E-3"/>
    <n v="1.2946024166250434E-3"/>
    <n v="0.24148019886538874"/>
    <n v="4.5959200675647807E-2"/>
    <n v="218"/>
    <n v="24549040327.122738"/>
    <n v="155"/>
    <n v="9669275552.7825241"/>
    <n v="48"/>
    <n v="12633865805.844887"/>
    <n v="15"/>
    <n v="2245898968.4953279"/>
    <n v="0.25595221822649766"/>
    <n v="0.10081341239411283"/>
    <n v="0.13172270421541557"/>
    <n v="2.3416101616969252E-2"/>
    <n v="1444061195.7131023"/>
    <n v="1.5056012836852803E-2"/>
  </r>
  <r>
    <n v="90"/>
    <s v="IRN"/>
    <x v="191"/>
    <x v="5"/>
    <x v="0"/>
    <n v="0"/>
    <n v="0"/>
    <x v="0"/>
    <n v="2015"/>
    <n v="0"/>
    <s v="na"/>
    <n v="222434137055.83755"/>
    <n v="11"/>
    <x v="104"/>
    <n v="28"/>
    <x v="96"/>
    <n v="39"/>
    <n v="25130000000"/>
    <n v="6.1861008306228787E-2"/>
    <n v="5.1116254683271897E-2"/>
    <n v="0.11297726298950068"/>
    <n v="1.0248542040621764E-2"/>
    <n v="1.4299368664637675E-2"/>
    <n v="1.1727481881437164E-2"/>
    <n v="1478235294.1176472"/>
    <n v="6.6457213523235708E-3"/>
    <n v="0"/>
    <s v="na"/>
    <s v="na"/>
    <s v="na"/>
    <s v="na"/>
    <s v="na"/>
    <s v="na"/>
    <n v="0"/>
    <s v="na"/>
    <s v="na"/>
    <s v="na"/>
    <x v="181"/>
    <x v="180"/>
    <x v="181"/>
    <n v="33280164000"/>
    <n v="51027496000"/>
    <n v="91224183000"/>
    <n v="40196687000"/>
    <n v="142251679000"/>
    <n v="0.18566043295559712"/>
    <n v="0.26096563671060774"/>
    <n v="2.0422681268341208E-2"/>
    <n v="4.4092013705762108E-2"/>
    <n v="0.233952697317548"/>
    <n v="0.14961805971196632"/>
    <n v="20"/>
    <n v="8213165570.2614946"/>
    <n v="19"/>
    <n v="8213165570.2614946"/>
    <n v="1"/>
    <n v="0"/>
    <n v="0"/>
    <n v="0"/>
    <n v="3.6924033689126355E-2"/>
    <n v="3.6924033689126355E-2"/>
    <n v="0"/>
    <n v="0"/>
    <n v="483127386.48597026"/>
    <n v="2.172001981713315E-3"/>
  </r>
  <r>
    <n v="89"/>
    <s v="IRQ"/>
    <x v="192"/>
    <x v="5"/>
    <x v="2"/>
    <n v="0"/>
    <n v="0"/>
    <x v="0"/>
    <n v="2018"/>
    <n v="0"/>
    <s v="na"/>
    <n v="258245497664.39365"/>
    <n v="17"/>
    <x v="105"/>
    <n v="17"/>
    <x v="97"/>
    <n v="34"/>
    <n v="26560000000"/>
    <n v="5.6845134311218806E-2"/>
    <n v="4.6002738121068081E-2"/>
    <n v="0.10284787243228689"/>
    <n v="1.0933764328221476E-2"/>
    <n v="1.4940765148275775E-2"/>
    <n v="1.2394823667766458E-2"/>
    <n v="1562352941.1764705"/>
    <n v="6.0498748489580525E-3"/>
    <n v="1"/>
    <n v="0"/>
    <n v="0"/>
    <n v="0"/>
    <n v="0"/>
    <n v="0"/>
    <n v="0"/>
    <n v="0"/>
    <n v="0"/>
    <n v="0"/>
    <n v="0"/>
    <x v="182"/>
    <x v="181"/>
    <x v="182"/>
    <n v="23010285000"/>
    <n v="35276061000"/>
    <n v="30798216000"/>
    <n v="-4477845000"/>
    <n v="66074277000"/>
    <n v="0.27238659100855961"/>
    <n v="0.43514075620483994"/>
    <n v="1.4118500939288924E-2"/>
    <n v="1.4885914209667646E-2"/>
    <n v="0.34824875949834455"/>
    <n v="8.9102366577958003E-2"/>
    <n v="77"/>
    <n v="89177687080.527771"/>
    <n v="10"/>
    <n v="6566530.3152619414"/>
    <n v="41"/>
    <n v="28422188032.474449"/>
    <n v="26"/>
    <n v="60748932517.738075"/>
    <n v="0.34532136237441713"/>
    <n v="2.5427472597394757E-5"/>
    <n v="0.1100587940139459"/>
    <n v="0.2352371408878739"/>
    <n v="5245746298.8545752"/>
    <n v="2.0313021316142186E-2"/>
  </r>
  <r>
    <n v="152"/>
    <s v="PER"/>
    <x v="193"/>
    <x v="1"/>
    <x v="0"/>
    <n v="3"/>
    <n v="1"/>
    <x v="0"/>
    <n v="2019"/>
    <n v="0"/>
    <s v="na"/>
    <n v="228470919605.66925"/>
    <n v="8"/>
    <x v="106"/>
    <n v="15"/>
    <x v="98"/>
    <n v="23"/>
    <n v="27270000000"/>
    <n v="2.534239372780258E-2"/>
    <n v="9.4016341497961911E-2"/>
    <n v="0.11935873522576448"/>
    <n v="4.3124315708720946E-3"/>
    <n v="2.7014110722640039E-2"/>
    <n v="1.2726161198041841E-2"/>
    <n v="1604117647.0588236"/>
    <n v="7.0211020721037938E-3"/>
    <n v="3"/>
    <n v="0"/>
    <n v="0"/>
    <n v="0"/>
    <n v="0"/>
    <n v="0"/>
    <n v="0"/>
    <n v="0"/>
    <n v="0"/>
    <n v="0"/>
    <n v="0"/>
    <x v="183"/>
    <x v="182"/>
    <x v="183"/>
    <n v="23414391000"/>
    <n v="42364042000"/>
    <n v="45135222000"/>
    <n v="2771180000"/>
    <n v="87499264000"/>
    <n v="0.24207331302334181"/>
    <n v="0.29155028859722903"/>
    <n v="1.6955316149642543E-2"/>
    <n v="2.1815518227624082E-2"/>
    <n v="0.26759529085867512"/>
    <n v="0.10248302515003752"/>
    <n v="97"/>
    <n v="11259526051.707972"/>
    <n v="69"/>
    <n v="184206605.39112389"/>
    <n v="25"/>
    <n v="10913683461.076916"/>
    <n v="3"/>
    <n v="161635985.2399314"/>
    <n v="4.9282097131404808E-2"/>
    <n v="8.0625843196611795E-4"/>
    <n v="4.7768370171194882E-2"/>
    <n v="7.0746852824380454E-4"/>
    <n v="662325061.86517477"/>
    <n v="2.898946890082636E-3"/>
  </r>
  <r>
    <n v="93"/>
    <s v="ITA"/>
    <x v="194"/>
    <x v="0"/>
    <x v="1"/>
    <n v="3"/>
    <n v="0"/>
    <x v="0"/>
    <n v="2019"/>
    <n v="0"/>
    <s v="na"/>
    <n v="2004913357799.9968"/>
    <n v="7"/>
    <x v="107"/>
    <n v="25"/>
    <x v="99"/>
    <n v="32"/>
    <n v="27330000000"/>
    <n v="1.7706500813059751E-3"/>
    <n v="1.1860861671396081E-2"/>
    <n v="1.3631511752702056E-2"/>
    <n v="2.6440642619336677E-3"/>
    <n v="2.9906683099831476E-2"/>
    <n v="1.2754161552713E-2"/>
    <n v="1607647058.8235295"/>
    <n v="8.0185363251188569E-4"/>
    <n v="2"/>
    <n v="0"/>
    <n v="0"/>
    <n v="0"/>
    <n v="0"/>
    <n v="0"/>
    <n v="0"/>
    <n v="0"/>
    <n v="0"/>
    <n v="0"/>
    <n v="0"/>
    <x v="184"/>
    <x v="183"/>
    <x v="184"/>
    <n v="49968855000"/>
    <n v="474957328000"/>
    <n v="537748429000"/>
    <n v="62791101000"/>
    <n v="1012705757000"/>
    <n v="7.4637098766902277E-2"/>
    <n v="2.7000391292635463E-2"/>
    <n v="0.19009167382634237"/>
    <n v="0.25991365800141003"/>
    <n v="4.9341928447238004E-2"/>
    <n v="2.4923199202399011E-2"/>
    <s v="na"/>
    <s v="na"/>
    <s v="na"/>
    <s v="na"/>
    <s v="na"/>
    <s v="na"/>
    <s v="na"/>
    <s v="na"/>
    <n v="0"/>
    <n v="0"/>
    <n v="0"/>
    <n v="0"/>
    <n v="0"/>
    <n v="0"/>
  </r>
  <r>
    <n v="15"/>
    <s v="BGD"/>
    <x v="195"/>
    <x v="6"/>
    <x v="2"/>
    <n v="1"/>
    <n v="1"/>
    <x v="0"/>
    <n v="2019"/>
    <n v="0"/>
    <s v="na"/>
    <n v="302563398919.92755"/>
    <n v="15"/>
    <x v="108"/>
    <n v="46"/>
    <x v="100"/>
    <n v="61"/>
    <n v="28850000000"/>
    <n v="1.1865281831230624E-2"/>
    <n v="8.3486634834787063E-2"/>
    <n v="9.5351916666017694E-2"/>
    <n v="2.6738565353075679E-3"/>
    <n v="3.1767990542545969E-2"/>
    <n v="1.3463503871049033E-2"/>
    <n v="1697058823.5294118"/>
    <n v="5.6089362744716296E-3"/>
    <n v="1"/>
    <n v="14"/>
    <n v="2639000000"/>
    <n v="5"/>
    <n v="1634400000"/>
    <n v="0"/>
    <n v="0"/>
    <n v="19"/>
    <n v="4273400000"/>
    <n v="1.4123981999326171E-2"/>
    <n v="0.10720961720491828"/>
    <x v="185"/>
    <x v="184"/>
    <x v="185"/>
    <n v="18371560000"/>
    <n v="58004860000"/>
    <n v="47632799000"/>
    <n v="-10372061000"/>
    <n v="105637659000"/>
    <n v="0.29885640617010367"/>
    <n v="2.1758872494559895E-2"/>
    <n v="2.321522435266575E-2"/>
    <n v="2.3022689349290325E-2"/>
    <n v="0.17391108600768973"/>
    <n v="6.0719703921828218E-2"/>
    <n v="120"/>
    <n v="13120697227.954836"/>
    <n v="79"/>
    <n v="4313536700.984539"/>
    <n v="35"/>
    <n v="8051891621.6969776"/>
    <n v="6"/>
    <n v="755268905.27331805"/>
    <n v="4.3365117111958368E-2"/>
    <n v="1.4256637505999536E-2"/>
    <n v="2.6612246062941294E-2"/>
    <n v="2.4962335430175333E-3"/>
    <n v="771805719.29146099"/>
    <n v="2.5508892418799043E-3"/>
  </r>
  <r>
    <n v="211"/>
    <s v="VNM"/>
    <x v="196"/>
    <x v="4"/>
    <x v="2"/>
    <n v="4"/>
    <n v="1"/>
    <x v="0"/>
    <n v="2017"/>
    <n v="0"/>
    <s v="na"/>
    <n v="261921244843.1723"/>
    <n v="28"/>
    <x v="109"/>
    <n v="30"/>
    <x v="101"/>
    <n v="58"/>
    <n v="28910000000"/>
    <n v="5.9636246801410157E-2"/>
    <n v="5.0740443021174197E-2"/>
    <n v="0.11037668982258435"/>
    <n v="1.1633882752508137E-2"/>
    <n v="1.6714037779510527E-2"/>
    <n v="1.3491504225720192E-2"/>
    <n v="1700588235.2941177"/>
    <n v="6.4927464601520204E-3"/>
    <n v="1"/>
    <n v="1"/>
    <n v="100000000"/>
    <n v="1"/>
    <n v="47500000"/>
    <n v="0"/>
    <n v="0"/>
    <n v="2"/>
    <n v="147500000"/>
    <n v="5.6314637664583848E-4"/>
    <n v="3.7004302283253259E-3"/>
    <x v="186"/>
    <x v="185"/>
    <x v="186"/>
    <n v="117020376000"/>
    <n v="253442016000"/>
    <n v="264610323000"/>
    <n v="11168307000"/>
    <n v="518052339000"/>
    <n v="0.29823838680323628"/>
    <n v="0.15658587136829125"/>
    <n v="0.101434832561132"/>
    <n v="0.12789593290632309"/>
    <n v="0.22588523820949297"/>
    <n v="0.44677695415683827"/>
    <n v="111"/>
    <n v="20984102031.97514"/>
    <n v="54"/>
    <n v="1423612922.7701159"/>
    <n v="44"/>
    <n v="16354113571.873787"/>
    <n v="13"/>
    <n v="3206375537.3312359"/>
    <n v="8.0116074755751707E-2"/>
    <n v="5.4352709098588661E-3"/>
    <n v="6.2439049500035627E-2"/>
    <n v="1.2241754345857213E-2"/>
    <n v="1234358943.0573611"/>
    <n v="4.7127102797501009E-3"/>
  </r>
  <r>
    <n v="105"/>
    <s v="LAO"/>
    <x v="197"/>
    <x v="4"/>
    <x v="2"/>
    <n v="4"/>
    <n v="1"/>
    <x v="0"/>
    <n v="2018"/>
    <n v="0"/>
    <s v="na"/>
    <n v="18245925331.239628"/>
    <n v="17"/>
    <x v="110"/>
    <n v="36"/>
    <x v="102"/>
    <n v="53"/>
    <n v="29810000000"/>
    <n v="0.42201203064316511"/>
    <n v="1.211777402275374"/>
    <n v="1.6337894329185392"/>
    <n v="5.735012624475842E-3"/>
    <n v="2.7806424025957694E-2"/>
    <n v="1.3911509545787581E-2"/>
    <n v="1753529411.7647059"/>
    <n v="9.6105260759914074E-2"/>
    <n v="1"/>
    <n v="2"/>
    <n v="70000000"/>
    <n v="0"/>
    <n v="0"/>
    <n v="0"/>
    <n v="0"/>
    <n v="2"/>
    <n v="70000000"/>
    <n v="3.8364730058469553E-3"/>
    <n v="1.7561363795442224E-3"/>
    <x v="187"/>
    <x v="186"/>
    <x v="187"/>
    <n v="3353323"/>
    <n v="5797445000"/>
    <n v="5809346000"/>
    <n v="11901000"/>
    <n v="11606791000"/>
    <n v="2.8996187113461186E-4"/>
    <n v="2.8786114650427089E-4"/>
    <n v="2.3203053390222872E-3"/>
    <n v="2.8078712796311286E-3"/>
    <n v="2.8891043183253666E-4"/>
    <n v="1.8378475956265329E-4"/>
    <n v="240"/>
    <n v="15505734362.315592"/>
    <n v="148"/>
    <n v="2178454652.0293546"/>
    <n v="63"/>
    <n v="12583814821.697277"/>
    <n v="29"/>
    <n v="743464888.58896065"/>
    <n v="0.84981901881224742"/>
    <n v="0.11939403524246202"/>
    <n v="0.68967808391454888"/>
    <n v="4.0746899655236597E-2"/>
    <n v="912102021.31268191"/>
    <n v="4.9989354047779266E-2"/>
  </r>
  <r>
    <n v="67"/>
    <s v="FRA"/>
    <x v="198"/>
    <x v="0"/>
    <x v="1"/>
    <n v="3"/>
    <n v="0"/>
    <x v="1"/>
    <s v="na"/>
    <n v="0"/>
    <s v="na"/>
    <n v="2728870246705.8779"/>
    <n v="44"/>
    <x v="111"/>
    <n v="0"/>
    <x v="0"/>
    <n v="44"/>
    <n v="33980000000"/>
    <n v="1.2452039462491314E-2"/>
    <n v="0"/>
    <n v="1.2452039462491314E-2"/>
    <n v="2.5308536231128456E-2"/>
    <n v="0"/>
    <n v="1.5857534195433141E-2"/>
    <n v="1998823529.4117646"/>
    <n v="7.3247290955831253E-4"/>
    <n v="2"/>
    <n v="0"/>
    <n v="0"/>
    <n v="0"/>
    <n v="0"/>
    <n v="0"/>
    <n v="0"/>
    <n v="0"/>
    <n v="0"/>
    <n v="0"/>
    <n v="0"/>
    <x v="188"/>
    <x v="187"/>
    <x v="188"/>
    <n v="83051670000"/>
    <n v="643953084000"/>
    <n v="556550374000"/>
    <n v="-87402710000"/>
    <n v="1200503458000"/>
    <n v="9.2573515806005521E-2"/>
    <n v="4.211419144603791E-2"/>
    <n v="0.25772866821247414"/>
    <n v="0.26900133178890762"/>
    <n v="6.9180700352468288E-2"/>
    <n v="3.0434451802996056E-2"/>
    <s v="na"/>
    <s v="na"/>
    <s v="na"/>
    <s v="na"/>
    <s v="na"/>
    <s v="na"/>
    <s v="na"/>
    <s v="na"/>
    <n v="0"/>
    <n v="0"/>
    <n v="0"/>
    <n v="0"/>
    <n v="0"/>
    <n v="0"/>
  </r>
  <r>
    <n v="87"/>
    <s v="IND"/>
    <x v="199"/>
    <x v="6"/>
    <x v="2"/>
    <n v="3"/>
    <n v="1"/>
    <x v="1"/>
    <s v="na"/>
    <n v="0"/>
    <s v="na"/>
    <n v="2870504096717.4771"/>
    <n v="71"/>
    <x v="112"/>
    <n v="0"/>
    <x v="0"/>
    <n v="71"/>
    <n v="34560000000"/>
    <n v="1.203969715267802E-2"/>
    <n v="0"/>
    <n v="1.203969715267802E-2"/>
    <n v="2.5740524195050015E-2"/>
    <n v="0"/>
    <n v="1.6128204290587679E-2"/>
    <n v="2032941176.4705882"/>
    <n v="7.0821747956929533E-4"/>
    <n v="1"/>
    <n v="27"/>
    <n v="6674670000"/>
    <n v="16"/>
    <n v="5207850000"/>
    <n v="1"/>
    <n v="35000000"/>
    <n v="44"/>
    <n v="11882520000"/>
    <n v="4.1395237908171184E-3"/>
    <n v="0.29810465218088306"/>
    <x v="189"/>
    <x v="188"/>
    <x v="189"/>
    <n v="85680926000"/>
    <n v="478883729000"/>
    <n v="323250726000"/>
    <n v="-155633003000"/>
    <n v="802134455000"/>
    <n v="0.14283653600600826"/>
    <n v="5.3453346304317348E-2"/>
    <n v="0.19166313318532593"/>
    <n v="0.15623900343606861"/>
    <n v="0.10681616462915809"/>
    <n v="2.9848738449103476E-2"/>
    <n v="55"/>
    <n v="39265828068.341133"/>
    <n v="7"/>
    <n v="1318426.1142835901"/>
    <n v="40"/>
    <n v="37901803538.01329"/>
    <n v="8"/>
    <n v="1362706104.213562"/>
    <n v="1.3679070555322668E-2"/>
    <n v="4.5930124809480572E-7"/>
    <n v="1.3203884147511004E-2"/>
    <n v="4.7472710656357002E-4"/>
    <n v="2309754592.2553606"/>
    <n v="8.0465120913662748E-4"/>
  </r>
  <r>
    <n v="97"/>
    <s v="KAZ"/>
    <x v="200"/>
    <x v="0"/>
    <x v="0"/>
    <n v="3"/>
    <n v="0"/>
    <x v="0"/>
    <n v="2015"/>
    <n v="0"/>
    <s v="na"/>
    <n v="181667190075.54071"/>
    <n v="19"/>
    <x v="113"/>
    <n v="27"/>
    <x v="103"/>
    <n v="46"/>
    <n v="34680000000"/>
    <n v="0.12214643706864718"/>
    <n v="6.8752095492897847E-2"/>
    <n v="0.19089853256154504"/>
    <n v="1.652726365417129E-2"/>
    <n v="1.5707925648313505E-2"/>
    <n v="1.6184204999930001E-2"/>
    <n v="2040000000"/>
    <n v="1.1229325444796767E-2"/>
    <n v="1"/>
    <n v="2"/>
    <n v="796700000"/>
    <n v="0"/>
    <n v="0"/>
    <n v="0"/>
    <n v="0"/>
    <n v="2"/>
    <n v="796700000"/>
    <n v="4.3854919518968548E-3"/>
    <n v="1.9987340765469742E-2"/>
    <x v="190"/>
    <x v="189"/>
    <x v="190"/>
    <n v="14361212000"/>
    <n v="38356664000"/>
    <n v="57722942000"/>
    <n v="19366278000"/>
    <n v="96079606000"/>
    <n v="0.17044772193953051"/>
    <n v="0.13553373630886659"/>
    <n v="1.535144745077943E-2"/>
    <n v="2.7899627775245857E-2"/>
    <n v="0.14947201178156372"/>
    <n v="7.905231535770621E-2"/>
    <n v="124"/>
    <n v="83520871989.101364"/>
    <n v="52"/>
    <n v="27212651292.361855"/>
    <n v="59"/>
    <n v="50505760818.666328"/>
    <n v="13"/>
    <n v="5802459878.0731754"/>
    <n v="0.45974659460726935"/>
    <n v="0.14979397920475521"/>
    <n v="0.27801256130875951"/>
    <n v="3.1940054093754632E-2"/>
    <n v="4912992469.9471388"/>
    <n v="2.7043917329839372E-2"/>
  </r>
  <r>
    <n v="203"/>
    <s v="ARE"/>
    <x v="201"/>
    <x v="5"/>
    <x v="1"/>
    <n v="2"/>
    <n v="0"/>
    <x v="0"/>
    <n v="2018"/>
    <n v="0"/>
    <s v="na"/>
    <n v="421142267937.37238"/>
    <n v="15"/>
    <x v="114"/>
    <n v="58"/>
    <x v="104"/>
    <n v="73"/>
    <n v="36160000000"/>
    <n v="1.8117393054298339E-2"/>
    <n v="6.7744328157160097E-2"/>
    <n v="8.5861721211458436E-2"/>
    <n v="5.6828761460715168E-3"/>
    <n v="3.5880473878813796E-2"/>
    <n v="1.6874880415151925E-2"/>
    <n v="2127058823.5294118"/>
    <n v="5.0506894830269671E-3"/>
    <n v="1"/>
    <n v="0"/>
    <n v="0"/>
    <n v="0"/>
    <n v="0"/>
    <n v="0"/>
    <n v="0"/>
    <n v="0"/>
    <n v="0"/>
    <n v="0"/>
    <n v="0"/>
    <x v="191"/>
    <x v="190"/>
    <x v="191"/>
    <n v="50145608"/>
    <n v="267937296000"/>
    <n v="315942728000"/>
    <n v="48005432000"/>
    <n v="583880024000"/>
    <n v="1.5219099247758326E-4"/>
    <n v="2.9650832792707925E-5"/>
    <n v="0.10723626329046587"/>
    <n v="0.15270677834639385"/>
    <n v="8.5883410870038598E-5"/>
    <n v="1.1907047052198784E-4"/>
    <s v="na"/>
    <s v="na"/>
    <s v="na"/>
    <s v="na"/>
    <s v="na"/>
    <s v="na"/>
    <s v="na"/>
    <s v="na"/>
    <n v="0"/>
    <n v="0"/>
    <n v="0"/>
    <n v="0"/>
    <n v="0"/>
    <n v="0"/>
  </r>
  <r>
    <n v="140"/>
    <s v="NGA"/>
    <x v="202"/>
    <x v="3"/>
    <x v="2"/>
    <n v="2"/>
    <n v="0"/>
    <x v="0"/>
    <n v="2018"/>
    <n v="0"/>
    <s v="na"/>
    <n v="448120428858.76923"/>
    <n v="19"/>
    <x v="115"/>
    <n v="33"/>
    <x v="105"/>
    <n v="52"/>
    <n v="40150000000"/>
    <n v="3.0505192621575999E-2"/>
    <n v="5.9091258275006033E-2"/>
    <n v="8.9596450896582039E-2"/>
    <n v="1.0181509425530489E-2"/>
    <n v="3.3302311542621428E-2"/>
    <n v="1.873690400078401E-2"/>
    <n v="2361764705.8823528"/>
    <n v="5.2703794645048256E-3"/>
    <n v="0"/>
    <s v="na"/>
    <s v="na"/>
    <s v="na"/>
    <s v="na"/>
    <s v="na"/>
    <s v="na"/>
    <n v="0"/>
    <s v="na"/>
    <s v="na"/>
    <s v="na"/>
    <x v="192"/>
    <x v="191"/>
    <x v="192"/>
    <n v="13729901000"/>
    <n v="47387304000"/>
    <n v="53624701000"/>
    <n v="6237397000"/>
    <n v="101012005000"/>
    <n v="0.25459684307003411"/>
    <n v="3.1053655665138347E-2"/>
    <n v="1.8965771037598833E-2"/>
    <n v="2.5918796679816742E-2"/>
    <n v="0.13592345781078199"/>
    <n v="3.0638864277993338E-2"/>
    <n v="104"/>
    <n v="61819759640.81562"/>
    <n v="52"/>
    <n v="5425238555.5450525"/>
    <n v="39"/>
    <n v="43009874223.82708"/>
    <n v="13"/>
    <n v="13384646861.443499"/>
    <n v="0.13795345103603587"/>
    <n v="1.2106653047176487E-2"/>
    <n v="9.5978383162223971E-2"/>
    <n v="2.986841482663545E-2"/>
    <n v="3636456449.4597425"/>
    <n v="8.1149088844726987E-3"/>
  </r>
  <r>
    <n v="167"/>
    <s v="SAU"/>
    <x v="203"/>
    <x v="5"/>
    <x v="1"/>
    <n v="0"/>
    <n v="0"/>
    <x v="0"/>
    <n v="2018"/>
    <n v="0"/>
    <s v="na"/>
    <n v="792966838160"/>
    <n v="29"/>
    <x v="116"/>
    <n v="48"/>
    <x v="106"/>
    <n v="77"/>
    <n v="42800000000"/>
    <n v="2.0997094958768583E-2"/>
    <n v="3.2977419409717629E-2"/>
    <n v="5.3974514368486208E-2"/>
    <n v="1.2401033791886075E-2"/>
    <n v="3.2887290288502652E-2"/>
    <n v="1.9973586332093538E-2"/>
    <n v="2517647058.8235292"/>
    <n v="3.1749714334403652E-3"/>
    <n v="1"/>
    <n v="0"/>
    <n v="0"/>
    <n v="0"/>
    <n v="0"/>
    <n v="0"/>
    <n v="0"/>
    <n v="0"/>
    <n v="0"/>
    <n v="0"/>
    <n v="0"/>
    <x v="193"/>
    <x v="192"/>
    <x v="193"/>
    <n v="36406498000"/>
    <n v="144334893000"/>
    <n v="251800458000"/>
    <n v="107465565000"/>
    <n v="396135351000"/>
    <n v="0.18752651862221562"/>
    <n v="3.7092378918548274E-2"/>
    <n v="5.7767003022039971E-2"/>
    <n v="0.12170445248331986"/>
    <n v="9.1904188576191981E-2"/>
    <n v="4.5911753490823937E-2"/>
    <s v="na"/>
    <s v="na"/>
    <s v="na"/>
    <s v="na"/>
    <s v="na"/>
    <s v="na"/>
    <s v="na"/>
    <s v="na"/>
    <n v="0"/>
    <n v="0"/>
    <n v="0"/>
    <n v="0"/>
    <n v="0"/>
    <n v="0"/>
  </r>
  <r>
    <n v="117"/>
    <s v="MYS"/>
    <x v="204"/>
    <x v="4"/>
    <x v="0"/>
    <n v="3"/>
    <n v="1"/>
    <x v="0"/>
    <n v="2017"/>
    <n v="0"/>
    <s v="na"/>
    <n v="364681367531.68378"/>
    <n v="30"/>
    <x v="117"/>
    <n v="61"/>
    <x v="107"/>
    <n v="91"/>
    <n v="43820000000"/>
    <n v="3.6223402608723372E-2"/>
    <n v="8.3936287195535378E-2"/>
    <n v="0.12015968980425874"/>
    <n v="9.8388982817306323E-3"/>
    <n v="3.849636541992605E-2"/>
    <n v="2.0449592361503247E-2"/>
    <n v="2577647058.8235292"/>
    <n v="7.0682170473093378E-3"/>
    <n v="1"/>
    <n v="0"/>
    <n v="0"/>
    <n v="0"/>
    <n v="0"/>
    <n v="0"/>
    <n v="0"/>
    <n v="0"/>
    <n v="0"/>
    <n v="0"/>
    <n v="0"/>
    <x v="194"/>
    <x v="193"/>
    <x v="194"/>
    <n v="76101919000"/>
    <n v="204988314000"/>
    <n v="238161125000"/>
    <n v="33172811000"/>
    <n v="443149439000"/>
    <n v="0.20681671151263775"/>
    <n v="0.14152985715028008"/>
    <n v="8.204225816913778E-2"/>
    <n v="0.1151120595695521"/>
    <n v="0.17172969725907744"/>
    <n v="0.2086805792001101"/>
    <n v="39"/>
    <n v="26661440552.418114"/>
    <n v="12"/>
    <n v="3803445.9413302299"/>
    <n v="22"/>
    <n v="26032408950.268303"/>
    <n v="5"/>
    <n v="625228156.20847774"/>
    <n v="7.3108864137682458E-2"/>
    <n v="1.0429504438555621E-5"/>
    <n v="7.1383984124186409E-2"/>
    <n v="1.7144505090574925E-3"/>
    <n v="1568320032.4951832"/>
    <n v="4.3005214198636741E-3"/>
  </r>
  <r>
    <n v="72"/>
    <s v="DEU"/>
    <x v="205"/>
    <x v="0"/>
    <x v="1"/>
    <n v="2"/>
    <n v="0"/>
    <x v="1"/>
    <s v="na"/>
    <n v="0"/>
    <s v="na"/>
    <n v="3888326788627.4448"/>
    <n v="72"/>
    <x v="118"/>
    <n v="0"/>
    <x v="0"/>
    <n v="72"/>
    <n v="48190000000"/>
    <n v="1.2393505643853244E-2"/>
    <n v="0"/>
    <n v="1.2393505643853244E-2"/>
    <n v="3.5892241347206602E-2"/>
    <n v="0"/>
    <n v="2.2488951526719338E-2"/>
    <n v="2834705882.352941"/>
    <n v="7.2902974375607318E-4"/>
    <n v="2"/>
    <n v="0"/>
    <n v="0"/>
    <n v="0"/>
    <n v="0"/>
    <n v="0"/>
    <n v="0"/>
    <n v="0"/>
    <n v="0"/>
    <n v="0"/>
    <n v="0"/>
    <x v="195"/>
    <x v="194"/>
    <x v="195"/>
    <n v="230616960000"/>
    <n v="1236217435000"/>
    <n v="1486877250000"/>
    <n v="250659815000"/>
    <n v="2723094685000"/>
    <n v="9.9630959338475919E-2"/>
    <n v="7.2266510903976774E-2"/>
    <n v="0.49477000896480033"/>
    <n v="0.71866263889462145"/>
    <n v="8.4689291661556754E-2"/>
    <n v="5.9310076682471013E-2"/>
    <s v="na"/>
    <s v="na"/>
    <s v="na"/>
    <s v="na"/>
    <s v="na"/>
    <s v="na"/>
    <s v="na"/>
    <s v="na"/>
    <n v="0"/>
    <n v="0"/>
    <n v="0"/>
    <n v="0"/>
    <n v="0"/>
    <n v="0"/>
  </r>
  <r>
    <n v="172"/>
    <s v="SGP"/>
    <x v="206"/>
    <x v="4"/>
    <x v="1"/>
    <n v="0"/>
    <n v="0"/>
    <x v="0"/>
    <n v="2018"/>
    <n v="0"/>
    <s v="na"/>
    <n v="374386306993.1095"/>
    <n v="20"/>
    <x v="119"/>
    <n v="84"/>
    <x v="108"/>
    <n v="104"/>
    <n v="50700000000"/>
    <n v="3.1972323176393057E-2"/>
    <n v="0.10344929629253993"/>
    <n v="0.135421619468933"/>
    <n v="8.9153378071397185E-3"/>
    <n v="4.8708403551575824E-2"/>
    <n v="2.3660299697129496E-2"/>
    <n v="2982352941.1764708"/>
    <n v="7.9659776158195889E-3"/>
    <n v="1"/>
    <n v="2"/>
    <n v="134000000"/>
    <n v="0"/>
    <n v="0"/>
    <n v="0"/>
    <n v="0"/>
    <n v="2"/>
    <n v="134000000"/>
    <n v="3.5791907315260398E-4"/>
    <n v="3.36174678369894E-3"/>
    <x v="196"/>
    <x v="195"/>
    <x v="196"/>
    <n v="100663805000"/>
    <n v="359008256000"/>
    <n v="390386234000"/>
    <n v="31377978000"/>
    <n v="749394490000"/>
    <n v="0.13659136295740229"/>
    <n v="0.13224436085008059"/>
    <n v="0.14368549820651683"/>
    <n v="0.18868807167139937"/>
    <n v="0.13432685500529901"/>
    <n v="0.26887683422100345"/>
    <s v="na"/>
    <s v="na"/>
    <s v="na"/>
    <s v="na"/>
    <s v="na"/>
    <s v="na"/>
    <s v="na"/>
    <s v="na"/>
    <n v="0"/>
    <n v="0"/>
    <n v="0"/>
    <n v="0"/>
    <n v="0"/>
    <n v="0"/>
  </r>
  <r>
    <n v="88"/>
    <s v="IDN"/>
    <x v="207"/>
    <x v="4"/>
    <x v="2"/>
    <n v="0"/>
    <n v="1"/>
    <x v="0"/>
    <n v="2015"/>
    <n v="0"/>
    <s v="na"/>
    <n v="1119091259074.6206"/>
    <n v="42"/>
    <x v="120"/>
    <n v="81"/>
    <x v="109"/>
    <n v="123"/>
    <n v="55070000000"/>
    <n v="1.3868395337868628E-2"/>
    <n v="3.5341174975045374E-2"/>
    <n v="4.9209570312914001E-2"/>
    <n v="1.1559402069073386E-2"/>
    <n v="4.9739668486052768E-2"/>
    <n v="2.5699658862345591E-2"/>
    <n v="3239411764.7058825"/>
    <n v="2.8946806066420003E-3"/>
    <n v="1"/>
    <n v="10"/>
    <n v="2899900000"/>
    <n v="1"/>
    <n v="250000000"/>
    <n v="0"/>
    <n v="0"/>
    <n v="11"/>
    <n v="3149900000"/>
    <n v="2.8146944893526022E-3"/>
    <n v="7.9023628313233521E-2"/>
    <x v="197"/>
    <x v="196"/>
    <x v="197"/>
    <n v="72892508000"/>
    <n v="171275737000"/>
    <n v="167682996000"/>
    <n v="-3592741000"/>
    <n v="338958733000"/>
    <n v="0.26232916457980271"/>
    <n v="0.16675445732136132"/>
    <n v="6.854950879328342E-2"/>
    <n v="8.1047379266254993E-2"/>
    <n v="0.21504832566151938"/>
    <n v="6.5135445754687604E-2"/>
    <n v="257"/>
    <n v="99427299972.997116"/>
    <n v="94"/>
    <n v="6537878994.209197"/>
    <n v="147"/>
    <n v="42066840342.080299"/>
    <n v="16"/>
    <n v="50822580636.707619"/>
    <n v="8.8846462848091404E-2"/>
    <n v="5.842132123894333E-3"/>
    <n v="3.7590178639108913E-2"/>
    <n v="4.5414152085088165E-2"/>
    <n v="5848664704.2939482"/>
    <n v="5.226262520475965E-3"/>
  </r>
  <r>
    <n v="35"/>
    <s v="CAN"/>
    <x v="208"/>
    <x v="2"/>
    <x v="1"/>
    <n v="2"/>
    <n v="0"/>
    <x v="1"/>
    <s v="na"/>
    <n v="0"/>
    <s v="na"/>
    <n v="1741576393905.9792"/>
    <n v="71"/>
    <x v="121"/>
    <n v="0"/>
    <x v="0"/>
    <n v="71"/>
    <n v="57130000000"/>
    <n v="3.2803614127927955E-2"/>
    <n v="0"/>
    <n v="3.2803614127927955E-2"/>
    <n v="4.2550814446273358E-2"/>
    <n v="0"/>
    <n v="2.6661004372722053E-2"/>
    <n v="3360588235.2941175"/>
    <n v="1.9296243604663501E-3"/>
    <n v="2"/>
    <n v="0"/>
    <n v="0"/>
    <n v="0"/>
    <n v="0"/>
    <n v="0"/>
    <n v="0"/>
    <n v="0"/>
    <n v="0"/>
    <n v="0"/>
    <n v="0"/>
    <x v="198"/>
    <x v="197"/>
    <x v="198"/>
    <n v="74037468000"/>
    <n v="453157225000"/>
    <n v="446562311000"/>
    <n v="-6594914000"/>
    <n v="899719536000"/>
    <n v="0.12471691033945227"/>
    <n v="3.923550771842902E-2"/>
    <n v="0.18136664144015577"/>
    <n v="0.21584004251470026"/>
    <n v="8.2289496934964859E-2"/>
    <n v="4.2511754442163728E-2"/>
    <s v="na"/>
    <s v="na"/>
    <s v="na"/>
    <s v="na"/>
    <s v="na"/>
    <s v="na"/>
    <s v="na"/>
    <s v="na"/>
    <n v="0"/>
    <n v="0"/>
    <n v="0"/>
    <n v="0"/>
    <n v="0"/>
    <n v="0"/>
  </r>
  <r>
    <n v="159"/>
    <s v="RUS"/>
    <x v="209"/>
    <x v="0"/>
    <x v="0"/>
    <n v="4"/>
    <n v="0"/>
    <x v="0"/>
    <s v="na"/>
    <n v="0"/>
    <s v="na"/>
    <n v="1687448525466.6135"/>
    <n v="32"/>
    <x v="122"/>
    <n v="51"/>
    <x v="110"/>
    <n v="83"/>
    <n v="58100000000"/>
    <n v="1.239148909399649E-2"/>
    <n v="2.2039190789370132E-2"/>
    <n v="3.4430679883366622E-2"/>
    <n v="1.5573910906206476E-2"/>
    <n v="4.6771637699021554E-2"/>
    <n v="2.7113676773239129E-2"/>
    <n v="3417647058.8235292"/>
    <n v="2.0253341107862718E-3"/>
    <n v="1"/>
    <n v="2"/>
    <n v="800000000"/>
    <n v="1"/>
    <n v="300000000"/>
    <n v="0"/>
    <n v="0"/>
    <n v="3"/>
    <n v="1100000000"/>
    <n v="6.5187173617389479E-4"/>
    <n v="2.7596428821409211E-2"/>
    <x v="199"/>
    <x v="198"/>
    <x v="199"/>
    <n v="110918575000"/>
    <n v="243780553000"/>
    <n v="422777167000"/>
    <n v="178996614000"/>
    <n v="666557720000"/>
    <n v="0.22203164827507796"/>
    <n v="0.13432981114611614"/>
    <n v="9.7568035345864529E-2"/>
    <n v="0.20434380477649519"/>
    <n v="0.16640505641431924"/>
    <n v="6.5731530962894871E-2"/>
    <n v="146"/>
    <n v="182518866954.12195"/>
    <n v="0"/>
    <n v="0"/>
    <n v="146"/>
    <n v="182518866954.12195"/>
    <n v="0"/>
    <n v="0"/>
    <n v="0.10816262789625053"/>
    <n v="0"/>
    <n v="0.10816262789625053"/>
    <n v="0"/>
    <n v="10736403938.477762"/>
    <n v="6.3625075233088545E-3"/>
  </r>
  <r>
    <n v="186"/>
    <s v="CHE"/>
    <x v="210"/>
    <x v="0"/>
    <x v="1"/>
    <n v="0"/>
    <n v="1"/>
    <x v="1"/>
    <s v="na"/>
    <n v="0"/>
    <s v="na"/>
    <n v="731767398052.87915"/>
    <n v="18"/>
    <x v="123"/>
    <n v="0"/>
    <x v="0"/>
    <n v="18"/>
    <n v="61210000000"/>
    <n v="8.3646798371819278E-2"/>
    <n v="0"/>
    <n v="8.3646798371819278E-2"/>
    <n v="4.5589626330411206E-2"/>
    <n v="0"/>
    <n v="2.856502849036088E-2"/>
    <n v="3600588235.2941175"/>
    <n v="4.9203999042246628E-3"/>
    <n v="2"/>
    <n v="0"/>
    <n v="0"/>
    <n v="0"/>
    <n v="0"/>
    <n v="0"/>
    <n v="0"/>
    <n v="0"/>
    <n v="0"/>
    <n v="0"/>
    <n v="0"/>
    <x v="200"/>
    <x v="199"/>
    <x v="200"/>
    <n v="36711339000"/>
    <n v="277207598000"/>
    <n v="314145207000"/>
    <n v="36937609000"/>
    <n v="591352805000"/>
    <n v="5.4660608545080355E-2"/>
    <n v="6.8627508934108933E-2"/>
    <n v="0.11094650654847847"/>
    <n v="0.1518379701207461"/>
    <n v="6.208026526567334E-2"/>
    <n v="5.016804396818339E-2"/>
    <s v="na"/>
    <s v="na"/>
    <s v="na"/>
    <s v="na"/>
    <s v="na"/>
    <s v="na"/>
    <s v="na"/>
    <s v="na"/>
    <n v="0"/>
    <n v="0"/>
    <n v="0"/>
    <n v="0"/>
    <n v="0"/>
    <n v="0"/>
  </r>
  <r>
    <n v="146"/>
    <s v="PAK"/>
    <x v="211"/>
    <x v="6"/>
    <x v="2"/>
    <n v="4"/>
    <n v="1"/>
    <x v="0"/>
    <n v="2013"/>
    <n v="0"/>
    <s v="na"/>
    <n v="278221906022.84106"/>
    <n v="29"/>
    <x v="124"/>
    <n v="70"/>
    <x v="111"/>
    <n v="99"/>
    <n v="64970000000"/>
    <n v="4.6653407654156417E-2"/>
    <n v="0.18686522834665578"/>
    <n v="0.23351863600081219"/>
    <n v="9.6675927098307055E-3"/>
    <n v="6.5384712126166464E-2"/>
    <n v="3.0319717383086853E-2"/>
    <n v="3821764705.8823528"/>
    <n v="1.3736390352988952E-2"/>
    <n v="1"/>
    <n v="7"/>
    <n v="1511810000"/>
    <n v="4"/>
    <n v="996000000"/>
    <n v="0"/>
    <n v="0"/>
    <n v="11"/>
    <n v="2507810000"/>
    <n v="9.0137043335261936E-3"/>
    <n v="6.2915091056925665E-2"/>
    <x v="201"/>
    <x v="200"/>
    <x v="201"/>
    <n v="14466890000"/>
    <n v="50134812000"/>
    <n v="23818817000"/>
    <n v="-26315995000"/>
    <n v="73953629000"/>
    <n v="0.24781177996638343"/>
    <n v="8.5768029537319171E-2"/>
    <n v="2.0065403286185314E-2"/>
    <n v="1.1512513141597985E-2"/>
    <n v="0.19562109656579529"/>
    <n v="5.1997666922791903E-2"/>
    <n v="280"/>
    <n v="46113985133.683899"/>
    <n v="169"/>
    <n v="6115792498.4730616"/>
    <n v="85"/>
    <n v="36075387988.240799"/>
    <n v="26"/>
    <n v="3922804646.9700336"/>
    <n v="0.16574534260396484"/>
    <n v="2.1981707285015063E-2"/>
    <n v="0.12966408182567454"/>
    <n v="1.4099553493275201E-2"/>
    <n v="2712587360.8049355"/>
    <n v="9.7497260355273434E-3"/>
  </r>
  <r>
    <n v="26"/>
    <s v="BRA"/>
    <x v="212"/>
    <x v="1"/>
    <x v="0"/>
    <n v="3"/>
    <n v="0"/>
    <x v="1"/>
    <s v="na"/>
    <n v="0"/>
    <s v="na"/>
    <n v="1877810514260.3599"/>
    <n v="83"/>
    <x v="125"/>
    <n v="0"/>
    <x v="0"/>
    <n v="83"/>
    <n v="70650000000"/>
    <n v="3.76236044390389E-2"/>
    <n v="0"/>
    <n v="3.76236044390389E-2"/>
    <n v="5.2620602846651723E-2"/>
    <n v="0"/>
    <n v="3.2970417625289919E-2"/>
    <n v="4155882352.9411764"/>
    <n v="2.213153202296406E-3"/>
    <n v="2"/>
    <n v="0"/>
    <n v="0"/>
    <n v="0"/>
    <n v="0"/>
    <n v="0"/>
    <n v="0"/>
    <n v="0"/>
    <n v="0"/>
    <n v="0"/>
    <n v="0"/>
    <x v="202"/>
    <x v="201"/>
    <x v="202"/>
    <n v="98142053000"/>
    <n v="177341225000"/>
    <n v="223998669000"/>
    <n v="46657444000"/>
    <n v="401339894000"/>
    <n v="0.198884387992696"/>
    <n v="0.2806786856398687"/>
    <n v="7.0977092701397362E-2"/>
    <n v="0.10826682200727923"/>
    <n v="0.24453600169635764"/>
    <n v="5.2264087486301361E-2"/>
    <n v="134"/>
    <n v="86545385555.985641"/>
    <n v="3"/>
    <n v="106800.932812163"/>
    <n v="121"/>
    <n v="84174056309.357697"/>
    <n v="10"/>
    <n v="2371222445.6951041"/>
    <n v="4.6088455091047628E-2"/>
    <n v="5.6875244866881685E-8"/>
    <n v="4.4825639046180622E-2"/>
    <n v="1.2627591696221232E-3"/>
    <n v="5090905032.7050381"/>
    <n v="2.7110855935910368E-3"/>
  </r>
  <r>
    <n v="204"/>
    <s v="GBR"/>
    <x v="213"/>
    <x v="0"/>
    <x v="1"/>
    <n v="3"/>
    <n v="0"/>
    <x v="1"/>
    <s v="na"/>
    <n v="0"/>
    <s v="na"/>
    <n v="2830813507746.8687"/>
    <n v="128"/>
    <x v="126"/>
    <n v="0"/>
    <x v="0"/>
    <n v="128"/>
    <n v="99510000000"/>
    <n v="3.5152439299755589E-2"/>
    <n v="0"/>
    <n v="3.5152439299755589E-2"/>
    <n v="7.4115728085920915E-2"/>
    <n v="0"/>
    <n v="4.643858822211748E-2"/>
    <n v="5853529411.7647057"/>
    <n v="2.0677905470444465E-3"/>
    <n v="2"/>
    <n v="0"/>
    <n v="0"/>
    <n v="0"/>
    <n v="0"/>
    <n v="0"/>
    <n v="0"/>
    <n v="0"/>
    <n v="0"/>
    <n v="0"/>
    <n v="0"/>
    <x v="203"/>
    <x v="202"/>
    <x v="203"/>
    <n v="95683789000"/>
    <n v="692494170000"/>
    <n v="468322416000"/>
    <n v="-224171754000"/>
    <n v="1160816586000"/>
    <n v="9.462827391023379E-2"/>
    <n v="6.4387823366541572E-2"/>
    <n v="0.27715621621124603"/>
    <n v="0.22635750418271894"/>
    <n v="8.2427999525499548E-2"/>
    <n v="3.3800809816029759E-2"/>
    <s v="na"/>
    <s v="na"/>
    <s v="na"/>
    <s v="na"/>
    <s v="na"/>
    <s v="na"/>
    <s v="na"/>
    <s v="na"/>
    <n v="0"/>
    <n v="0"/>
    <n v="0"/>
    <n v="0"/>
    <n v="0"/>
    <n v="0"/>
  </r>
  <r>
    <n v="10"/>
    <s v="AUS"/>
    <x v="214"/>
    <x v="4"/>
    <x v="1"/>
    <n v="2"/>
    <n v="1"/>
    <x v="1"/>
    <s v="na"/>
    <n v="0"/>
    <s v="na"/>
    <n v="1396567014733.2283"/>
    <n v="208"/>
    <x v="127"/>
    <n v="0"/>
    <x v="0"/>
    <n v="208"/>
    <n v="120810000000"/>
    <n v="8.6504978798369436E-2"/>
    <n v="0"/>
    <n v="8.6504978798369436E-2"/>
    <n v="8.9980113657522925E-2"/>
    <n v="0"/>
    <n v="5.6378714130378982E-2"/>
    <n v="7106470588.2352943"/>
    <n v="5.0885281646099664E-3"/>
    <n v="1"/>
    <n v="0"/>
    <n v="0"/>
    <n v="0"/>
    <n v="0"/>
    <n v="0"/>
    <n v="0"/>
    <n v="0"/>
    <n v="0"/>
    <n v="0"/>
    <n v="0"/>
    <x v="204"/>
    <x v="203"/>
    <x v="204"/>
    <n v="143958664000"/>
    <n v="214273705000"/>
    <n v="272579608000"/>
    <n v="58305903000"/>
    <n v="486853313000"/>
    <n v="0.2551173556270005"/>
    <n v="0.3275876858697368"/>
    <n v="8.5758540481813375E-2"/>
    <n v="0.13174778240378718"/>
    <n v="0.2956920701903491"/>
    <n v="0.103080383885122"/>
    <s v="na"/>
    <s v="na"/>
    <s v="na"/>
    <s v="na"/>
    <s v="na"/>
    <s v="na"/>
    <s v="na"/>
    <s v="na"/>
    <n v="0"/>
    <n v="0"/>
    <n v="0"/>
    <n v="0"/>
    <n v="0"/>
    <n v="0"/>
  </r>
  <r>
    <n v="205"/>
    <s v="USA"/>
    <x v="215"/>
    <x v="2"/>
    <x v="1"/>
    <n v="1"/>
    <n v="0"/>
    <x v="1"/>
    <s v="na"/>
    <n v="0"/>
    <s v="na"/>
    <n v="21433224697000"/>
    <n v="298"/>
    <x v="128"/>
    <n v="0"/>
    <x v="0"/>
    <n v="298"/>
    <n v="191370000000"/>
    <n v="8.9286611186783285E-3"/>
    <n v="0"/>
    <n v="8.9286611186783285E-3"/>
    <n v="0.14253368388908336"/>
    <n v="0"/>
    <n v="8.930713122366217E-2"/>
    <n v="11257058823.529411"/>
    <n v="5.2521535992225464E-4"/>
    <n v="0"/>
    <s v="na"/>
    <s v="na"/>
    <s v="na"/>
    <s v="na"/>
    <s v="na"/>
    <s v="na"/>
    <n v="0"/>
    <s v="na"/>
    <s v="na"/>
    <s v="na"/>
    <x v="205"/>
    <x v="204"/>
    <x v="205"/>
    <n v="577399224000"/>
    <n v="2563536173000"/>
    <n v="1642820352000"/>
    <n v="-920715821000"/>
    <n v="4206356525000"/>
    <n v="0.18371141275875416"/>
    <n v="6.479611228970214E-2"/>
    <n v="1.0260013969927548"/>
    <n v="0.79403569420280717"/>
    <n v="0.13726825592844868"/>
    <n v="2.6939447150984161E-2"/>
    <s v="na"/>
    <s v="na"/>
    <s v="na"/>
    <s v="na"/>
    <s v="na"/>
    <s v="na"/>
    <s v="na"/>
    <s v="na"/>
    <n v="0"/>
    <n v="0"/>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n v="1"/>
    <s v="AFG"/>
    <s v="Afghanistan"/>
    <x v="0"/>
    <x v="0"/>
    <n v="2"/>
    <n v="0"/>
    <x v="0"/>
    <n v="2013"/>
    <n v="0"/>
    <s v="na"/>
    <n v="19291104007.613544"/>
    <n v="2"/>
    <n v="3270000000"/>
    <n v="1"/>
    <n v="210000000"/>
    <n v="3"/>
    <n v="3480000000"/>
    <n v="0.16950818360159386"/>
    <n v="1.0885846653313368E-2"/>
    <n v="0.18039403025490724"/>
    <n v="2.4355183483163643E-3"/>
    <n v="2.6410443443921825E-4"/>
    <n v="1.6240205709272318E-3"/>
    <n v="204705882.35294119"/>
    <n v="1.0611413544406308E-2"/>
    <n v="1"/>
    <n v="0"/>
    <n v="0"/>
    <n v="0"/>
    <n v="0"/>
    <n v="0"/>
    <x v="0"/>
    <n v="0"/>
    <n v="0"/>
    <n v="0"/>
    <n v="0"/>
    <n v="1156686"/>
    <n v="31002"/>
    <n v="-1125684"/>
    <n v="1187688"/>
    <n v="6776781000"/>
    <n v="863833000"/>
    <n v="-5912948000"/>
    <n v="7640614000"/>
    <n v="1.7068369185901095E-4"/>
    <n v="3.5888881299973489E-5"/>
    <n v="2.7122639603626756E-3"/>
    <n v="4.1752236329142676E-4"/>
    <n v="1.5544405200943276E-4"/>
    <n v="6.1566616380859276E-5"/>
    <n v="123"/>
    <n v="1522264756.7167196"/>
    <n v="113"/>
    <n v="1454135259.3851943"/>
    <n v="6"/>
    <n v="18129497.3315253"/>
    <n v="4"/>
    <n v="50000000"/>
    <n v="7.8910193844579007E-2"/>
    <n v="7.5378540223063256E-2"/>
    <n v="9.3978537072684912E-4"/>
    <n v="2.5918682507888972E-3"/>
    <n v="89544985.689218804"/>
    <n v="4.6417761085046473E-3"/>
  </r>
  <r>
    <n v="2"/>
    <s v="ALB"/>
    <s v="Albania"/>
    <x v="1"/>
    <x v="1"/>
    <n v="1"/>
    <n v="0"/>
    <x v="0"/>
    <n v="2017"/>
    <n v="0"/>
    <s v="na"/>
    <n v="15286612572.689501"/>
    <n v="0"/>
    <n v="0"/>
    <n v="0"/>
    <n v="0"/>
    <n v="0"/>
    <n v="0"/>
    <n v="0"/>
    <n v="0"/>
    <n v="0"/>
    <n v="0"/>
    <n v="0"/>
    <n v="0"/>
    <n v="0"/>
    <n v="0"/>
    <n v="0"/>
    <s v="na"/>
    <s v="na"/>
    <s v="na"/>
    <s v="na"/>
    <s v="na"/>
    <x v="1"/>
    <n v="0"/>
    <s v="na"/>
    <s v="na"/>
    <s v="na"/>
    <n v="543620000"/>
    <n v="56526000"/>
    <n v="-487094000"/>
    <n v="600146000"/>
    <n v="5908003000"/>
    <n v="2719429000"/>
    <n v="-3188574000"/>
    <n v="8627432000"/>
    <n v="9.201417128596584E-2"/>
    <n v="2.0785981174724546E-2"/>
    <n v="2.364553851543169E-3"/>
    <n v="1.3144003793363317E-3"/>
    <n v="6.9562530310293955E-2"/>
    <n v="3.9259580704766386E-2"/>
    <n v="47"/>
    <n v="665510361.43426514"/>
    <n v="30"/>
    <n v="27696475.729804792"/>
    <n v="15"/>
    <n v="551351018.66711462"/>
    <n v="2"/>
    <n v="86462867.037345707"/>
    <n v="4.3535502602011479E-2"/>
    <n v="1.8118124992116498E-3"/>
    <n v="3.6067573247204422E-2"/>
    <n v="5.6561168555954036E-3"/>
    <n v="39147668.319662653"/>
    <n v="2.560911917765381E-3"/>
  </r>
  <r>
    <n v="3"/>
    <s v="DZA"/>
    <s v="Algeria"/>
    <x v="2"/>
    <x v="2"/>
    <n v="3"/>
    <n v="0"/>
    <x v="0"/>
    <n v="2018"/>
    <n v="0"/>
    <s v="na"/>
    <n v="171157803367.47278"/>
    <n v="21"/>
    <n v="16220000000"/>
    <n v="19"/>
    <n v="8390000000"/>
    <n v="40"/>
    <n v="24610000000"/>
    <n v="9.4766348252179583E-2"/>
    <n v="4.9019091358556512E-2"/>
    <n v="0.14378543961073609"/>
    <n v="1.2080766853116645E-2"/>
    <n v="1.0551600975928768E-2"/>
    <n v="1.1484812140953786E-2"/>
    <n v="1447647058.8235295"/>
    <n v="8.4579670359256533E-3"/>
    <n v="2"/>
    <n v="0"/>
    <n v="0"/>
    <n v="0"/>
    <n v="0"/>
    <n v="0"/>
    <x v="0"/>
    <n v="0"/>
    <n v="0"/>
    <n v="0"/>
    <n v="0"/>
    <n v="6945571000"/>
    <n v="1141660000"/>
    <n v="-5803911000"/>
    <n v="8087231000"/>
    <n v="42521470000"/>
    <n v="36767788000"/>
    <n v="-5753682000"/>
    <n v="79289258000"/>
    <n v="0.16334268311984509"/>
    <n v="3.1050548920702001E-2"/>
    <n v="1.7018323393163025E-2"/>
    <n v="1.7771228627244111E-2"/>
    <n v="0.10199655292523989"/>
    <n v="4.7250144842282522E-2"/>
    <n v="40"/>
    <n v="3648671293.308445"/>
    <n v="34"/>
    <n v="300781939.017712"/>
    <n v="5"/>
    <n v="3347889354.2907329"/>
    <n v="1"/>
    <n v="0"/>
    <n v="2.1317586586892635E-2"/>
    <n v="1.7573369901922526E-3"/>
    <n v="1.9560249596700382E-2"/>
    <n v="0"/>
    <n v="214627723.13579088"/>
    <n v="1.2539756815819199E-3"/>
  </r>
  <r>
    <n v="4"/>
    <s v="AND"/>
    <s v="Andorra"/>
    <x v="1"/>
    <x v="3"/>
    <n v="0"/>
    <n v="0"/>
    <x v="1"/>
    <s v="na"/>
    <n v="0"/>
    <s v="na"/>
    <n v="3155065487.5181909"/>
    <n v="0"/>
    <n v="0"/>
    <n v="0"/>
    <n v="0"/>
    <n v="0"/>
    <n v="0"/>
    <n v="0"/>
    <n v="0"/>
    <n v="0"/>
    <n v="0"/>
    <n v="0"/>
    <n v="0"/>
    <n v="0"/>
    <n v="0"/>
    <n v="0"/>
    <s v="na"/>
    <s v="na"/>
    <s v="na"/>
    <s v="na"/>
    <s v="na"/>
    <x v="1"/>
    <n v="0"/>
    <s v="na"/>
    <s v="na"/>
    <s v="na"/>
    <n v="2369000"/>
    <n v="200000"/>
    <n v="-2169000"/>
    <n v="2569000"/>
    <n v="1478950000"/>
    <n v="118238000"/>
    <n v="-1360712000"/>
    <n v="1597188000"/>
    <n v="1.6018120964197574E-3"/>
    <n v="1.6915035775300665E-3"/>
    <n v="5.9191860917128338E-4"/>
    <n v="5.7148788238990303E-5"/>
    <n v="1.6084518541336398E-3"/>
    <n v="8.1424617338792665E-4"/>
    <s v="na"/>
    <s v="na"/>
    <s v="na"/>
    <s v="na"/>
    <s v="na"/>
    <s v="na"/>
    <s v="na"/>
    <s v="na"/>
    <n v="0"/>
    <n v="0"/>
    <n v="0"/>
    <n v="0"/>
    <n v="0"/>
    <n v="0"/>
  </r>
  <r>
    <n v="5"/>
    <s v="AGO"/>
    <s v="Angola"/>
    <x v="3"/>
    <x v="2"/>
    <n v="2"/>
    <n v="0"/>
    <x v="0"/>
    <n v="2018"/>
    <n v="0"/>
    <s v="na"/>
    <n v="89417190341.253281"/>
    <n v="21"/>
    <n v="15070000000"/>
    <n v="20"/>
    <n v="9780000000"/>
    <n v="41"/>
    <n v="24850000000"/>
    <n v="0.16853582563360128"/>
    <n v="0.10937494191749307"/>
    <n v="0.27791076755109434"/>
    <n v="1.1224238993617006E-2"/>
    <n v="1.2299720803883593E-2"/>
    <n v="1.1596813559638422E-2"/>
    <n v="1461764705.8823528"/>
    <n v="1.6347692208887901E-2"/>
    <n v="0"/>
    <s v="na"/>
    <s v="na"/>
    <s v="na"/>
    <s v="na"/>
    <s v="na"/>
    <x v="1"/>
    <n v="0"/>
    <s v="na"/>
    <s v="na"/>
    <s v="na"/>
    <n v="2030002"/>
    <n v="21357868"/>
    <n v="19327866"/>
    <n v="23387870"/>
    <n v="14160146000"/>
    <n v="34819241000"/>
    <n v="20659095000"/>
    <n v="48979387000"/>
    <n v="1.4336024501442288E-4"/>
    <n v="6.133926928504846E-4"/>
    <n v="5.6673003995958704E-3"/>
    <n v="1.6829423963119886E-2"/>
    <n v="4.7750434279628692E-4"/>
    <n v="2.6155899006379126E-4"/>
    <n v="350"/>
    <n v="88449059776.888641"/>
    <n v="78"/>
    <n v="310799325.71688968"/>
    <n v="199"/>
    <n v="72542723598.448303"/>
    <n v="73"/>
    <n v="15595536852.723465"/>
    <n v="0.98917288095644862"/>
    <n v="3.4758341716033558E-3"/>
    <n v="0.81128386299765209"/>
    <n v="0.17441318378719342"/>
    <n v="5202885869.2287436"/>
    <n v="5.8186640056261688E-2"/>
  </r>
  <r>
    <n v="6"/>
    <s v="ATG"/>
    <s v="Antigua and Barbuda"/>
    <x v="4"/>
    <x v="3"/>
    <n v="0"/>
    <n v="0"/>
    <x v="0"/>
    <n v="2018"/>
    <n v="0"/>
    <s v="na"/>
    <n v="1661962962.9629629"/>
    <n v="0"/>
    <n v="0"/>
    <n v="2"/>
    <n v="1000000000"/>
    <n v="2"/>
    <n v="1000000000"/>
    <n v="0"/>
    <n v="0.60169812582176363"/>
    <n v="0.60169812582176363"/>
    <n v="0"/>
    <n v="1.2576401639962775E-3"/>
    <n v="4.6667257785265278E-4"/>
    <n v="58823529.411764704"/>
    <n v="3.5394007401280216E-2"/>
    <n v="0"/>
    <s v="na"/>
    <s v="na"/>
    <s v="na"/>
    <s v="na"/>
    <s v="na"/>
    <x v="1"/>
    <n v="0"/>
    <s v="na"/>
    <s v="na"/>
    <s v="na"/>
    <n v="42000000"/>
    <n v="19000"/>
    <n v="-41981000"/>
    <n v="42019000"/>
    <n v="568334000"/>
    <n v="37400000"/>
    <n v="-530934000"/>
    <n v="605734000"/>
    <n v="7.3900206568672647E-2"/>
    <n v="5.080213903743316E-4"/>
    <n v="2.2746372144071954E-4"/>
    <n v="1.8076800014701171E-5"/>
    <n v="6.9368732810111369E-2"/>
    <n v="2.5282753548904687E-2"/>
    <n v="59"/>
    <n v="398209262.67240685"/>
    <n v="54"/>
    <n v="390298705.9867053"/>
    <n v="2"/>
    <n v="0"/>
    <n v="3"/>
    <n v="7910556.6857015602"/>
    <n v="0.23960176703485361"/>
    <n v="0.23484199990286014"/>
    <n v="0"/>
    <n v="4.7597671319934516E-3"/>
    <n v="23424074.274847463"/>
    <n v="1.4094221590285507E-2"/>
  </r>
  <r>
    <n v="7"/>
    <s v="ARG"/>
    <s v="Argentina"/>
    <x v="4"/>
    <x v="1"/>
    <n v="3"/>
    <n v="0"/>
    <x v="1"/>
    <s v="na"/>
    <n v="0"/>
    <s v="na"/>
    <n v="445445177459.45306"/>
    <n v="31"/>
    <n v="22810000000"/>
    <n v="0"/>
    <n v="0"/>
    <n v="31"/>
    <n v="22810000000"/>
    <n v="5.1207199346268141E-2"/>
    <n v="0"/>
    <n v="5.1207199346268141E-2"/>
    <n v="1.6989043891466746E-2"/>
    <n v="0"/>
    <n v="1.064480150081901E-2"/>
    <n v="1341764705.8823528"/>
    <n v="3.0121881968393021E-3"/>
    <n v="2"/>
    <n v="0"/>
    <n v="0"/>
    <n v="0"/>
    <n v="0"/>
    <n v="0"/>
    <x v="0"/>
    <n v="0"/>
    <n v="0"/>
    <n v="0"/>
    <n v="0"/>
    <n v="9258744000"/>
    <n v="6325086000"/>
    <n v="-2933658000"/>
    <n v="15583830000"/>
    <n v="49125030000"/>
    <n v="65115327000"/>
    <n v="15990297000"/>
    <n v="114240357000"/>
    <n v="0.18847304520730063"/>
    <n v="9.713666952789779E-2"/>
    <n v="1.9661259294159759E-2"/>
    <n v="3.1472640215798708E-2"/>
    <n v="0.13641265144155668"/>
    <n v="3.498484390128688E-2"/>
    <n v="67"/>
    <n v="34167061581.110947"/>
    <n v="2"/>
    <n v="502647697.70549798"/>
    <n v="55"/>
    <n v="16417355731.435488"/>
    <n v="10"/>
    <n v="17247058151.969959"/>
    <n v="7.6703179897420773E-2"/>
    <n v="1.1284165215847506E-3"/>
    <n v="3.6856063466822221E-2"/>
    <n v="3.8718699909013797E-2"/>
    <n v="2009827151.8300557"/>
    <n v="4.5119517586718096E-3"/>
  </r>
  <r>
    <n v="8"/>
    <s v="ARM"/>
    <s v="Armenia"/>
    <x v="1"/>
    <x v="1"/>
    <n v="0"/>
    <n v="0"/>
    <x v="0"/>
    <n v="2015"/>
    <n v="0"/>
    <s v="na"/>
    <n v="13672802157.832392"/>
    <n v="0"/>
    <n v="0"/>
    <n v="0"/>
    <n v="0"/>
    <n v="0"/>
    <n v="0"/>
    <n v="0"/>
    <n v="0"/>
    <n v="0"/>
    <n v="0"/>
    <n v="0"/>
    <n v="0"/>
    <n v="0"/>
    <n v="0"/>
    <n v="3"/>
    <n v="0"/>
    <n v="0"/>
    <n v="0"/>
    <n v="0"/>
    <n v="0"/>
    <x v="0"/>
    <n v="0"/>
    <n v="0"/>
    <n v="0"/>
    <n v="0"/>
    <n v="748024000"/>
    <n v="193682000"/>
    <n v="-554342000"/>
    <n v="941706000"/>
    <n v="5071644000"/>
    <n v="2620069000"/>
    <n v="-2451575000"/>
    <n v="7691713000"/>
    <n v="0.14749142487130407"/>
    <n v="7.3922480667493864E-2"/>
    <n v="2.0298187651319414E-3"/>
    <n v="1.2663760250726764E-3"/>
    <n v="0.12243124515956329"/>
    <n v="6.8874396713225955E-2"/>
    <n v="40"/>
    <n v="155275327.59466651"/>
    <n v="31"/>
    <n v="155275327.59466651"/>
    <n v="8"/>
    <n v="0"/>
    <n v="1"/>
    <n v="0"/>
    <n v="1.1356510962584058E-2"/>
    <n v="1.1356510962584058E-2"/>
    <n v="0"/>
    <n v="0"/>
    <n v="9133842.7996862661"/>
    <n v="6.6803005662259161E-4"/>
  </r>
  <r>
    <n v="9"/>
    <s v="ABW"/>
    <s v="Aruba"/>
    <x v="4"/>
    <x v="3"/>
    <n v="0"/>
    <n v="0"/>
    <x v="1"/>
    <s v="na"/>
    <n v="0"/>
    <s v="na"/>
    <s v="na"/>
    <n v="0"/>
    <n v="0"/>
    <n v="0"/>
    <n v="0"/>
    <n v="0"/>
    <n v="0"/>
    <n v="0"/>
    <n v="0"/>
    <n v="0"/>
    <n v="0"/>
    <n v="0"/>
    <n v="0"/>
    <n v="0"/>
    <n v="0"/>
    <n v="0"/>
    <s v="na"/>
    <s v="na"/>
    <s v="na"/>
    <s v="na"/>
    <s v="na"/>
    <x v="1"/>
    <n v="0"/>
    <s v="na"/>
    <s v="na"/>
    <s v="na"/>
    <n v="7527000"/>
    <n v="56000"/>
    <n v="-7471000"/>
    <n v="7583000"/>
    <n v="1320446000"/>
    <n v="83627000"/>
    <n v="-1236819000"/>
    <n v="1404073000"/>
    <n v="5.7003467010388912E-3"/>
    <n v="6.696401879775671E-4"/>
    <n v="5.2848071929800496E-4"/>
    <n v="4.0420014835011098E-5"/>
    <n v="5.4007163445205482E-3"/>
    <s v="na"/>
    <n v="0"/>
    <s v="na"/>
    <s v="na"/>
    <s v="na"/>
    <s v="na"/>
    <s v="na"/>
    <s v="na"/>
    <s v="na"/>
    <n v="0"/>
    <n v="0"/>
    <n v="0"/>
    <n v="0"/>
    <n v="0"/>
    <n v="0"/>
  </r>
  <r>
    <n v="10"/>
    <s v="AUS"/>
    <s v="Australia"/>
    <x v="5"/>
    <x v="3"/>
    <n v="2"/>
    <n v="1"/>
    <x v="1"/>
    <s v="na"/>
    <n v="0"/>
    <s v="na"/>
    <n v="1396567014733.2283"/>
    <n v="208"/>
    <n v="120810000000"/>
    <n v="0"/>
    <n v="0"/>
    <n v="208"/>
    <n v="120810000000"/>
    <n v="8.6504978798369436E-2"/>
    <n v="0"/>
    <n v="8.6504978798369436E-2"/>
    <n v="8.9980113657522925E-2"/>
    <n v="0"/>
    <n v="5.6378714130378982E-2"/>
    <n v="7106470588.2352943"/>
    <n v="5.0885281646099664E-3"/>
    <n v="1"/>
    <n v="0"/>
    <n v="0"/>
    <n v="0"/>
    <n v="0"/>
    <n v="0"/>
    <x v="0"/>
    <n v="0"/>
    <n v="0"/>
    <n v="0"/>
    <n v="0"/>
    <n v="54664941000"/>
    <n v="89293723000"/>
    <n v="34628782000"/>
    <n v="143958664000"/>
    <n v="214273705000"/>
    <n v="272579608000"/>
    <n v="58305903000"/>
    <n v="486853313000"/>
    <n v="0.2551173556270005"/>
    <n v="0.3275876858697368"/>
    <n v="8.5758540481813375E-2"/>
    <n v="0.13174778240378718"/>
    <n v="0.2956920701903491"/>
    <n v="0.103080383885122"/>
    <s v="na"/>
    <s v="na"/>
    <s v="na"/>
    <s v="na"/>
    <s v="na"/>
    <s v="na"/>
    <s v="na"/>
    <s v="na"/>
    <n v="0"/>
    <n v="0"/>
    <n v="0"/>
    <n v="0"/>
    <n v="0"/>
    <n v="0"/>
  </r>
  <r>
    <n v="11"/>
    <s v="AUT"/>
    <s v="Austria"/>
    <x v="1"/>
    <x v="3"/>
    <n v="0"/>
    <n v="0"/>
    <x v="0"/>
    <s v="na"/>
    <n v="0"/>
    <s v="na"/>
    <n v="445075391688.15613"/>
    <n v="2"/>
    <n v="280000000"/>
    <n v="1"/>
    <n v="230000000"/>
    <n v="3"/>
    <n v="510000000"/>
    <n v="6.291069001545319E-4"/>
    <n v="5.1676638226979404E-4"/>
    <n v="1.1458732824243258E-3"/>
    <n v="2.0854591361730334E-4"/>
    <n v="2.8925723771914381E-4"/>
    <n v="2.3800301470485293E-4"/>
    <n v="30000000"/>
    <n v="6.7404310730842702E-5"/>
    <n v="2"/>
    <n v="0"/>
    <n v="0"/>
    <n v="0"/>
    <n v="0"/>
    <n v="0"/>
    <x v="0"/>
    <n v="0"/>
    <n v="0"/>
    <n v="0"/>
    <n v="0"/>
    <n v="10998301000"/>
    <n v="4981008000"/>
    <n v="-6017293000"/>
    <n v="15979309000"/>
    <n v="176596131000"/>
    <n v="171532055000"/>
    <n v="-5064076000"/>
    <n v="348128186000"/>
    <n v="6.2279399541318378E-2"/>
    <n v="2.9038350878499066E-2"/>
    <n v="7.0678884510328124E-2"/>
    <n v="8.2907771506570124E-2"/>
    <n v="4.5900647067973976E-2"/>
    <n v="3.5902476970005044E-2"/>
    <s v="na"/>
    <s v="na"/>
    <s v="na"/>
    <s v="na"/>
    <s v="na"/>
    <s v="na"/>
    <s v="na"/>
    <s v="na"/>
    <n v="0"/>
    <n v="0"/>
    <n v="0"/>
    <n v="0"/>
    <n v="0"/>
    <n v="0"/>
  </r>
  <r>
    <n v="12"/>
    <s v="AZE"/>
    <s v="Azerbaijan"/>
    <x v="1"/>
    <x v="1"/>
    <n v="0"/>
    <n v="0"/>
    <x v="0"/>
    <n v="2015"/>
    <n v="0"/>
    <s v="na"/>
    <n v="48174235294.117645"/>
    <n v="3"/>
    <n v="750000000"/>
    <n v="2"/>
    <n v="1440000000"/>
    <n v="5"/>
    <n v="2190000000"/>
    <n v="1.5568487915190206E-2"/>
    <n v="2.9891496797165192E-2"/>
    <n v="4.5459984712355399E-2"/>
    <n v="5.58605125760634E-4"/>
    <n v="1.8110018361546395E-3"/>
    <n v="1.0220129454973097E-3"/>
    <n v="128823529.41176471"/>
    <n v="2.6741167477856119E-3"/>
    <n v="1"/>
    <n v="2"/>
    <n v="700000000"/>
    <n v="0"/>
    <n v="0"/>
    <n v="0"/>
    <x v="0"/>
    <n v="2"/>
    <n v="700000000"/>
    <n v="1.453058872084419E-2"/>
    <n v="1.7561363795442222E-2"/>
    <n v="1432151000"/>
    <n v="752163000"/>
    <n v="-679988000"/>
    <n v="2184314000"/>
    <n v="13649506000"/>
    <n v="19635203000"/>
    <n v="5985697000"/>
    <n v="33284709000"/>
    <n v="0.1049232844031132"/>
    <n v="3.8306861406016531E-2"/>
    <n v="5.4629274873356694E-3"/>
    <n v="9.4904181251085715E-3"/>
    <n v="6.5625149374146555E-2"/>
    <n v="4.5341954815974368E-2"/>
    <n v="27"/>
    <n v="1079802016.287219"/>
    <n v="15"/>
    <n v="48909490.424316585"/>
    <n v="10"/>
    <n v="551122917.32230496"/>
    <n v="2"/>
    <n v="479769608.54059738"/>
    <n v="2.2414512855154115E-2"/>
    <n v="1.015262414145445E-3"/>
    <n v="1.14402006374889E-2"/>
    <n v="9.9590498035197674E-3"/>
    <n v="63517765.663954064"/>
    <n v="1.3185007561855363E-3"/>
  </r>
  <r>
    <n v="13"/>
    <s v="BHS"/>
    <s v="Bahamas"/>
    <x v="4"/>
    <x v="3"/>
    <n v="0"/>
    <n v="0"/>
    <x v="1"/>
    <s v="na"/>
    <n v="0"/>
    <s v="na"/>
    <n v="13578800000"/>
    <n v="2"/>
    <n v="350000000"/>
    <n v="0"/>
    <n v="0"/>
    <n v="2"/>
    <n v="350000000"/>
    <n v="2.5775473532270894E-2"/>
    <n v="0"/>
    <n v="2.5775473532270894E-2"/>
    <n v="2.6068239202162917E-4"/>
    <n v="0"/>
    <n v="1.6333540224842849E-4"/>
    <n v="20588235.294117648"/>
    <n v="1.5162043254276997E-3"/>
    <n v="0"/>
    <s v="na"/>
    <s v="na"/>
    <s v="na"/>
    <s v="na"/>
    <s v="na"/>
    <x v="1"/>
    <n v="0"/>
    <s v="na"/>
    <s v="na"/>
    <s v="na"/>
    <n v="24409000"/>
    <n v="214000"/>
    <n v="-24195000"/>
    <n v="24623000"/>
    <n v="3320468000"/>
    <n v="537265000"/>
    <n v="-2783203000"/>
    <n v="3857733000"/>
    <n v="7.3510721982563906E-3"/>
    <n v="3.9831368133044217E-4"/>
    <n v="1.3289474291610622E-3"/>
    <n v="2.5967999892776539E-4"/>
    <n v="6.3827641778215344E-3"/>
    <n v="1.8133413851003034E-3"/>
    <n v="31"/>
    <n v="3136697529.0512481"/>
    <n v="0"/>
    <n v="0"/>
    <n v="31"/>
    <n v="3136697529.0512481"/>
    <n v="0"/>
    <n v="0"/>
    <n v="0.23099961182514273"/>
    <n v="0"/>
    <n v="0.23099961182514273"/>
    <n v="0"/>
    <n v="184511619.35595578"/>
    <n v="1.3588212460302514E-2"/>
  </r>
  <r>
    <n v="14"/>
    <s v="BHR"/>
    <s v="Bahrain"/>
    <x v="2"/>
    <x v="3"/>
    <n v="0"/>
    <n v="0"/>
    <x v="0"/>
    <n v="2018"/>
    <n v="0"/>
    <s v="na"/>
    <n v="38474521276.595741"/>
    <n v="0"/>
    <n v="0"/>
    <n v="2"/>
    <n v="1420000000"/>
    <n v="2"/>
    <n v="1420000000"/>
    <n v="0"/>
    <n v="3.6907541741495138E-2"/>
    <n v="3.6907541741495138E-2"/>
    <n v="0"/>
    <n v="1.785849032874714E-3"/>
    <n v="6.6267506055076692E-4"/>
    <n v="83529411.764705881"/>
    <n v="2.1710318671467727E-3"/>
    <n v="1"/>
    <n v="0"/>
    <n v="0"/>
    <n v="0"/>
    <n v="0"/>
    <n v="0"/>
    <x v="0"/>
    <n v="0"/>
    <n v="0"/>
    <n v="0"/>
    <n v="0"/>
    <n v="2065479"/>
    <n v="317157"/>
    <n v="-1748322"/>
    <n v="2382636"/>
    <n v="18589050000"/>
    <n v="14167296000"/>
    <n v="-4421754000"/>
    <n v="32756346000"/>
    <n v="1.1111267116931742E-4"/>
    <n v="2.2386558451238685E-5"/>
    <n v="7.4398760078538458E-3"/>
    <n v="6.847576912862992E-3"/>
    <n v="7.2738149731352826E-5"/>
    <n v="6.1927632130133101E-5"/>
    <s v="na"/>
    <s v="na"/>
    <s v="na"/>
    <s v="na"/>
    <s v="na"/>
    <s v="na"/>
    <s v="na"/>
    <s v="na"/>
    <n v="0"/>
    <n v="0"/>
    <n v="0"/>
    <n v="0"/>
    <n v="0"/>
    <n v="0"/>
  </r>
  <r>
    <n v="15"/>
    <s v="BGD"/>
    <s v="Bangladesh"/>
    <x v="0"/>
    <x v="2"/>
    <n v="1"/>
    <n v="1"/>
    <x v="0"/>
    <n v="2019"/>
    <n v="0"/>
    <s v="na"/>
    <n v="302563398919.92755"/>
    <n v="15"/>
    <n v="3590000000"/>
    <n v="46"/>
    <n v="25260000000"/>
    <n v="61"/>
    <n v="28850000000"/>
    <n v="1.1865281831230624E-2"/>
    <n v="8.3486634834787063E-2"/>
    <n v="9.5351916666017694E-2"/>
    <n v="2.6738565353075679E-3"/>
    <n v="3.1767990542545969E-2"/>
    <n v="1.3463503871049033E-2"/>
    <n v="1697058823.5294118"/>
    <n v="5.6089362744716296E-3"/>
    <n v="1"/>
    <n v="14"/>
    <n v="2639000000"/>
    <n v="5"/>
    <n v="1634400000"/>
    <n v="0"/>
    <x v="0"/>
    <n v="19"/>
    <n v="4273400000"/>
    <n v="1.4123981999326171E-2"/>
    <n v="0.10720961720491828"/>
    <n v="17335124000"/>
    <n v="1036436000"/>
    <n v="-16298688000"/>
    <n v="18371560000"/>
    <n v="58004860000"/>
    <n v="47632799000"/>
    <n v="-10372061000"/>
    <n v="105637659000"/>
    <n v="0.29885640617010367"/>
    <n v="2.1758872494559895E-2"/>
    <n v="2.321522435266575E-2"/>
    <n v="2.3022689349290325E-2"/>
    <n v="0.17391108600768973"/>
    <n v="6.0719703921828218E-2"/>
    <n v="120"/>
    <n v="13120697227.954836"/>
    <n v="79"/>
    <n v="4313536700.984539"/>
    <n v="35"/>
    <n v="8051891621.6969776"/>
    <n v="6"/>
    <n v="755268905.27331805"/>
    <n v="4.3365117111958368E-2"/>
    <n v="1.4256637505999536E-2"/>
    <n v="2.6612246062941294E-2"/>
    <n v="2.4962335430175333E-3"/>
    <n v="771805719.29146099"/>
    <n v="2.5508892418799043E-3"/>
  </r>
  <r>
    <n v="16"/>
    <s v="BRB"/>
    <s v="Barbados"/>
    <x v="4"/>
    <x v="3"/>
    <n v="0"/>
    <n v="0"/>
    <x v="0"/>
    <n v="2019"/>
    <n v="0"/>
    <s v="na"/>
    <n v="5209000000"/>
    <n v="0"/>
    <n v="0"/>
    <n v="3"/>
    <n v="490000000"/>
    <n v="3"/>
    <n v="490000000"/>
    <n v="0"/>
    <n v="9.4067959301209439E-2"/>
    <n v="9.4067959301209439E-2"/>
    <n v="0"/>
    <n v="6.1624368035817587E-4"/>
    <n v="2.2866956314779988E-4"/>
    <n v="28823529.411764707"/>
    <n v="5.5334093706593795E-3"/>
    <n v="0"/>
    <s v="na"/>
    <s v="na"/>
    <s v="na"/>
    <s v="na"/>
    <s v="na"/>
    <x v="1"/>
    <n v="0"/>
    <s v="na"/>
    <s v="na"/>
    <s v="na"/>
    <n v="155688000"/>
    <n v="41000"/>
    <n v="-155647000"/>
    <n v="155729000"/>
    <n v="1581059000"/>
    <n v="444089000"/>
    <n v="-1136970000"/>
    <n v="2025148000"/>
    <n v="9.8470708556733177E-2"/>
    <n v="9.2323835987831264E-5"/>
    <n v="6.3278558727322774E-4"/>
    <n v="2.1464460004622007E-4"/>
    <n v="7.6897589707023886E-2"/>
    <n v="2.989614129391438E-2"/>
    <n v="74"/>
    <n v="237145251.16707271"/>
    <n v="21"/>
    <n v="10215340.313144807"/>
    <n v="53"/>
    <n v="226929910.85392791"/>
    <n v="0"/>
    <n v="0"/>
    <n v="4.5526060888284259E-2"/>
    <n v="1.9610943200508366E-3"/>
    <n v="4.3564966568233422E-2"/>
    <n v="0"/>
    <n v="13949720.65688663"/>
    <n v="2.6780035816637801E-3"/>
  </r>
  <r>
    <n v="17"/>
    <s v="BLR"/>
    <s v="Belarus"/>
    <x v="1"/>
    <x v="1"/>
    <n v="3"/>
    <n v="0"/>
    <x v="0"/>
    <n v="2013"/>
    <n v="0"/>
    <s v="na"/>
    <n v="64409647193.804375"/>
    <n v="8"/>
    <n v="3460000000"/>
    <n v="9"/>
    <n v="2720000000"/>
    <n v="17"/>
    <n v="6180000000"/>
    <n v="5.3718660957559485E-2"/>
    <n v="4.2229698787445605E-2"/>
    <n v="9.5948359745005096E-2"/>
    <n v="2.5770316468423913E-3"/>
    <n v="3.4207812460698745E-3"/>
    <n v="2.8840365311293943E-3"/>
    <n v="363529411.7647059"/>
    <n v="5.6440211614708878E-3"/>
    <n v="2"/>
    <n v="0"/>
    <n v="0"/>
    <n v="2"/>
    <n v="231000000"/>
    <n v="0"/>
    <x v="0"/>
    <n v="2"/>
    <n v="231000000"/>
    <n v="3.5864192720220351E-3"/>
    <n v="5.7952500524959339E-3"/>
    <n v="1777676000"/>
    <n v="634666000"/>
    <n v="-1143010000"/>
    <n v="2412342000"/>
    <n v="39476679000"/>
    <n v="32955122000"/>
    <n v="-6521557000"/>
    <n v="72431801000"/>
    <n v="4.5031042251553126E-2"/>
    <n v="1.9258493414164874E-2"/>
    <n v="1.5799709880916335E-2"/>
    <n v="1.5928426466686605E-2"/>
    <n v="3.3305011979475697E-2"/>
    <n v="3.7453116188347103E-2"/>
    <n v="112"/>
    <n v="43845023715.92009"/>
    <n v="30"/>
    <n v="523596159.95291084"/>
    <n v="63"/>
    <n v="29055329693.990318"/>
    <n v="19"/>
    <n v="14266097861.976858"/>
    <n v="0.68072137678371858"/>
    <n v="8.1291573974539028E-3"/>
    <n v="0.45110214012762329"/>
    <n v="0.22149007925864136"/>
    <n v="2579119042.1129465"/>
    <n v="4.0042433928454038E-2"/>
  </r>
  <r>
    <n v="18"/>
    <s v="BEL"/>
    <s v="Belgium"/>
    <x v="1"/>
    <x v="3"/>
    <n v="0"/>
    <n v="0"/>
    <x v="1"/>
    <s v="na"/>
    <n v="0"/>
    <s v="na"/>
    <n v="533254518108.23444"/>
    <n v="10"/>
    <n v="4630000000"/>
    <n v="0"/>
    <n v="0"/>
    <n v="10"/>
    <n v="4630000000"/>
    <n v="8.6825330921251592E-3"/>
    <n v="0"/>
    <n v="8.6825330921251592E-3"/>
    <n v="3.4484556430289803E-3"/>
    <n v="0"/>
    <n v="2.1606940354577824E-3"/>
    <n v="272352941.17647058"/>
    <n v="5.1073724071324462E-4"/>
    <n v="2"/>
    <n v="0"/>
    <n v="0"/>
    <n v="0"/>
    <n v="0"/>
    <n v="0"/>
    <x v="0"/>
    <n v="0"/>
    <n v="0"/>
    <n v="0"/>
    <n v="0"/>
    <n v="18242346000"/>
    <n v="7921361000"/>
    <n v="-10320985000"/>
    <n v="26163707000"/>
    <n v="427766455000"/>
    <n v="446876870000"/>
    <n v="19110415000"/>
    <n v="874643325000"/>
    <n v="4.2645573973302792E-2"/>
    <n v="1.7726048340787923E-2"/>
    <n v="0.171204520162095"/>
    <n v="0.21599208048624638"/>
    <n v="2.9913573055622415E-2"/>
    <n v="4.906420126137509E-2"/>
    <s v="na"/>
    <s v="na"/>
    <s v="na"/>
    <s v="na"/>
    <s v="na"/>
    <s v="na"/>
    <s v="na"/>
    <s v="na"/>
    <n v="0"/>
    <n v="0"/>
    <n v="0"/>
    <n v="0"/>
    <n v="0"/>
    <n v="0"/>
  </r>
  <r>
    <n v="19"/>
    <s v="BLZ"/>
    <s v="Belize"/>
    <x v="4"/>
    <x v="2"/>
    <n v="0"/>
    <n v="0"/>
    <x v="1"/>
    <s v="na"/>
    <n v="2"/>
    <s v="na"/>
    <n v="1982518540.6134"/>
    <n v="0"/>
    <n v="0"/>
    <n v="0"/>
    <n v="0"/>
    <n v="0"/>
    <n v="0"/>
    <n v="0"/>
    <n v="0"/>
    <n v="0"/>
    <n v="0"/>
    <n v="0"/>
    <n v="0"/>
    <n v="0"/>
    <n v="0"/>
    <n v="0"/>
    <s v="na"/>
    <s v="na"/>
    <s v="na"/>
    <s v="na"/>
    <s v="na"/>
    <x v="1"/>
    <n v="0"/>
    <s v="na"/>
    <s v="na"/>
    <s v="na"/>
    <n v="116803000"/>
    <n v="648000"/>
    <n v="-116155000"/>
    <n v="117451000"/>
    <n v="985894000"/>
    <n v="244906000"/>
    <n v="-740988000"/>
    <n v="1230800000"/>
    <n v="0.1184741970232094"/>
    <n v="2.6459131258523678E-3"/>
    <n v="3.9458332281031358E-4"/>
    <n v="1.1837210653477021E-4"/>
    <n v="9.542655183620409E-2"/>
    <n v="5.924332993307601E-2"/>
    <n v="0"/>
    <s v="na"/>
    <s v="na"/>
    <s v="na"/>
    <s v="na"/>
    <s v="na"/>
    <s v="na"/>
    <s v="na"/>
    <n v="0"/>
    <n v="0"/>
    <n v="0"/>
    <n v="0"/>
    <n v="0"/>
    <n v="0"/>
  </r>
  <r>
    <n v="20"/>
    <s v="BEN"/>
    <s v="Benin"/>
    <x v="3"/>
    <x v="2"/>
    <n v="0"/>
    <n v="0"/>
    <x v="0"/>
    <s v="na"/>
    <n v="0"/>
    <s v="na"/>
    <n v="14391686309.032972"/>
    <n v="1"/>
    <n v="240000000"/>
    <n v="3"/>
    <n v="1490000000"/>
    <n v="4"/>
    <n v="1730000000"/>
    <n v="1.6676294552735178E-2"/>
    <n v="0.1035319953482309"/>
    <n v="0.12020828990096608"/>
    <n v="1.7875364024340286E-4"/>
    <n v="1.8738838443544533E-3"/>
    <n v="8.0734355968508937E-4"/>
    <n v="101764705.88235295"/>
    <n v="7.0710758765274171E-3"/>
    <n v="2"/>
    <n v="0"/>
    <n v="0"/>
    <n v="0"/>
    <n v="0"/>
    <n v="0"/>
    <x v="0"/>
    <n v="0"/>
    <n v="0"/>
    <n v="0"/>
    <n v="0"/>
    <n v="2155750000"/>
    <n v="62786000"/>
    <n v="-2092964000"/>
    <n v="2218536000"/>
    <n v="2928973000"/>
    <n v="850666000"/>
    <n v="-2078307000"/>
    <n v="3779639000"/>
    <n v="0.73600883313024734"/>
    <n v="7.3808051573708136E-2"/>
    <n v="1.1722597954361145E-3"/>
    <n v="4.1115826634507453E-4"/>
    <n v="0.58697034293486761"/>
    <n v="0.15415399921602871"/>
    <n v="107"/>
    <n v="1617030787.8226161"/>
    <n v="97"/>
    <n v="1265774443.634197"/>
    <n v="8"/>
    <n v="351256344.18841916"/>
    <n v="2"/>
    <n v="0"/>
    <n v="0.1123586738273807"/>
    <n v="8.7951781080701508E-2"/>
    <n v="2.4406892746679197E-2"/>
    <n v="0"/>
    <n v="95119458.107212707"/>
    <n v="6.6093337545518049E-3"/>
  </r>
  <r>
    <n v="21"/>
    <s v="BMU"/>
    <s v="Bermuda"/>
    <x v="6"/>
    <x v="3"/>
    <n v="0"/>
    <n v="0"/>
    <x v="1"/>
    <s v="na"/>
    <n v="0"/>
    <s v="na"/>
    <n v="7484113000"/>
    <n v="0"/>
    <n v="0"/>
    <n v="0"/>
    <n v="0"/>
    <n v="0"/>
    <n v="0"/>
    <n v="0"/>
    <n v="0"/>
    <n v="0"/>
    <n v="0"/>
    <n v="0"/>
    <n v="0"/>
    <n v="0"/>
    <n v="0"/>
    <n v="0"/>
    <s v="na"/>
    <s v="na"/>
    <s v="na"/>
    <s v="na"/>
    <s v="na"/>
    <x v="1"/>
    <n v="0"/>
    <s v="na"/>
    <s v="na"/>
    <s v="na"/>
    <n v="25093000"/>
    <n v="79000"/>
    <n v="-25014000"/>
    <n v="25172000"/>
    <n v="1119092000"/>
    <n v="26833000"/>
    <n v="-1092259000"/>
    <n v="1145925000"/>
    <n v="2.2422642642427968E-2"/>
    <n v="2.9441359519994039E-3"/>
    <n v="4.4789301881382733E-4"/>
    <n v="1.2969379005199909E-5"/>
    <n v="2.1966533586403998E-2"/>
    <n v="3.3633912261880599E-3"/>
    <s v="na"/>
    <s v="na"/>
    <s v="na"/>
    <s v="na"/>
    <s v="na"/>
    <s v="na"/>
    <s v="na"/>
    <s v="na"/>
    <n v="0"/>
    <n v="0"/>
    <n v="0"/>
    <n v="0"/>
    <n v="0"/>
    <n v="0"/>
  </r>
  <r>
    <n v="22"/>
    <s v="BTN"/>
    <s v="Bhutan"/>
    <x v="0"/>
    <x v="2"/>
    <n v="0"/>
    <n v="0"/>
    <x v="1"/>
    <s v="na"/>
    <n v="0"/>
    <s v="na"/>
    <n v="2530547157.566781"/>
    <n v="0"/>
    <n v="0"/>
    <n v="0"/>
    <n v="0"/>
    <n v="0"/>
    <n v="5060000000"/>
    <n v="0"/>
    <n v="0"/>
    <n v="1.9995675578973939"/>
    <n v="0"/>
    <n v="0"/>
    <n v="2.361363243934423E-3"/>
    <n v="297647058.82352942"/>
    <n v="0.11762162105278788"/>
    <n v="0"/>
    <s v="na"/>
    <s v="na"/>
    <s v="na"/>
    <s v="na"/>
    <s v="na"/>
    <x v="1"/>
    <n v="0"/>
    <s v="na"/>
    <s v="na"/>
    <s v="na"/>
    <n v="10805000"/>
    <n v="46000"/>
    <n v="-10759000"/>
    <n v="10851000"/>
    <n v="825067000"/>
    <n v="279132000"/>
    <n v="-545935000"/>
    <n v="1104199000"/>
    <n v="1.3095906150652007E-2"/>
    <n v="1.6479658369516931E-4"/>
    <n v="3.3021570108057968E-4"/>
    <n v="1.3491479523271573E-4"/>
    <n v="9.8270329895245329E-3"/>
    <n v="4.2880054487637589E-3"/>
    <n v="0"/>
    <s v="na"/>
    <s v="na"/>
    <s v="na"/>
    <s v="na"/>
    <s v="na"/>
    <s v="na"/>
    <s v="na"/>
    <n v="0"/>
    <n v="0"/>
    <n v="0"/>
    <n v="0"/>
    <n v="0"/>
    <n v="0"/>
  </r>
  <r>
    <n v="23"/>
    <s v="BOL"/>
    <s v="Bolivia"/>
    <x v="4"/>
    <x v="2"/>
    <n v="2"/>
    <n v="0"/>
    <x v="0"/>
    <n v="2018"/>
    <n v="0"/>
    <s v="na"/>
    <n v="40895322850.940666"/>
    <n v="1"/>
    <n v="170000000"/>
    <n v="17"/>
    <n v="4890000000"/>
    <n v="18"/>
    <n v="5060000000"/>
    <n v="4.1569545891502772E-3"/>
    <n v="0.11957357612320503"/>
    <n v="0.1237305307123553"/>
    <n v="1.2661716183907704E-4"/>
    <n v="6.1498604019417967E-3"/>
    <n v="2.361363243934423E-3"/>
    <n v="297647058.82352942"/>
    <n v="7.2782665124914887E-3"/>
    <n v="3"/>
    <n v="0"/>
    <n v="0"/>
    <n v="0"/>
    <n v="0"/>
    <n v="0"/>
    <x v="0"/>
    <n v="0"/>
    <n v="0"/>
    <n v="0"/>
    <n v="0"/>
    <n v="2126481000"/>
    <n v="403561000"/>
    <n v="-1722920000"/>
    <n v="2530042000"/>
    <n v="9784564000"/>
    <n v="8924398000"/>
    <n v="-860166000"/>
    <n v="18708962000"/>
    <n v="0.21733017434399735"/>
    <n v="4.5219968898742524E-2"/>
    <n v="3.916065799538463E-3"/>
    <n v="4.3134908528769823E-3"/>
    <n v="0.13523155373344603"/>
    <n v="6.1866292368487917E-2"/>
    <n v="103"/>
    <n v="5775620046.4463949"/>
    <n v="73"/>
    <n v="461907741.31260389"/>
    <n v="18"/>
    <n v="3300493884.6819634"/>
    <n v="12"/>
    <n v="2013218420.4518256"/>
    <n v="0.14122935445449222"/>
    <n v="1.1294879441255692E-2"/>
    <n v="8.0705901178771258E-2"/>
    <n v="4.9228573834465231E-2"/>
    <n v="339742355.67331737"/>
    <n v="8.3076090855583665E-3"/>
  </r>
  <r>
    <n v="24"/>
    <s v="BIH"/>
    <s v="Bosnia and Herzegovina"/>
    <x v="1"/>
    <x v="1"/>
    <n v="0"/>
    <n v="0"/>
    <x v="0"/>
    <n v="2017"/>
    <n v="0"/>
    <s v="na"/>
    <n v="20202479537.519318"/>
    <n v="2"/>
    <n v="990000000"/>
    <n v="6"/>
    <n v="1500000000"/>
    <n v="8"/>
    <n v="2490000000"/>
    <n v="4.9003885793395194E-2"/>
    <n v="7.4248311808174539E-2"/>
    <n v="0.12325219760156973"/>
    <n v="7.3735876600403681E-4"/>
    <n v="1.886460245994416E-3"/>
    <n v="1.1620147188531056E-3"/>
    <n v="146470588.2352941"/>
    <n v="7.2501292706805718E-3"/>
    <n v="0"/>
    <s v="na"/>
    <s v="na"/>
    <s v="na"/>
    <s v="na"/>
    <s v="na"/>
    <x v="1"/>
    <n v="0"/>
    <s v="na"/>
    <s v="na"/>
    <s v="na"/>
    <n v="829556000"/>
    <n v="17149000"/>
    <n v="-812407000"/>
    <n v="846705000"/>
    <n v="11159373000"/>
    <n v="6578244000"/>
    <n v="-4581129000"/>
    <n v="17737617000"/>
    <n v="7.4337151379383057E-2"/>
    <n v="2.6069267117486065E-3"/>
    <n v="4.466304165376498E-3"/>
    <n v="3.1795080544360409E-3"/>
    <n v="4.7734991684621447E-2"/>
    <n v="4.1910944566360284E-2"/>
    <n v="29"/>
    <n v="3078201914.6931601"/>
    <n v="20"/>
    <n v="58625691.477180719"/>
    <n v="7"/>
    <n v="2472009080.1990881"/>
    <n v="2"/>
    <n v="547567143.01689136"/>
    <n v="0.1523675303804384"/>
    <n v="2.9019057471783697E-3"/>
    <n v="0.12236166731950708"/>
    <n v="2.7103957313752966E-2"/>
    <n v="181070700.86430353"/>
    <n v="8.9627959047316706E-3"/>
  </r>
  <r>
    <n v="25"/>
    <s v="BWA"/>
    <s v="Botswana"/>
    <x v="3"/>
    <x v="1"/>
    <n v="0"/>
    <n v="0"/>
    <x v="0"/>
    <s v="na"/>
    <n v="0"/>
    <s v="na"/>
    <n v="18362348887.587276"/>
    <n v="6"/>
    <n v="1640000000"/>
    <n v="0"/>
    <n v="0"/>
    <n v="6"/>
    <n v="1640000000"/>
    <n v="8.9313192448304907E-2"/>
    <n v="0"/>
    <n v="8.9313192448304907E-2"/>
    <n v="1.2214832083299197E-3"/>
    <n v="0"/>
    <n v="7.6534302767835064E-4"/>
    <n v="96470588.235294119"/>
    <n v="5.2537172028414656E-3"/>
    <n v="0"/>
    <s v="na"/>
    <s v="na"/>
    <s v="na"/>
    <s v="na"/>
    <s v="na"/>
    <x v="1"/>
    <n v="0"/>
    <s v="na"/>
    <s v="na"/>
    <s v="na"/>
    <n v="125605000"/>
    <n v="80000"/>
    <n v="-125525000"/>
    <n v="125685000"/>
    <n v="6558523000"/>
    <n v="5238079000"/>
    <n v="-1320444000"/>
    <n v="11796602000"/>
    <n v="1.9151415646480159E-2"/>
    <n v="1.5272774618328589E-5"/>
    <n v="2.6249107896669081E-3"/>
    <n v="2.5317568594707463E-3"/>
    <n v="1.0654339274987832E-2"/>
    <n v="6.8447125566251238E-3"/>
    <n v="88"/>
    <n v="1396734348.6575637"/>
    <n v="77"/>
    <n v="306931187.79204851"/>
    <n v="9"/>
    <n v="1089803160.8655152"/>
    <n v="2"/>
    <n v="0"/>
    <n v="7.606512419561634E-2"/>
    <n v="1.6715246490035394E-2"/>
    <n v="5.934987770558095E-2"/>
    <n v="0"/>
    <n v="82160844.038680211"/>
    <n v="4.474419070330372E-3"/>
  </r>
  <r>
    <n v="26"/>
    <s v="BRA"/>
    <s v="Brazil"/>
    <x v="4"/>
    <x v="1"/>
    <n v="3"/>
    <n v="0"/>
    <x v="1"/>
    <s v="na"/>
    <n v="0"/>
    <s v="na"/>
    <n v="1877810514260.3599"/>
    <n v="83"/>
    <n v="70650000000"/>
    <n v="0"/>
    <n v="0"/>
    <n v="83"/>
    <n v="70650000000"/>
    <n v="3.76236044390389E-2"/>
    <n v="0"/>
    <n v="3.76236044390389E-2"/>
    <n v="5.2620602846651723E-2"/>
    <n v="0"/>
    <n v="3.2970417625289919E-2"/>
    <n v="4155882352.9411764"/>
    <n v="2.213153202296406E-3"/>
    <n v="2"/>
    <n v="0"/>
    <n v="0"/>
    <n v="0"/>
    <n v="0"/>
    <n v="0"/>
    <x v="0"/>
    <n v="0"/>
    <n v="0"/>
    <n v="0"/>
    <n v="0"/>
    <n v="35270401000"/>
    <n v="62871652000"/>
    <n v="27601251000"/>
    <n v="98142053000"/>
    <n v="177341225000"/>
    <n v="223998669000"/>
    <n v="46657444000"/>
    <n v="401339894000"/>
    <n v="0.198884387992696"/>
    <n v="0.2806786856398687"/>
    <n v="7.0977092701397362E-2"/>
    <n v="0.10826682200727923"/>
    <n v="0.24453600169635764"/>
    <n v="5.2264087486301361E-2"/>
    <n v="134"/>
    <n v="86545385555.985641"/>
    <n v="3"/>
    <n v="106800.932812163"/>
    <n v="121"/>
    <n v="84174056309.357697"/>
    <n v="10"/>
    <n v="2371222445.6951041"/>
    <n v="4.6088455091047628E-2"/>
    <n v="5.6875244866881685E-8"/>
    <n v="4.4825639046180622E-2"/>
    <n v="1.2627591696221232E-3"/>
    <n v="5090905032.7050381"/>
    <n v="2.7110855935910368E-3"/>
  </r>
  <r>
    <n v="27"/>
    <s v="VGB"/>
    <s v="British Virgin Islands"/>
    <x v="4"/>
    <x v="3"/>
    <n v="0"/>
    <n v="0"/>
    <x v="1"/>
    <s v="na"/>
    <n v="0"/>
    <s v="na"/>
    <s v="na"/>
    <n v="0"/>
    <n v="0"/>
    <n v="0"/>
    <n v="0"/>
    <n v="0"/>
    <n v="0"/>
    <n v="0"/>
    <n v="0"/>
    <n v="0"/>
    <n v="0"/>
    <n v="0"/>
    <n v="0"/>
    <n v="0"/>
    <n v="0"/>
    <n v="0"/>
    <s v="na"/>
    <s v="na"/>
    <s v="na"/>
    <s v="na"/>
    <s v="na"/>
    <x v="1"/>
    <n v="0"/>
    <s v="na"/>
    <s v="na"/>
    <s v="na"/>
    <n v="10403000"/>
    <n v="495000"/>
    <n v="-9908000"/>
    <n v="10898000"/>
    <n v="1822591000"/>
    <n v="411592000"/>
    <n v="-1410999000"/>
    <n v="2234183000"/>
    <n v="5.7078082795317215E-3"/>
    <n v="1.2026472817741841E-3"/>
    <n v="7.2945368660745711E-4"/>
    <n v="1.9893760084628036E-4"/>
    <n v="4.8778457270510066E-3"/>
    <s v="na"/>
    <n v="0"/>
    <s v="na"/>
    <s v="na"/>
    <s v="na"/>
    <s v="na"/>
    <s v="na"/>
    <s v="na"/>
    <s v="na"/>
    <n v="0"/>
    <n v="0"/>
    <n v="0"/>
    <n v="0"/>
    <n v="0"/>
    <n v="0"/>
  </r>
  <r>
    <n v="28"/>
    <s v="BRN"/>
    <s v="Brunei"/>
    <x v="5"/>
    <x v="3"/>
    <n v="0"/>
    <n v="1"/>
    <x v="0"/>
    <n v="2018"/>
    <n v="0"/>
    <s v="na"/>
    <n v="13469422941.391878"/>
    <n v="1"/>
    <n v="140000000"/>
    <n v="3"/>
    <n v="3970000000"/>
    <n v="4"/>
    <n v="4110000000"/>
    <n v="1.0393912241761779E-2"/>
    <n v="0.29474165428424476"/>
    <n v="0.30513556652600654"/>
    <n v="1.0427295680865167E-4"/>
    <n v="4.9928314510652213E-3"/>
    <n v="1.9180242949744029E-3"/>
    <n v="241764705.88235295"/>
    <n v="1.7949150972118032E-2"/>
    <n v="1"/>
    <n v="0"/>
    <n v="0"/>
    <n v="0"/>
    <n v="0"/>
    <n v="0"/>
    <x v="0"/>
    <n v="0"/>
    <n v="0"/>
    <n v="0"/>
    <n v="0"/>
    <n v="670827000"/>
    <n v="428506000"/>
    <n v="-242321000"/>
    <n v="1099333000"/>
    <n v="5101654000"/>
    <n v="7249807000"/>
    <n v="2148153000"/>
    <n v="12351461000"/>
    <n v="0.1314920612021121"/>
    <n v="5.9105849300539998E-2"/>
    <n v="2.0418296359938572E-3"/>
    <n v="3.5040992321973448E-3"/>
    <n v="8.9004288642452911E-2"/>
    <n v="8.1616933760519303E-2"/>
    <n v="26"/>
    <n v="1770880321.4632452"/>
    <n v="0"/>
    <n v="0"/>
    <n v="26"/>
    <n v="1770880321.4632452"/>
    <n v="0"/>
    <n v="0"/>
    <n v="0.13147410465679898"/>
    <n v="0"/>
    <n v="0.13147410465679898"/>
    <n v="0"/>
    <n v="104169430.67430854"/>
    <n v="7.733770862164647E-3"/>
  </r>
  <r>
    <n v="29"/>
    <s v="BGR"/>
    <s v="Bulgaria"/>
    <x v="1"/>
    <x v="1"/>
    <n v="0"/>
    <n v="0"/>
    <x v="0"/>
    <n v="2015"/>
    <n v="0"/>
    <s v="na"/>
    <n v="68558815111.619919"/>
    <n v="2"/>
    <n v="330000000"/>
    <n v="1"/>
    <n v="130000000"/>
    <n v="3"/>
    <n v="460000000"/>
    <n v="4.8133854043820668E-3"/>
    <n v="1.8961821289989961E-3"/>
    <n v="6.7095675333810629E-3"/>
    <n v="2.4578625533467897E-4"/>
    <n v="1.6349322131951606E-4"/>
    <n v="2.1466938581222029E-4"/>
    <n v="27058823.529411763"/>
    <n v="3.9468044314006252E-4"/>
    <n v="0"/>
    <s v="na"/>
    <s v="na"/>
    <s v="na"/>
    <s v="na"/>
    <s v="na"/>
    <x v="1"/>
    <n v="0"/>
    <s v="na"/>
    <s v="na"/>
    <s v="na"/>
    <n v="1703728000"/>
    <n v="923172000"/>
    <n v="-780556000"/>
    <n v="2626900000"/>
    <n v="37674821000"/>
    <n v="33351426000"/>
    <n v="-4323395000"/>
    <n v="71026247000"/>
    <n v="4.5221926867283588E-2"/>
    <n v="2.7680135775903555E-2"/>
    <n v="1.5078554141179257E-2"/>
    <n v="1.6119974813024202E-2"/>
    <n v="3.6984919110255116E-2"/>
    <n v="3.8316006420518946E-2"/>
    <n v="42"/>
    <n v="743441449.33620834"/>
    <n v="0"/>
    <n v="0"/>
    <n v="42"/>
    <n v="743441449.33620834"/>
    <n v="0"/>
    <n v="0"/>
    <n v="1.0843849155295621E-2"/>
    <n v="0"/>
    <n v="1.0843849155295621E-2"/>
    <n v="0"/>
    <n v="43731849.960953429"/>
    <n v="6.378734797232718E-4"/>
  </r>
  <r>
    <n v="30"/>
    <s v="BFA"/>
    <s v="Burkina Faso"/>
    <x v="3"/>
    <x v="0"/>
    <n v="0"/>
    <n v="0"/>
    <x v="1"/>
    <s v="na"/>
    <n v="1"/>
    <n v="2018"/>
    <n v="15990803569.996128"/>
    <n v="0"/>
    <n v="0"/>
    <n v="0"/>
    <n v="0"/>
    <n v="0"/>
    <n v="0"/>
    <n v="0"/>
    <n v="0"/>
    <n v="0"/>
    <n v="0"/>
    <n v="0"/>
    <n v="0"/>
    <n v="0"/>
    <n v="0"/>
    <n v="0"/>
    <s v="na"/>
    <s v="na"/>
    <s v="na"/>
    <s v="na"/>
    <s v="na"/>
    <x v="1"/>
    <n v="0"/>
    <s v="na"/>
    <s v="na"/>
    <s v="na"/>
    <n v="520739000"/>
    <n v="13757000"/>
    <n v="-506982000"/>
    <n v="534496000"/>
    <n v="4259342000"/>
    <n v="3261124000"/>
    <n v="-998218000"/>
    <n v="7520466000"/>
    <n v="0.1222580858733579"/>
    <n v="4.2184841790744538E-3"/>
    <n v="1.7047119866289142E-3"/>
    <n v="1.5762215607257315E-3"/>
    <n v="7.1072191537066981E-2"/>
    <n v="3.3425212038930036E-2"/>
    <n v="0"/>
    <s v="na"/>
    <s v="na"/>
    <s v="na"/>
    <s v="na"/>
    <s v="na"/>
    <s v="na"/>
    <s v="na"/>
    <n v="0"/>
    <n v="0"/>
    <n v="0"/>
    <n v="0"/>
    <n v="0"/>
    <n v="0"/>
  </r>
  <r>
    <n v="31"/>
    <s v="BDI"/>
    <s v="Burundi"/>
    <x v="3"/>
    <x v="0"/>
    <n v="0"/>
    <n v="0"/>
    <x v="0"/>
    <n v="2018"/>
    <n v="0"/>
    <s v="na"/>
    <n v="3012308945.6267095"/>
    <n v="0"/>
    <n v="0"/>
    <n v="0"/>
    <n v="0"/>
    <n v="0"/>
    <n v="0"/>
    <n v="0"/>
    <n v="0"/>
    <n v="0"/>
    <n v="0"/>
    <n v="0"/>
    <n v="0"/>
    <n v="0"/>
    <n v="0"/>
    <n v="0"/>
    <s v="na"/>
    <s v="na"/>
    <s v="na"/>
    <s v="na"/>
    <s v="na"/>
    <x v="1"/>
    <n v="0"/>
    <s v="na"/>
    <s v="na"/>
    <s v="na"/>
    <n v="136273000"/>
    <n v="5550000"/>
    <n v="-130723000"/>
    <n v="141823000"/>
    <n v="887345000"/>
    <n v="180772000"/>
    <n v="-706573000"/>
    <n v="1068117000"/>
    <n v="0.1535738636043478"/>
    <n v="3.0701657336313144E-2"/>
    <n v="3.5514115977895976E-4"/>
    <n v="8.7373777867849226E-5"/>
    <n v="0.13277852519901845"/>
    <n v="4.7081160186407706E-2"/>
    <n v="113"/>
    <n v="585558908.34845948"/>
    <n v="110"/>
    <n v="568921147.99284697"/>
    <n v="3"/>
    <n v="16637760.3556125"/>
    <n v="0"/>
    <n v="0"/>
    <n v="0.19438872934948384"/>
    <n v="0.1888654710596038"/>
    <n v="5.5232582898800311E-3"/>
    <n v="0"/>
    <n v="34444641.667556442"/>
    <n v="1.1434631138204933E-2"/>
  </r>
  <r>
    <n v="32"/>
    <s v="CPV"/>
    <s v="Cabo Verde"/>
    <x v="3"/>
    <x v="2"/>
    <n v="0"/>
    <n v="0"/>
    <x v="0"/>
    <n v="2018"/>
    <n v="0"/>
    <s v="na"/>
    <n v="1981845740.7061462"/>
    <n v="0"/>
    <n v="0"/>
    <n v="1"/>
    <n v="130000000"/>
    <n v="1"/>
    <n v="130000000"/>
    <n v="0"/>
    <n v="6.5595418114469409E-2"/>
    <n v="6.5595418114469409E-2"/>
    <n v="0"/>
    <n v="1.6349322131951606E-4"/>
    <n v="6.0667435120844866E-5"/>
    <n v="7647058.823529412"/>
    <n v="3.858554006733495E-3"/>
    <n v="0"/>
    <s v="na"/>
    <s v="na"/>
    <s v="na"/>
    <s v="na"/>
    <s v="na"/>
    <x v="1"/>
    <n v="0"/>
    <s v="na"/>
    <s v="na"/>
    <s v="na"/>
    <n v="40821000"/>
    <n v="68000"/>
    <n v="-40753000"/>
    <n v="40889000"/>
    <n v="789807000"/>
    <n v="61879000"/>
    <n v="-727928000"/>
    <n v="851686000"/>
    <n v="5.1684778686438587E-2"/>
    <n v="1.0989188577708107E-3"/>
    <n v="3.1610362821849543E-4"/>
    <n v="2.9908403960152251E-5"/>
    <n v="4.8009477671348361E-2"/>
    <n v="2.0631777317557998E-2"/>
    <n v="85"/>
    <n v="611101411.19392717"/>
    <n v="79"/>
    <n v="604429871.12164521"/>
    <n v="4"/>
    <n v="804822.50858124765"/>
    <n v="2"/>
    <n v="5866717.5637008101"/>
    <n v="0.30834963521236886"/>
    <n v="0.3049833085930706"/>
    <n v="4.0609745352556222E-4"/>
    <n v="2.9602291657727384E-3"/>
    <n v="35947141.834936894"/>
    <n v="1.81382138360217E-2"/>
  </r>
  <r>
    <n v="33"/>
    <s v="KHM"/>
    <s v="Cambodia"/>
    <x v="5"/>
    <x v="2"/>
    <n v="4"/>
    <n v="1"/>
    <x v="0"/>
    <n v="2013"/>
    <n v="0"/>
    <s v="na"/>
    <n v="27089389786.968418"/>
    <n v="15"/>
    <n v="5690000000"/>
    <n v="32"/>
    <n v="12530000000"/>
    <n v="47"/>
    <n v="18220000000"/>
    <n v="0.21004533674424897"/>
    <n v="0.46254271870042873"/>
    <n v="0.6725880554446777"/>
    <n v="4.2379508874373431E-3"/>
    <n v="1.5758231254873356E-2"/>
    <n v="8.5027743684753347E-3"/>
    <n v="1071764705.8823529"/>
    <n v="3.9564003261451632E-2"/>
    <n v="1"/>
    <n v="2"/>
    <n v="135000000"/>
    <n v="1"/>
    <n v="50000000"/>
    <n v="0"/>
    <x v="0"/>
    <n v="3"/>
    <n v="185000000"/>
    <n v="6.8292420558323476E-3"/>
    <n v="4.641217574509731E-3"/>
    <n v="7585748000"/>
    <n v="1012148000"/>
    <n v="-6573600000"/>
    <n v="8597896000"/>
    <n v="20279485000"/>
    <n v="14824722000"/>
    <n v="-5454763000"/>
    <n v="35104207000"/>
    <n v="0.37406018939830077"/>
    <n v="6.827433256421267E-2"/>
    <n v="8.1164370370262039E-3"/>
    <n v="7.1653351568861179E-3"/>
    <n v="0.24492494589038857"/>
    <n v="0.31738979975606874"/>
    <n v="308"/>
    <n v="14819153501.184505"/>
    <n v="199"/>
    <n v="3733341709.0953841"/>
    <n v="97"/>
    <n v="10598719750.883251"/>
    <n v="12"/>
    <n v="487092041.20587224"/>
    <n v="0.5470464125520238"/>
    <n v="0.13781564437052546"/>
    <n v="0.39124985222006942"/>
    <n v="1.7980915961429002E-2"/>
    <n v="871714911.83438265"/>
    <n v="3.2179200738354341E-2"/>
  </r>
  <r>
    <n v="34"/>
    <s v="CMR"/>
    <s v="Cameroon"/>
    <x v="3"/>
    <x v="2"/>
    <n v="0"/>
    <n v="0"/>
    <x v="0"/>
    <n v="2015"/>
    <n v="0"/>
    <s v="na"/>
    <n v="39007354359.279823"/>
    <n v="15"/>
    <n v="5970000000"/>
    <n v="10"/>
    <n v="3990000000"/>
    <n v="25"/>
    <n v="9960000000"/>
    <n v="0.15304806229648182"/>
    <n v="0.10228840344438232"/>
    <n v="0.25533646574086416"/>
    <n v="4.4464968010546465E-3"/>
    <n v="5.017984254345147E-3"/>
    <n v="4.6480588754124223E-3"/>
    <n v="585882352.94117641"/>
    <n v="1.5019792102403772E-2"/>
    <n v="0"/>
    <s v="na"/>
    <s v="na"/>
    <s v="na"/>
    <s v="na"/>
    <s v="na"/>
    <x v="1"/>
    <n v="0"/>
    <s v="na"/>
    <s v="na"/>
    <s v="na"/>
    <n v="1676311000"/>
    <n v="1015043000"/>
    <n v="-661268000"/>
    <n v="2691354000"/>
    <n v="6165015000"/>
    <n v="5721600000"/>
    <n v="-443415000"/>
    <n v="11886615000"/>
    <n v="0.27190704321076264"/>
    <n v="0.17740544602908279"/>
    <n v="2.4674174950607528E-3"/>
    <n v="2.7654604001100063E-3"/>
    <n v="0.22641887534844865"/>
    <n v="6.8996066106178477E-2"/>
    <n v="132"/>
    <n v="6758834345.7368317"/>
    <n v="103"/>
    <n v="1578225644.3265741"/>
    <n v="18"/>
    <n v="4176630992.847837"/>
    <n v="11"/>
    <n v="1003977708.5624185"/>
    <n v="0.17327077051891651"/>
    <n v="4.0459694594773644E-2"/>
    <n v="0.10707291128689991"/>
    <n v="2.5738164637242895E-2"/>
    <n v="397578490.92569596"/>
    <n v="1.0192398265818617E-2"/>
  </r>
  <r>
    <n v="35"/>
    <s v="CAN"/>
    <s v="Canada"/>
    <x v="6"/>
    <x v="3"/>
    <n v="2"/>
    <n v="0"/>
    <x v="1"/>
    <s v="na"/>
    <n v="0"/>
    <s v="na"/>
    <n v="1741576393905.9792"/>
    <n v="71"/>
    <n v="57130000000"/>
    <n v="0"/>
    <n v="0"/>
    <n v="71"/>
    <n v="57130000000"/>
    <n v="3.2803614127927955E-2"/>
    <n v="0"/>
    <n v="3.2803614127927955E-2"/>
    <n v="4.2550814446273358E-2"/>
    <n v="0"/>
    <n v="2.6661004372722053E-2"/>
    <n v="3360588235.2941175"/>
    <n v="1.9296243604663501E-3"/>
    <n v="2"/>
    <n v="0"/>
    <n v="0"/>
    <n v="0"/>
    <n v="0"/>
    <n v="0"/>
    <x v="0"/>
    <n v="0"/>
    <n v="0"/>
    <n v="0"/>
    <n v="0"/>
    <n v="56516369000"/>
    <n v="17521099000"/>
    <n v="-38995270000"/>
    <n v="74037468000"/>
    <n v="453157225000"/>
    <n v="446562311000"/>
    <n v="-6594914000"/>
    <n v="899719536000"/>
    <n v="0.12471691033945227"/>
    <n v="3.923550771842902E-2"/>
    <n v="0.18136664144015577"/>
    <n v="0.21584004251470026"/>
    <n v="8.2289496934964859E-2"/>
    <n v="4.2511754442163728E-2"/>
    <s v="na"/>
    <s v="na"/>
    <s v="na"/>
    <s v="na"/>
    <s v="na"/>
    <s v="na"/>
    <s v="na"/>
    <s v="na"/>
    <n v="0"/>
    <n v="0"/>
    <n v="0"/>
    <n v="0"/>
    <n v="0"/>
    <n v="0"/>
  </r>
  <r>
    <n v="36"/>
    <s v="CYM"/>
    <s v="Cayman Islands"/>
    <x v="4"/>
    <x v="3"/>
    <n v="0"/>
    <n v="0"/>
    <x v="1"/>
    <s v="na"/>
    <n v="0"/>
    <s v="na"/>
    <n v="5935769350.7740307"/>
    <n v="0"/>
    <n v="0"/>
    <n v="0"/>
    <n v="0"/>
    <n v="0"/>
    <n v="0"/>
    <n v="0"/>
    <n v="0"/>
    <n v="0"/>
    <n v="0"/>
    <n v="0"/>
    <n v="0"/>
    <n v="0"/>
    <n v="0"/>
    <n v="0"/>
    <s v="na"/>
    <s v="na"/>
    <s v="na"/>
    <s v="na"/>
    <s v="na"/>
    <x v="1"/>
    <n v="0"/>
    <s v="na"/>
    <s v="na"/>
    <s v="na"/>
    <n v="38326000"/>
    <n v="82000"/>
    <n v="-38244000"/>
    <n v="38408000"/>
    <n v="4477846000"/>
    <n v="1535610000"/>
    <n v="-2942236000"/>
    <n v="6013456000"/>
    <n v="8.5590259245181717E-3"/>
    <n v="5.33989750001628E-5"/>
    <n v="1.7921636136469759E-3"/>
    <n v="7.4221697514907149E-4"/>
    <n v="6.3870094002517024E-3"/>
    <n v="6.4706018260280874E-3"/>
    <n v="0"/>
    <s v="na"/>
    <s v="na"/>
    <s v="na"/>
    <s v="na"/>
    <s v="na"/>
    <s v="na"/>
    <s v="na"/>
    <n v="0"/>
    <n v="0"/>
    <n v="0"/>
    <n v="0"/>
    <n v="0"/>
    <n v="0"/>
  </r>
  <r>
    <n v="37"/>
    <s v="CAF"/>
    <s v="Central African Republic"/>
    <x v="3"/>
    <x v="0"/>
    <n v="0"/>
    <n v="0"/>
    <x v="1"/>
    <s v="na"/>
    <n v="0"/>
    <s v="na"/>
    <n v="2220307318.7488565"/>
    <n v="0"/>
    <n v="0"/>
    <n v="0"/>
    <n v="0"/>
    <n v="0"/>
    <n v="0"/>
    <n v="0"/>
    <n v="0"/>
    <n v="0"/>
    <n v="0"/>
    <n v="0"/>
    <n v="0"/>
    <n v="0"/>
    <n v="0"/>
    <n v="0"/>
    <s v="na"/>
    <s v="na"/>
    <s v="na"/>
    <s v="na"/>
    <s v="na"/>
    <x v="1"/>
    <n v="0"/>
    <s v="na"/>
    <s v="na"/>
    <s v="na"/>
    <n v="103158000"/>
    <n v="7442000"/>
    <n v="-95716000"/>
    <n v="110600000"/>
    <n v="567832000"/>
    <n v="125191000"/>
    <n v="-442641000"/>
    <n v="693023000"/>
    <n v="0.18166993054283662"/>
    <n v="5.9445167783626615E-2"/>
    <n v="2.2726280650660821E-4"/>
    <n v="6.0509429696268848E-5"/>
    <n v="0.15959066293615073"/>
    <n v="4.9812924123640287E-2"/>
    <n v="107"/>
    <n v="474603128.61500078"/>
    <n v="101"/>
    <n v="287310403.61804402"/>
    <n v="1"/>
    <n v="119460798.289351"/>
    <n v="5"/>
    <n v="67831926.707605794"/>
    <n v="0.21375560248229047"/>
    <n v="0.12940118748063376"/>
    <n v="5.3803722250786064E-2"/>
    <n v="3.0550692750870675E-2"/>
    <n v="27917831.095000047"/>
    <n v="1.2573858969546499E-2"/>
  </r>
  <r>
    <n v="38"/>
    <s v="TCD"/>
    <s v="Chad"/>
    <x v="3"/>
    <x v="0"/>
    <n v="0"/>
    <n v="0"/>
    <x v="0"/>
    <n v="2018"/>
    <n v="1"/>
    <n v="2006"/>
    <n v="11314951342.780731"/>
    <n v="5"/>
    <n v="7730000000"/>
    <n v="3"/>
    <n v="550000000"/>
    <n v="8"/>
    <n v="8280000000"/>
    <n v="0.6831668794521123"/>
    <n v="4.8608251448727269E-2"/>
    <n v="0.73177513090083957"/>
    <n v="5.7573568295062674E-3"/>
    <n v="6.9170209019795261E-4"/>
    <n v="3.8640489446199653E-3"/>
    <n v="487058823.52941179"/>
    <n v="4.3045595935343503E-2"/>
    <n v="0"/>
    <s v="na"/>
    <s v="na"/>
    <s v="na"/>
    <s v="na"/>
    <s v="na"/>
    <x v="1"/>
    <n v="0"/>
    <s v="na"/>
    <s v="na"/>
    <s v="na"/>
    <n v="278769000"/>
    <n v="439827000"/>
    <n v="161058000"/>
    <n v="718596000"/>
    <n v="1006326000"/>
    <n v="1319682000"/>
    <n v="313356000"/>
    <n v="2326008000"/>
    <n v="0.27701659303247655"/>
    <n v="0.3332825635266678"/>
    <n v="4.0276080076601708E-4"/>
    <n v="6.3785100526740309E-4"/>
    <n v="0.3089396081182868"/>
    <n v="6.3508536469181129E-2"/>
    <n v="96"/>
    <n v="4127853844.9958119"/>
    <n v="85"/>
    <n v="2946617135.621397"/>
    <n v="6"/>
    <n v="736995321.85174417"/>
    <n v="5"/>
    <n v="444241387.52267027"/>
    <n v="0.3648141048020947"/>
    <n v="0.26041801209347881"/>
    <n v="6.5134643492918656E-2"/>
    <n v="3.9261449215697179E-2"/>
    <n v="242814932.05857718"/>
    <n v="2.145965322365263E-2"/>
  </r>
  <r>
    <n v="39"/>
    <s v="CHL"/>
    <s v="Chile"/>
    <x v="4"/>
    <x v="3"/>
    <n v="2"/>
    <n v="1"/>
    <x v="0"/>
    <n v="2018"/>
    <n v="0"/>
    <s v="na"/>
    <n v="279385487344.5257"/>
    <n v="2"/>
    <n v="2100000000"/>
    <n v="11"/>
    <n v="13110000000"/>
    <n v="13"/>
    <n v="15210000000"/>
    <n v="7.5164963647892484E-3"/>
    <n v="4.6924413020184311E-2"/>
    <n v="5.4440909384973556E-2"/>
    <n v="1.5640943521297752E-3"/>
    <n v="1.6487662549991195E-2"/>
    <n v="7.0980899091388494E-3"/>
    <n v="894705882.35294116"/>
    <n v="3.2024064344102093E-3"/>
    <n v="2"/>
    <n v="0"/>
    <n v="0"/>
    <n v="0"/>
    <n v="0"/>
    <n v="0"/>
    <x v="0"/>
    <n v="0"/>
    <n v="0"/>
    <n v="0"/>
    <n v="0"/>
    <n v="14642138000"/>
    <n v="21677089000"/>
    <n v="7034951000"/>
    <n v="36319227000"/>
    <n v="64119106000"/>
    <n v="69145962000"/>
    <n v="5026856000"/>
    <n v="133265068000"/>
    <n v="0.22835842408657414"/>
    <n v="0.31349754017450793"/>
    <n v="2.5662322624041445E-2"/>
    <n v="3.3420794836848317E-2"/>
    <n v="0.27253373704803124"/>
    <n v="0.12999682748450264"/>
    <n v="32"/>
    <n v="1502672359.4791894"/>
    <n v="8"/>
    <n v="6355155.097238021"/>
    <n v="21"/>
    <n v="1215003113.1098843"/>
    <n v="3"/>
    <n v="281314091.27206707"/>
    <n v="5.3784911083307671E-3"/>
    <n v="2.2746904850505452E-5"/>
    <n v="4.3488411823324122E-3"/>
    <n v="1.0069030211478491E-3"/>
    <n v="88392491.734069958"/>
    <n v="3.1638182990180978E-4"/>
  </r>
  <r>
    <n v="40"/>
    <s v="CHN"/>
    <s v="China"/>
    <x v="5"/>
    <x v="1"/>
    <n v="0"/>
    <s v="na"/>
    <x v="0"/>
    <n v="2013"/>
    <n v="0"/>
    <s v="na"/>
    <s v="na"/>
    <n v="0"/>
    <n v="0"/>
    <n v="0"/>
    <n v="0"/>
    <n v="0"/>
    <n v="0"/>
    <n v="0"/>
    <n v="0"/>
    <n v="0"/>
    <n v="0"/>
    <n v="0"/>
    <n v="0"/>
    <n v="0"/>
    <n v="0"/>
    <n v="1"/>
    <n v="7"/>
    <n v="1610000000"/>
    <n v="4"/>
    <n v="1500000000"/>
    <n v="0"/>
    <x v="0"/>
    <n v="11"/>
    <n v="3110000000"/>
    <s v="na"/>
    <n v="7.8022630576893306E-2"/>
    <s v="na"/>
    <s v="na"/>
    <s v="na"/>
    <s v="na"/>
    <n v="2068950255000"/>
    <n v="2498569866000"/>
    <n v="429619611000"/>
    <n v="4567520121000"/>
    <s v="na"/>
    <s v="na"/>
    <s v="na"/>
    <s v="na"/>
    <s v="na"/>
    <s v="na"/>
    <s v="na"/>
    <s v="na"/>
    <s v="na"/>
    <s v="na"/>
    <s v="na"/>
    <s v="na"/>
    <s v="na"/>
    <s v="na"/>
    <n v="0"/>
    <n v="0"/>
    <n v="0"/>
    <n v="0"/>
    <n v="0"/>
    <n v="0"/>
  </r>
  <r>
    <n v="41"/>
    <s v="COL"/>
    <s v="Colombia"/>
    <x v="4"/>
    <x v="1"/>
    <n v="0"/>
    <n v="0"/>
    <x v="1"/>
    <s v="na"/>
    <n v="0"/>
    <s v="na"/>
    <n v="323429888934.25677"/>
    <n v="7"/>
    <n v="2440000000"/>
    <n v="0"/>
    <n v="0"/>
    <n v="7"/>
    <n v="2440000000"/>
    <n v="7.5441388798051867E-3"/>
    <n v="0"/>
    <n v="7.5441388798051867E-3"/>
    <n v="1.8173286758079291E-3"/>
    <n v="0"/>
    <n v="1.1386810899604728E-3"/>
    <n v="143529411.7647059"/>
    <n v="4.4377287528265809E-4"/>
    <n v="0"/>
    <s v="na"/>
    <s v="na"/>
    <s v="na"/>
    <s v="na"/>
    <s v="na"/>
    <x v="1"/>
    <n v="0"/>
    <s v="na"/>
    <s v="na"/>
    <s v="na"/>
    <n v="10483257000"/>
    <n v="4564929000"/>
    <n v="-5918328000"/>
    <n v="15048186000"/>
    <n v="50413025000"/>
    <n v="39496225000"/>
    <n v="-10916800000"/>
    <n v="89909250000"/>
    <n v="0.20794739058011297"/>
    <n v="0.1155788686133928"/>
    <n v="2.0176752183723008E-2"/>
    <n v="1.9089982905364733E-2"/>
    <n v="0.167370832255858"/>
    <n v="4.6526887325057421E-2"/>
    <n v="46"/>
    <n v="672303255.93577743"/>
    <n v="34"/>
    <n v="59405922.509903975"/>
    <n v="9"/>
    <n v="510473727.21455789"/>
    <n v="3"/>
    <n v="102423606.21131551"/>
    <n v="2.0786676771002936E-3"/>
    <n v="1.8367480725313965E-4"/>
    <n v="1.5783133986059072E-3"/>
    <n v="3.1667947124124649E-4"/>
    <n v="39547250.349163376"/>
    <n v="1.2227456924119372E-4"/>
  </r>
  <r>
    <n v="42"/>
    <s v="COM"/>
    <s v="Comoros"/>
    <x v="3"/>
    <x v="2"/>
    <n v="0"/>
    <n v="0"/>
    <x v="0"/>
    <s v="na"/>
    <n v="0"/>
    <s v="na"/>
    <n v="1165839899.8026922"/>
    <n v="0"/>
    <n v="0"/>
    <n v="0"/>
    <n v="0"/>
    <n v="0"/>
    <n v="0"/>
    <n v="0"/>
    <n v="0"/>
    <n v="0"/>
    <n v="0"/>
    <n v="0"/>
    <n v="0"/>
    <n v="0"/>
    <n v="0"/>
    <n v="0"/>
    <s v="na"/>
    <s v="na"/>
    <s v="na"/>
    <s v="na"/>
    <s v="na"/>
    <x v="1"/>
    <n v="0"/>
    <s v="na"/>
    <s v="na"/>
    <s v="na"/>
    <n v="19759000"/>
    <n v="14000"/>
    <n v="-19745000"/>
    <n v="19773000"/>
    <n v="203688000"/>
    <n v="49638000"/>
    <n v="-154050000"/>
    <n v="253326000"/>
    <n v="9.7006205569302076E-2"/>
    <n v="2.8204198396389861E-4"/>
    <n v="8.1521834859109749E-5"/>
    <n v="2.3991876982078528E-5"/>
    <n v="7.80535752350726E-2"/>
    <n v="1.6960304758266036E-2"/>
    <n v="68"/>
    <n v="348572569.68054128"/>
    <n v="64"/>
    <n v="201306498.51118547"/>
    <n v="2"/>
    <n v="77587.527207982697"/>
    <n v="2"/>
    <n v="147188483.64214787"/>
    <n v="0.29898836859120537"/>
    <n v="0.17267079171441529"/>
    <n v="6.655075642986115E-5"/>
    <n v="0.12625102612036027"/>
    <n v="20504268.804737721"/>
    <n v="1.7587551093600315E-2"/>
  </r>
  <r>
    <n v="43"/>
    <s v="COG"/>
    <s v="Congo"/>
    <x v="3"/>
    <x v="2"/>
    <n v="0"/>
    <n v="0"/>
    <x v="0"/>
    <s v="na"/>
    <n v="0"/>
    <s v="na"/>
    <n v="12693562947.785587"/>
    <n v="10"/>
    <n v="4280000000"/>
    <n v="12"/>
    <n v="6710000000"/>
    <n v="22"/>
    <n v="10990000000"/>
    <n v="0.33717877459666695"/>
    <n v="0.5286143872765503"/>
    <n v="0.86579316187321731"/>
    <n v="3.1877732510073513E-3"/>
    <n v="8.438765500415021E-3"/>
    <n v="5.1287316306006542E-3"/>
    <n v="646470588.2352941"/>
    <n v="5.0929009521953957E-2"/>
    <n v="0"/>
    <s v="na"/>
    <s v="na"/>
    <s v="na"/>
    <s v="na"/>
    <s v="na"/>
    <x v="1"/>
    <n v="0"/>
    <s v="na"/>
    <s v="na"/>
    <s v="na"/>
    <n v="256304000"/>
    <n v="3333674000"/>
    <n v="3077370000"/>
    <n v="3589978000"/>
    <n v="2302133000"/>
    <n v="5577729000"/>
    <n v="3275596000"/>
    <n v="7879862000"/>
    <n v="0.11133327223057921"/>
    <n v="0.59767586413753693"/>
    <n v="9.2138027890551692E-4"/>
    <n v="2.6959222371443631E-3"/>
    <n v="0.45558894305509412"/>
    <n v="0.28281878104415731"/>
    <n v="168"/>
    <n v="14102108181.011784"/>
    <n v="142"/>
    <n v="8393094901.1244373"/>
    <n v="10"/>
    <n v="2265789246.255024"/>
    <n v="16"/>
    <n v="3443224033.6323285"/>
    <n v="1.1109653167530806"/>
    <n v="0.66120875089595132"/>
    <n v="0.17849907512770435"/>
    <n v="0.27125749072942557"/>
    <n v="829535775.35363436"/>
    <n v="6.535090098547533E-2"/>
  </r>
  <r>
    <n v="44"/>
    <s v="COD"/>
    <s v="Congo, Democratic Republic of the"/>
    <x v="3"/>
    <x v="0"/>
    <n v="1"/>
    <n v="0"/>
    <x v="0"/>
    <n v="2021"/>
    <n v="0"/>
    <s v="na"/>
    <n v="50400746171.423866"/>
    <n v="28"/>
    <n v="16340000000"/>
    <n v="0"/>
    <n v="0"/>
    <n v="28"/>
    <n v="16340000000"/>
    <n v="0.32420154940611629"/>
    <n v="0"/>
    <n v="0.32420154940611629"/>
    <n v="1.2170143673238345E-2"/>
    <n v="0"/>
    <n v="7.625429922112347E-3"/>
    <n v="961176470.58823526"/>
    <n v="1.9070679376830369E-2"/>
    <n v="0"/>
    <s v="na"/>
    <s v="na"/>
    <s v="na"/>
    <s v="na"/>
    <s v="na"/>
    <x v="1"/>
    <n v="0"/>
    <s v="na"/>
    <s v="na"/>
    <s v="na"/>
    <n v="2055303000"/>
    <n v="3565623000"/>
    <n v="1510320000"/>
    <n v="5620926000"/>
    <n v="8824802000"/>
    <n v="13382299000"/>
    <n v="4557497000"/>
    <n v="22207101000"/>
    <n v="0.23290074950123527"/>
    <n v="0.26644323221294042"/>
    <n v="3.5319412597126076E-3"/>
    <n v="6.4681588973244785E-3"/>
    <n v="0.25311390262060768"/>
    <n v="0.11152465840251674"/>
    <n v="249"/>
    <n v="13037513170.499128"/>
    <n v="154"/>
    <n v="1001809010.4741279"/>
    <n v="62"/>
    <n v="10544151469.910511"/>
    <n v="33"/>
    <n v="1491552690.11449"/>
    <n v="0.2586769871651447"/>
    <n v="1.9876868629419855E-2"/>
    <n v="0.20920625726546915"/>
    <n v="2.959386127025572E-2"/>
    <n v="766912539.44112515"/>
    <n v="1.5216293362655571E-2"/>
  </r>
  <r>
    <n v="45"/>
    <s v="COK"/>
    <s v="Cook Islands"/>
    <x v="5"/>
    <x v="1"/>
    <n v="0"/>
    <n v="0"/>
    <x v="0"/>
    <n v="2018"/>
    <n v="0"/>
    <s v="na"/>
    <s v="na"/>
    <n v="0"/>
    <n v="0"/>
    <n v="0"/>
    <n v="0"/>
    <n v="0"/>
    <n v="0"/>
    <n v="0"/>
    <n v="0"/>
    <n v="0"/>
    <n v="0"/>
    <n v="0"/>
    <n v="0"/>
    <n v="0"/>
    <n v="0"/>
    <n v="1"/>
    <n v="1"/>
    <n v="20000000"/>
    <n v="0"/>
    <n v="0"/>
    <n v="0"/>
    <x v="0"/>
    <n v="1"/>
    <n v="20000000"/>
    <s v="na"/>
    <n v="5.0175325129834928E-4"/>
    <n v="42699000"/>
    <n v="1266000"/>
    <n v="-41433000"/>
    <n v="43965000"/>
    <n v="198303000"/>
    <n v="32222000"/>
    <n v="-166081000"/>
    <n v="230525000"/>
    <n v="0.21532200723135808"/>
    <n v="3.9289926137421639E-2"/>
    <n v="7.9366601950365474E-5"/>
    <n v="1.5574081552772761E-5"/>
    <n v="0.19071684199110725"/>
    <s v="na"/>
    <n v="34"/>
    <n v="131478490.98164041"/>
    <n v="31"/>
    <n v="129493135.9661479"/>
    <n v="2"/>
    <n v="0"/>
    <n v="1"/>
    <n v="1985355.0154925101"/>
    <n v="0"/>
    <n v="0"/>
    <n v="0"/>
    <n v="0"/>
    <n v="7734028.8812729651"/>
    <n v="0"/>
  </r>
  <r>
    <n v="46"/>
    <s v="CRI"/>
    <s v="Costa Rica"/>
    <x v="4"/>
    <x v="1"/>
    <n v="0"/>
    <n v="1"/>
    <x v="0"/>
    <n v="2018"/>
    <n v="1"/>
    <n v="2007"/>
    <n v="63951114302.259895"/>
    <n v="2"/>
    <n v="340000000"/>
    <n v="1"/>
    <n v="470000000"/>
    <n v="3"/>
    <n v="810000000"/>
    <n v="5.3165609967797721E-3"/>
    <n v="7.3493637308426263E-3"/>
    <n v="1.2665924727622398E-2"/>
    <n v="2.5323432367815407E-4"/>
    <n v="5.9109087707825037E-4"/>
    <n v="3.7800478806064878E-4"/>
    <n v="47647058.823529415"/>
    <n v="7.4505439574249399E-4"/>
    <n v="0"/>
    <s v="na"/>
    <s v="na"/>
    <s v="na"/>
    <s v="na"/>
    <s v="na"/>
    <x v="1"/>
    <n v="0"/>
    <s v="na"/>
    <s v="na"/>
    <s v="na"/>
    <n v="2123512000"/>
    <n v="122060000"/>
    <n v="-2001452000"/>
    <n v="2245572000"/>
    <n v="16108703000"/>
    <n v="11452817000"/>
    <n v="-4655886000"/>
    <n v="27561520000"/>
    <n v="0.13182389668491623"/>
    <n v="1.0657639950066434E-2"/>
    <n v="6.4471693264229893E-3"/>
    <n v="5.535569051175665E-3"/>
    <n v="8.1474896885222581E-2"/>
    <n v="3.5113883854884551E-2"/>
    <n v="49"/>
    <n v="2307465109.615099"/>
    <n v="32"/>
    <n v="612464513.52537298"/>
    <n v="14"/>
    <n v="1539869204.1605048"/>
    <n v="3"/>
    <n v="155131391.92922124"/>
    <n v="3.6081702950617051E-2"/>
    <n v="9.5770733662373392E-3"/>
    <n v="2.4078848679358965E-2"/>
    <n v="2.4257809050207469E-3"/>
    <n v="135733241.74206465"/>
    <n v="2.1224531147421796E-3"/>
  </r>
  <r>
    <n v="47"/>
    <s v="CIV"/>
    <s v="Côte d'Ivoire"/>
    <x v="3"/>
    <x v="2"/>
    <n v="0"/>
    <n v="0"/>
    <x v="0"/>
    <n v="2017"/>
    <n v="0"/>
    <s v="na"/>
    <n v="58539424929.724831"/>
    <n v="3"/>
    <n v="1620000000"/>
    <n v="10"/>
    <n v="3250000000"/>
    <n v="13"/>
    <n v="4870000000"/>
    <n v="2.7673657572563636E-2"/>
    <n v="5.5518140191871491E-2"/>
    <n v="8.3191797764435124E-2"/>
    <n v="1.2065870716429694E-3"/>
    <n v="4.0873305329879013E-3"/>
    <n v="2.2726954541424193E-3"/>
    <n v="286470588.2352941"/>
    <n v="4.8936351626138307E-3"/>
    <n v="2"/>
    <n v="0"/>
    <n v="0"/>
    <n v="0"/>
    <n v="0"/>
    <n v="0"/>
    <x v="0"/>
    <n v="0"/>
    <n v="0"/>
    <n v="0"/>
    <n v="0"/>
    <n v="1801977"/>
    <n v="371260"/>
    <n v="-1430717"/>
    <n v="2173237"/>
    <n v="10482561000"/>
    <n v="12717852000"/>
    <n v="2235291000"/>
    <n v="23200413000"/>
    <n v="1.7190236240933871E-4"/>
    <n v="2.9192036516858349E-5"/>
    <n v="4.195424407635916E-3"/>
    <n v="6.1470071449349567E-3"/>
    <n v="9.3672341091514185E-5"/>
    <n v="3.7124331211126836E-5"/>
    <n v="94"/>
    <n v="3399096727.9645572"/>
    <n v="85"/>
    <n v="1322772802.478085"/>
    <n v="7"/>
    <n v="2076323925.4864721"/>
    <n v="2"/>
    <n v="0"/>
    <n v="5.806508574426706E-2"/>
    <n v="2.2596272581530172E-2"/>
    <n v="3.5468813162736888E-2"/>
    <n v="0"/>
    <n v="199946866.3508563"/>
    <n v="3.4155932790745332E-3"/>
  </r>
  <r>
    <n v="48"/>
    <s v="HRV"/>
    <s v="Croatia"/>
    <x v="1"/>
    <x v="3"/>
    <n v="1"/>
    <n v="0"/>
    <x v="0"/>
    <n v="2017"/>
    <n v="0"/>
    <s v="na"/>
    <n v="60752588976.317482"/>
    <n v="0"/>
    <n v="0"/>
    <n v="3"/>
    <n v="690000000"/>
    <n v="3"/>
    <n v="690000000"/>
    <n v="0"/>
    <n v="1.135754066824996E-2"/>
    <n v="1.135754066824996E-2"/>
    <n v="0"/>
    <n v="8.6777171315743137E-4"/>
    <n v="3.2200407871833044E-4"/>
    <n v="40588235.294117644"/>
    <n v="6.6809062754411529E-4"/>
    <n v="3"/>
    <n v="0"/>
    <n v="0"/>
    <n v="0"/>
    <n v="0"/>
    <n v="0"/>
    <x v="0"/>
    <n v="0"/>
    <n v="0"/>
    <n v="0"/>
    <n v="0"/>
    <n v="804121000"/>
    <n v="120454000"/>
    <n v="-683667000"/>
    <n v="924575000"/>
    <n v="28004414000"/>
    <n v="17063050000"/>
    <n v="-10941364000"/>
    <n v="45067464000"/>
    <n v="2.8714080573155359E-2"/>
    <n v="7.0593475375152741E-3"/>
    <n v="1.120817727816141E-2"/>
    <n v="8.2472016708782601E-3"/>
    <n v="2.0515354491657218E-2"/>
    <n v="1.521869299035827E-2"/>
    <s v="na"/>
    <s v="na"/>
    <s v="na"/>
    <s v="na"/>
    <s v="na"/>
    <s v="na"/>
    <s v="na"/>
    <s v="na"/>
    <n v="0"/>
    <n v="0"/>
    <n v="0"/>
    <n v="0"/>
    <n v="0"/>
    <n v="0"/>
  </r>
  <r>
    <n v="49"/>
    <s v="CUB"/>
    <s v="Cuba"/>
    <x v="4"/>
    <x v="1"/>
    <n v="0"/>
    <n v="0"/>
    <x v="0"/>
    <n v="2019"/>
    <n v="0"/>
    <s v="na"/>
    <n v="103131000000"/>
    <n v="1"/>
    <n v="500000000"/>
    <n v="2"/>
    <n v="240000000"/>
    <n v="3"/>
    <n v="740000000"/>
    <n v="4.8482027712327038E-3"/>
    <n v="2.3271373301916977E-3"/>
    <n v="7.1753401014244024E-3"/>
    <n v="3.7240341717375598E-4"/>
    <n v="3.0183363935910656E-4"/>
    <n v="3.4533770761096307E-4"/>
    <n v="43529411.764705881"/>
    <n v="4.2207882949555302E-4"/>
    <n v="0"/>
    <s v="na"/>
    <s v="na"/>
    <s v="na"/>
    <s v="na"/>
    <s v="na"/>
    <x v="1"/>
    <n v="0"/>
    <s v="na"/>
    <s v="na"/>
    <s v="na"/>
    <n v="790430000"/>
    <n v="491944000"/>
    <n v="-298486000"/>
    <n v="1282374000"/>
    <n v="5756952000"/>
    <n v="1694809000"/>
    <n v="-4062143000"/>
    <n v="7451761000"/>
    <n v="0.13730008518396541"/>
    <n v="0.29026515672267494"/>
    <n v="2.3040988680522248E-3"/>
    <n v="8.1916372609934984E-4"/>
    <n v="0.17209006032265392"/>
    <n v="1.2434418361113536E-2"/>
    <n v="118"/>
    <n v="8611964867.0887985"/>
    <n v="69"/>
    <n v="3389033867.9750204"/>
    <n v="27"/>
    <n v="3153882808.8466272"/>
    <n v="22"/>
    <n v="2069048190.2671511"/>
    <n v="8.3505103868757202E-2"/>
    <n v="3.2861446781035968E-2"/>
    <n v="3.0581326747986807E-2"/>
    <n v="2.0062330339734428E-2"/>
    <n v="506586168.65228224"/>
    <n v="4.9120649334563051E-3"/>
  </r>
  <r>
    <n v="50"/>
    <s v="CUW"/>
    <s v="Curaçao"/>
    <x v="4"/>
    <x v="3"/>
    <n v="0"/>
    <n v="0"/>
    <x v="1"/>
    <s v="na"/>
    <n v="0"/>
    <s v="na"/>
    <n v="3101787709.4972067"/>
    <n v="0"/>
    <n v="0"/>
    <n v="0"/>
    <n v="0"/>
    <n v="0"/>
    <n v="0"/>
    <n v="0"/>
    <n v="0"/>
    <n v="0"/>
    <n v="0"/>
    <n v="0"/>
    <n v="0"/>
    <n v="0"/>
    <n v="0"/>
    <n v="0"/>
    <s v="na"/>
    <s v="na"/>
    <s v="na"/>
    <s v="na"/>
    <s v="na"/>
    <x v="1"/>
    <n v="0"/>
    <s v="na"/>
    <s v="na"/>
    <s v="na"/>
    <n v="37699000"/>
    <n v="13000"/>
    <n v="-37686000"/>
    <n v="37712000"/>
    <n v="1201848000"/>
    <n v="96336000"/>
    <n v="-1105512000"/>
    <n v="1298184000"/>
    <n v="3.1367527341227844E-2"/>
    <n v="1.349443614017605E-4"/>
    <n v="4.8101436599972189E-4"/>
    <n v="4.6562743481717983E-5"/>
    <n v="2.9049811120765625E-2"/>
    <n v="1.2158149922553221E-2"/>
    <n v="2"/>
    <n v="0"/>
    <n v="0"/>
    <n v="0"/>
    <n v="2"/>
    <n v="0"/>
    <n v="0"/>
    <n v="0"/>
    <n v="0"/>
    <n v="0"/>
    <n v="0"/>
    <n v="0"/>
    <n v="0"/>
    <n v="0"/>
  </r>
  <r>
    <n v="51"/>
    <s v="CYP"/>
    <s v="Cyprus"/>
    <x v="1"/>
    <x v="3"/>
    <n v="0"/>
    <n v="0"/>
    <x v="0"/>
    <n v="2019"/>
    <n v="0"/>
    <s v="na"/>
    <n v="24949065263.629242"/>
    <n v="1"/>
    <n v="130000000"/>
    <n v="1"/>
    <n v="170000000"/>
    <n v="2"/>
    <n v="300000000"/>
    <n v="5.2106160542020009E-3"/>
    <n v="6.8138825324180006E-3"/>
    <n v="1.2024498586620002E-2"/>
    <n v="9.6824888465176558E-5"/>
    <n v="2.1379882787936715E-4"/>
    <n v="1.4000177335579583E-4"/>
    <n v="17647058.823529411"/>
    <n v="7.0732344627176481E-4"/>
    <n v="1"/>
    <n v="0"/>
    <n v="0"/>
    <n v="0"/>
    <n v="0"/>
    <n v="0"/>
    <x v="0"/>
    <n v="0"/>
    <n v="0"/>
    <n v="0"/>
    <n v="0"/>
    <n v="461258000"/>
    <n v="38578000"/>
    <n v="-422680000"/>
    <n v="499836000"/>
    <n v="9179163000"/>
    <n v="3520899000"/>
    <n v="-5658264000"/>
    <n v="12700062000"/>
    <n v="5.025055116681118E-2"/>
    <n v="1.0956860733579691E-2"/>
    <n v="3.6737667915186486E-3"/>
    <n v="1.7017804036085925E-3"/>
    <n v="3.9356973217926021E-2"/>
    <n v="2.0034257585139319E-2"/>
    <s v="na"/>
    <s v="na"/>
    <s v="na"/>
    <s v="na"/>
    <s v="na"/>
    <s v="na"/>
    <s v="na"/>
    <s v="na"/>
    <n v="0"/>
    <n v="0"/>
    <n v="0"/>
    <n v="0"/>
    <n v="0"/>
    <n v="0"/>
  </r>
  <r>
    <n v="52"/>
    <s v="CZE"/>
    <s v="Czech Republic"/>
    <x v="1"/>
    <x v="3"/>
    <n v="0"/>
    <n v="0"/>
    <x v="0"/>
    <n v="2015"/>
    <n v="0"/>
    <s v="na"/>
    <n v="252498032247.16284"/>
    <n v="1"/>
    <n v="100000000"/>
    <n v="4"/>
    <n v="860000000"/>
    <n v="5"/>
    <n v="960000000"/>
    <n v="3.960426903529805E-4"/>
    <n v="3.4059671370356322E-3"/>
    <n v="3.8020098273886128E-3"/>
    <n v="7.4480683434751193E-5"/>
    <n v="1.0815705410367985E-3"/>
    <n v="4.4800567473854668E-4"/>
    <n v="56470588.235294119"/>
    <n v="2.2364763690521251E-4"/>
    <n v="0"/>
    <s v="na"/>
    <s v="na"/>
    <s v="na"/>
    <s v="na"/>
    <s v="na"/>
    <x v="1"/>
    <n v="0"/>
    <s v="na"/>
    <s v="na"/>
    <s v="na"/>
    <n v="28337633000"/>
    <n v="2469651000"/>
    <n v="-25867982000"/>
    <n v="30807284000"/>
    <n v="179273065000"/>
    <n v="199469710000"/>
    <n v="20196645000"/>
    <n v="378742775000"/>
    <n v="0.15806966316998039"/>
    <n v="1.2381082822048521E-2"/>
    <n v="7.1750271000826996E-2"/>
    <n v="9.641107103370157E-2"/>
    <n v="8.1340915348154172E-2"/>
    <n v="0.1220099963782833"/>
    <s v="na"/>
    <s v="na"/>
    <s v="na"/>
    <s v="na"/>
    <s v="na"/>
    <s v="na"/>
    <s v="na"/>
    <s v="na"/>
    <n v="0"/>
    <n v="0"/>
    <n v="0"/>
    <n v="0"/>
    <n v="0"/>
    <n v="0"/>
  </r>
  <r>
    <n v="53"/>
    <s v="DNK"/>
    <s v="Denmark"/>
    <x v="1"/>
    <x v="3"/>
    <n v="3"/>
    <n v="0"/>
    <x v="1"/>
    <s v="na"/>
    <n v="0"/>
    <s v="na"/>
    <n v="347561349210.97949"/>
    <n v="3"/>
    <n v="1430000000"/>
    <n v="0"/>
    <n v="0"/>
    <n v="3"/>
    <n v="1430000000"/>
    <n v="4.1143815422696782E-3"/>
    <n v="0"/>
    <n v="4.1143815422696782E-3"/>
    <n v="1.0650737731169421E-3"/>
    <n v="0"/>
    <n v="6.6734178632929346E-4"/>
    <n v="84117647.058823526"/>
    <n v="2.4202244366292223E-4"/>
    <n v="2"/>
    <n v="0"/>
    <n v="0"/>
    <n v="0"/>
    <n v="0"/>
    <n v="0"/>
    <x v="0"/>
    <n v="0"/>
    <n v="0"/>
    <n v="0"/>
    <n v="0"/>
    <n v="7064542000"/>
    <n v="3803406000"/>
    <n v="-3261136000"/>
    <n v="10867948000"/>
    <n v="97209694000"/>
    <n v="109991555000"/>
    <n v="12781861000"/>
    <n v="207201249000"/>
    <n v="7.2673225367832148E-2"/>
    <n v="3.4579072911552163E-2"/>
    <n v="3.8906133994013353E-2"/>
    <n v="5.3162977086657896E-2"/>
    <n v="5.2451170311236882E-2"/>
    <n v="3.1269150107375292E-2"/>
    <s v="na"/>
    <s v="na"/>
    <s v="na"/>
    <s v="na"/>
    <s v="na"/>
    <s v="na"/>
    <s v="na"/>
    <s v="na"/>
    <n v="0"/>
    <n v="0"/>
    <n v="0"/>
    <n v="0"/>
    <n v="0"/>
    <n v="0"/>
  </r>
  <r>
    <n v="54"/>
    <s v="DJI"/>
    <s v="Djibouti"/>
    <x v="2"/>
    <x v="2"/>
    <n v="0"/>
    <n v="0"/>
    <x v="0"/>
    <n v="2018"/>
    <n v="0"/>
    <s v="na"/>
    <n v="3324634256.1332436"/>
    <n v="3"/>
    <n v="1120000000"/>
    <n v="3"/>
    <n v="1480000000"/>
    <n v="6"/>
    <n v="2600000000"/>
    <n v="0.33687916134950424"/>
    <n v="0.44516174892613064"/>
    <n v="0.78204091027563483"/>
    <n v="8.3418365446921337E-4"/>
    <n v="1.8613074427144905E-3"/>
    <n v="1.2133487024168974E-3"/>
    <n v="152941176.47058824"/>
    <n v="4.6002406486802053E-2"/>
    <n v="3"/>
    <n v="0"/>
    <n v="0"/>
    <n v="0"/>
    <n v="0"/>
    <n v="0"/>
    <x v="0"/>
    <n v="0"/>
    <n v="0"/>
    <n v="0"/>
    <n v="0"/>
    <n v="2210291000"/>
    <n v="20136000"/>
    <n v="-2190155000"/>
    <n v="2230427000"/>
    <n v="5301007000"/>
    <n v="193889000"/>
    <n v="-5107118000"/>
    <n v="5494896000"/>
    <n v="0.41695681594082029"/>
    <n v="0.10385323561419163"/>
    <n v="2.1216164783442563E-3"/>
    <n v="9.3713707969261925E-5"/>
    <n v="0.40590886524512931"/>
    <n v="0.67087890822436669"/>
    <n v="96"/>
    <n v="2750209235.8192444"/>
    <n v="83"/>
    <n v="705039731.5457077"/>
    <n v="7"/>
    <n v="1179677224.0810373"/>
    <n v="6"/>
    <n v="865492280.19250023"/>
    <n v="0.82722159008789997"/>
    <n v="0.21206535132249787"/>
    <n v="0.35482917313529555"/>
    <n v="0.26032706563010682"/>
    <n v="161777013.87172025"/>
    <n v="4.8660093534582352E-2"/>
  </r>
  <r>
    <n v="55"/>
    <s v="DMA"/>
    <s v="Dominica"/>
    <x v="4"/>
    <x v="1"/>
    <n v="0"/>
    <n v="0"/>
    <x v="0"/>
    <s v="na"/>
    <n v="1"/>
    <n v="2004"/>
    <n v="574607407.4074074"/>
    <n v="0"/>
    <n v="0"/>
    <n v="0"/>
    <n v="0"/>
    <n v="0"/>
    <n v="0"/>
    <n v="0"/>
    <n v="0"/>
    <n v="0"/>
    <n v="0"/>
    <n v="0"/>
    <n v="0"/>
    <n v="0"/>
    <n v="0"/>
    <n v="0"/>
    <s v="na"/>
    <s v="na"/>
    <s v="na"/>
    <s v="na"/>
    <s v="na"/>
    <x v="1"/>
    <n v="0"/>
    <s v="na"/>
    <s v="na"/>
    <s v="na"/>
    <n v="33896000"/>
    <n v="477000"/>
    <n v="-33419000"/>
    <n v="34373000"/>
    <n v="503996000"/>
    <n v="59490000"/>
    <n v="-444506000"/>
    <n v="563486000"/>
    <n v="6.7254502019857304E-2"/>
    <n v="8.0181543116490169E-3"/>
    <n v="2.017137911003686E-4"/>
    <n v="2.8753712108945799E-5"/>
    <n v="6.1000628232112247E-2"/>
    <n v="5.9819973701851187E-2"/>
    <n v="83"/>
    <n v="573892308.24714231"/>
    <n v="64"/>
    <n v="559674140.21692443"/>
    <n v="5"/>
    <n v="0"/>
    <n v="14"/>
    <n v="14218168.030217908"/>
    <n v="0.99875549957928389"/>
    <n v="0.9740113562791316"/>
    <n v="0"/>
    <n v="2.4744143300152344E-2"/>
    <n v="33758371.073361315"/>
    <n v="5.8750323504663762E-2"/>
  </r>
  <r>
    <n v="56"/>
    <s v="DOM"/>
    <s v="Dominican Republic"/>
    <x v="4"/>
    <x v="1"/>
    <n v="0"/>
    <n v="0"/>
    <x v="0"/>
    <n v="2018"/>
    <n v="1"/>
    <n v="2018"/>
    <n v="88941299733.50177"/>
    <n v="0"/>
    <n v="0"/>
    <n v="0"/>
    <n v="0"/>
    <n v="0"/>
    <n v="0"/>
    <n v="0"/>
    <n v="0"/>
    <n v="0"/>
    <n v="0"/>
    <n v="0"/>
    <n v="0"/>
    <n v="0"/>
    <n v="0"/>
    <n v="0"/>
    <s v="na"/>
    <s v="na"/>
    <s v="na"/>
    <s v="na"/>
    <s v="na"/>
    <x v="1"/>
    <n v="0"/>
    <s v="na"/>
    <s v="na"/>
    <s v="na"/>
    <n v="3451291000"/>
    <n v="305884000"/>
    <n v="-3145407000"/>
    <n v="3757175000"/>
    <n v="22202313000"/>
    <n v="10078188000"/>
    <n v="-12124125000"/>
    <n v="32280501000"/>
    <n v="0.15544736262388517"/>
    <n v="3.0351090890545007E-2"/>
    <n v="8.8860084731366886E-3"/>
    <n v="4.8711601333305135E-3"/>
    <n v="0.11639147112369787"/>
    <n v="4.2243311164304631E-2"/>
    <n v="5"/>
    <n v="353953921.70811945"/>
    <n v="3"/>
    <n v="3953921.7081194799"/>
    <n v="1"/>
    <n v="0"/>
    <n v="1"/>
    <n v="350000000"/>
    <n v="3.9796351387790052E-3"/>
    <n v="4.4455407330079131E-5"/>
    <n v="0"/>
    <n v="3.9351797314489271E-3"/>
    <n v="20820818.924007028"/>
    <n v="2.3409618463405917E-4"/>
  </r>
  <r>
    <n v="57"/>
    <s v="ECU"/>
    <s v="Ecuador"/>
    <x v="4"/>
    <x v="1"/>
    <n v="3"/>
    <n v="0"/>
    <x v="0"/>
    <n v="2018"/>
    <n v="0"/>
    <s v="na"/>
    <n v="108108009000"/>
    <n v="14"/>
    <n v="8310000000"/>
    <n v="13"/>
    <n v="5690000000"/>
    <n v="27"/>
    <n v="14000000000"/>
    <n v="7.6867570468345234E-2"/>
    <n v="5.263254825088861E-2"/>
    <n v="0.12950011871923384"/>
    <n v="6.1893447934278246E-3"/>
    <n v="7.1559725331388187E-3"/>
    <n v="6.5334160899371396E-3"/>
    <n v="823529411.7647059"/>
    <n v="7.6176540423078731E-3"/>
    <n v="2"/>
    <n v="1"/>
    <n v="50000000"/>
    <n v="0"/>
    <n v="0"/>
    <n v="0"/>
    <x v="0"/>
    <n v="1"/>
    <n v="50000000"/>
    <n v="4.625004239972637E-4"/>
    <n v="1.2543831282458731E-3"/>
    <n v="4496520000"/>
    <n v="2896831000"/>
    <n v="-1599689000"/>
    <n v="7393351000"/>
    <n v="22393118000"/>
    <n v="22329379000"/>
    <n v="-63739000"/>
    <n v="44722497000"/>
    <n v="0.20079919196603171"/>
    <n v="0.1297318210237732"/>
    <n v="8.9623741584018597E-3"/>
    <n v="1.0792612797739789E-2"/>
    <n v="0.16531614949853984"/>
    <n v="6.8388559445211869E-2"/>
    <n v="122"/>
    <n v="33929188045.953293"/>
    <n v="80"/>
    <n v="6998072030.8370457"/>
    <n v="34"/>
    <n v="26758269325.671894"/>
    <n v="8"/>
    <n v="172846689.44435728"/>
    <n v="0.31384527714272575"/>
    <n v="6.4732225628510512E-2"/>
    <n v="0.24751421817112454"/>
    <n v="1.5988333430907722E-3"/>
    <n v="1995834590.9384289"/>
    <n v="1.8461486890748575E-2"/>
  </r>
  <r>
    <n v="58"/>
    <s v="EGY"/>
    <s v="Egypt"/>
    <x v="2"/>
    <x v="2"/>
    <n v="0"/>
    <n v="0"/>
    <x v="0"/>
    <n v="2016"/>
    <n v="0"/>
    <s v="na"/>
    <n v="303080865603.64465"/>
    <n v="14"/>
    <n v="8700000000"/>
    <n v="19"/>
    <n v="16000000000"/>
    <n v="33"/>
    <n v="24700000000"/>
    <n v="2.870521034929821E-2"/>
    <n v="5.2791191446985214E-2"/>
    <n v="8.1496401796283424E-2"/>
    <n v="6.4798194588233538E-3"/>
    <n v="2.0122242623940439E-2"/>
    <n v="1.1526812672960525E-2"/>
    <n v="1452941176.4705882"/>
    <n v="4.7939059880166713E-3"/>
    <n v="2"/>
    <n v="3"/>
    <n v="660000000"/>
    <n v="2"/>
    <n v="649000000"/>
    <n v="0"/>
    <x v="0"/>
    <n v="5"/>
    <n v="1309000000"/>
    <n v="4.318979350256478E-3"/>
    <n v="3.2839750297476961E-2"/>
    <n v="12040871000"/>
    <n v="556922000"/>
    <n v="-11483949000"/>
    <n v="12597793000"/>
    <n v="78657518000"/>
    <n v="30632553000"/>
    <n v="-48024965000"/>
    <n v="109290071000"/>
    <n v="0.15307972214429649"/>
    <n v="1.8180724277209282E-2"/>
    <n v="3.1481016028550787E-2"/>
    <n v="1.4805843169003595E-2"/>
    <n v="0.11526932762263463"/>
    <n v="4.1565781379530632E-2"/>
    <n v="71"/>
    <n v="6470899582.0142622"/>
    <n v="48"/>
    <n v="956566800.48591578"/>
    <n v="16"/>
    <n v="2572561247.8118019"/>
    <n v="7"/>
    <n v="2941771533.7165456"/>
    <n v="2.1350406166770718E-2"/>
    <n v="3.1561438185176306E-3"/>
    <n v="8.4880358338954992E-3"/>
    <n v="9.7062265143575913E-3"/>
    <n v="380641151.88319188"/>
    <n v="1.2559062451041598E-3"/>
  </r>
  <r>
    <n v="59"/>
    <s v="SLV"/>
    <s v="El Salvador"/>
    <x v="4"/>
    <x v="2"/>
    <n v="0"/>
    <n v="0"/>
    <x v="0"/>
    <n v="2018"/>
    <n v="1"/>
    <n v="2018"/>
    <n v="26896660000"/>
    <n v="0"/>
    <n v="0"/>
    <n v="0"/>
    <n v="0"/>
    <n v="0"/>
    <n v="0"/>
    <n v="0"/>
    <n v="0"/>
    <n v="0"/>
    <n v="0"/>
    <n v="0"/>
    <n v="0"/>
    <n v="0"/>
    <n v="0"/>
    <n v="0"/>
    <s v="na"/>
    <s v="na"/>
    <s v="na"/>
    <s v="na"/>
    <s v="na"/>
    <x v="1"/>
    <n v="0"/>
    <s v="na"/>
    <s v="na"/>
    <s v="na"/>
    <n v="961495000"/>
    <n v="51726000"/>
    <n v="-909769000"/>
    <n v="1013221000"/>
    <n v="11337642000"/>
    <n v="4777618000"/>
    <n v="-6560024000"/>
    <n v="16115260000"/>
    <n v="8.4805553041805343E-2"/>
    <n v="1.0826734159156299E-2"/>
    <n v="4.5376525804942209E-3"/>
    <n v="2.309199067717556E-3"/>
    <n v="6.2873388328826219E-2"/>
    <n v="3.7670885530024921E-2"/>
    <n v="1"/>
    <n v="19663044.242341101"/>
    <n v="0"/>
    <n v="0"/>
    <n v="0"/>
    <n v="0"/>
    <n v="1"/>
    <n v="19663044.242341101"/>
    <n v="7.3105895833687528E-4"/>
    <n v="0"/>
    <n v="0"/>
    <n v="7.3105895833687528E-4"/>
    <n v="1156649.6613141824"/>
    <n v="4.3003468137463258E-5"/>
  </r>
  <r>
    <n v="60"/>
    <s v="GNQ"/>
    <s v="Equatorial Guinea"/>
    <x v="3"/>
    <x v="1"/>
    <n v="0"/>
    <n v="0"/>
    <x v="0"/>
    <n v="2019"/>
    <n v="0"/>
    <s v="na"/>
    <n v="11417278044.985857"/>
    <n v="8"/>
    <n v="2080000000"/>
    <n v="5"/>
    <n v="1280000000"/>
    <n v="13"/>
    <n v="3360000000"/>
    <n v="0.18218002502912475"/>
    <n v="0.11211078463330754"/>
    <n v="0.29429080966243232"/>
    <n v="1.5491982154428249E-3"/>
    <n v="1.609779409915235E-3"/>
    <n v="1.5680198615849134E-3"/>
    <n v="197647058.82352942"/>
    <n v="1.7311224097790137E-2"/>
    <n v="0"/>
    <s v="na"/>
    <s v="na"/>
    <s v="na"/>
    <s v="na"/>
    <s v="na"/>
    <x v="1"/>
    <n v="0"/>
    <s v="na"/>
    <s v="na"/>
    <s v="na"/>
    <n v="113297000"/>
    <n v="1723012000"/>
    <n v="1609715000"/>
    <n v="1836309000"/>
    <n v="1028414000"/>
    <n v="5072616000"/>
    <n v="4044202000"/>
    <n v="6101030000"/>
    <n v="0.11016672274006382"/>
    <n v="0.33966931461005523"/>
    <n v="4.116010578669166E-4"/>
    <n v="2.4517824861864548E-3"/>
    <n v="0.30098344050103015"/>
    <n v="0.1608359709525034"/>
    <n v="121"/>
    <n v="9890268670.6055279"/>
    <n v="89"/>
    <n v="237978965.35684896"/>
    <n v="29"/>
    <n v="9256483708.7608376"/>
    <n v="3"/>
    <n v="395805996.48784"/>
    <n v="0.86625451632484785"/>
    <n v="2.0843756665921132E-2"/>
    <n v="0.81074347776141098"/>
    <n v="3.4667281897515556E-2"/>
    <n v="581780510.03561926"/>
    <n v="5.0956148019108694E-2"/>
  </r>
  <r>
    <n v="61"/>
    <s v="ERI"/>
    <s v="Eritrea"/>
    <x v="3"/>
    <x v="0"/>
    <n v="0"/>
    <n v="0"/>
    <x v="1"/>
    <s v="na"/>
    <n v="0"/>
    <s v="na"/>
    <s v="na"/>
    <n v="2"/>
    <n v="500000000"/>
    <n v="0"/>
    <n v="0"/>
    <n v="2"/>
    <n v="500000000"/>
    <n v="0"/>
    <n v="0"/>
    <n v="0"/>
    <n v="3.7240341717375598E-4"/>
    <n v="0"/>
    <n v="2.3333628892632639E-4"/>
    <n v="29411764.705882352"/>
    <n v="0"/>
    <n v="0"/>
    <s v="na"/>
    <s v="na"/>
    <s v="na"/>
    <s v="na"/>
    <s v="na"/>
    <x v="1"/>
    <n v="0"/>
    <s v="na"/>
    <s v="na"/>
    <s v="na"/>
    <n v="48608000"/>
    <n v="209892000"/>
    <n v="161284000"/>
    <n v="258500000"/>
    <n v="388456000"/>
    <n v="499061000"/>
    <n v="110605000"/>
    <n v="887517000"/>
    <n v="0.12513128900055603"/>
    <n v="0.42057383766713891"/>
    <n v="1.554713379385646E-4"/>
    <n v="2.4121459604643805E-4"/>
    <n v="0.29126202653019606"/>
    <s v="na"/>
    <n v="61"/>
    <n v="1013396936.7712584"/>
    <n v="50"/>
    <n v="447050479.60460484"/>
    <n v="10"/>
    <n v="566346457.16665351"/>
    <n v="1"/>
    <n v="0"/>
    <n v="0"/>
    <n v="0"/>
    <n v="0"/>
    <n v="0"/>
    <n v="59611584.515956372"/>
    <n v="0"/>
  </r>
  <r>
    <n v="62"/>
    <s v="EST"/>
    <s v="Estonia"/>
    <x v="1"/>
    <x v="3"/>
    <n v="0"/>
    <n v="0"/>
    <x v="0"/>
    <n v="2017"/>
    <n v="0"/>
    <s v="na"/>
    <n v="31045591753.490147"/>
    <n v="0"/>
    <n v="0"/>
    <n v="0"/>
    <n v="0"/>
    <n v="0"/>
    <n v="0"/>
    <n v="0"/>
    <n v="0"/>
    <n v="0"/>
    <n v="0"/>
    <n v="0"/>
    <n v="0"/>
    <n v="0"/>
    <n v="0"/>
    <n v="0"/>
    <s v="na"/>
    <s v="na"/>
    <s v="na"/>
    <s v="na"/>
    <s v="na"/>
    <x v="1"/>
    <n v="0"/>
    <s v="na"/>
    <s v="na"/>
    <s v="na"/>
    <n v="1513684000"/>
    <n v="189548000"/>
    <n v="-1324136000"/>
    <n v="1703232000"/>
    <n v="18677042000"/>
    <n v="16817428000"/>
    <n v="-1859614000"/>
    <n v="35494470000"/>
    <n v="8.1045167644855115E-2"/>
    <n v="1.1270926802838104E-2"/>
    <n v="7.4750929538345747E-3"/>
    <n v="8.1284834951239546E-3"/>
    <n v="4.7985841174695662E-2"/>
    <n v="5.4862281689590363E-2"/>
    <s v="na"/>
    <s v="na"/>
    <s v="na"/>
    <s v="na"/>
    <s v="na"/>
    <s v="na"/>
    <s v="na"/>
    <s v="na"/>
    <n v="0"/>
    <n v="0"/>
    <n v="0"/>
    <n v="0"/>
    <n v="0"/>
    <n v="0"/>
  </r>
  <r>
    <n v="63"/>
    <s v="SWZ"/>
    <s v="Eswatini"/>
    <x v="3"/>
    <x v="2"/>
    <n v="0"/>
    <n v="0"/>
    <x v="1"/>
    <s v="na"/>
    <n v="2"/>
    <s v="na"/>
    <n v="4471598726.6435986"/>
    <n v="0"/>
    <n v="0"/>
    <n v="0"/>
    <n v="0"/>
    <n v="0"/>
    <n v="0"/>
    <n v="0"/>
    <n v="0"/>
    <n v="0"/>
    <n v="0"/>
    <n v="0"/>
    <n v="0"/>
    <n v="0"/>
    <n v="0"/>
    <n v="0"/>
    <s v="na"/>
    <s v="na"/>
    <s v="na"/>
    <s v="na"/>
    <s v="na"/>
    <x v="1"/>
    <n v="0"/>
    <s v="na"/>
    <s v="na"/>
    <s v="na"/>
    <n v="131198000"/>
    <n v="260000"/>
    <n v="-130938000"/>
    <n v="131458000"/>
    <n v="1841927000"/>
    <n v="2001762000"/>
    <n v="159835000"/>
    <n v="3843689000"/>
    <n v="7.1228664328173708E-2"/>
    <n v="1.2988557081211453E-4"/>
    <n v="7.3719251363131577E-4"/>
    <n v="9.675254371932689E-4"/>
    <n v="3.4200998051611357E-2"/>
    <n v="2.9398433991118193E-2"/>
    <n v="0"/>
    <s v="na"/>
    <s v="na"/>
    <s v="na"/>
    <s v="na"/>
    <s v="na"/>
    <s v="na"/>
    <s v="na"/>
    <n v="0"/>
    <n v="0"/>
    <n v="0"/>
    <n v="0"/>
    <n v="0"/>
    <n v="0"/>
  </r>
  <r>
    <n v="64"/>
    <s v="ETH"/>
    <s v="Ethiopia"/>
    <x v="3"/>
    <x v="0"/>
    <n v="1"/>
    <n v="0"/>
    <x v="0"/>
    <n v="2018"/>
    <n v="0"/>
    <s v="na"/>
    <n v="95912590628.141235"/>
    <n v="21"/>
    <n v="13780000000"/>
    <n v="39"/>
    <n v="11220000000"/>
    <n v="60"/>
    <n v="25000000000"/>
    <n v="0.14367248251510453"/>
    <n v="0.11698151333958438"/>
    <n v="0.2606539958546889"/>
    <n v="1.0263438177308714E-2"/>
    <n v="1.4110722640038232E-2"/>
    <n v="1.166681444631632E-2"/>
    <n v="1470588235.2941177"/>
    <n v="1.533258799145229E-2"/>
    <n v="2"/>
    <n v="0"/>
    <n v="0"/>
    <n v="0"/>
    <n v="0"/>
    <n v="0"/>
    <x v="0"/>
    <n v="0"/>
    <n v="0"/>
    <n v="0"/>
    <n v="0"/>
    <n v="4283703000"/>
    <n v="124363000"/>
    <n v="-4159340000"/>
    <n v="4408066000"/>
    <n v="15575890000"/>
    <n v="2678468000"/>
    <n v="-12897422000"/>
    <n v="18254358000"/>
    <n v="0.27502139524611435"/>
    <n v="4.6430646175350983E-2"/>
    <n v="6.2339221376009335E-3"/>
    <n v="1.2946024166250434E-3"/>
    <n v="0.24148019886538874"/>
    <n v="4.5959200675647807E-2"/>
    <n v="218"/>
    <n v="24549040327.122738"/>
    <n v="155"/>
    <n v="9669275552.7825241"/>
    <n v="48"/>
    <n v="12633865805.844887"/>
    <n v="15"/>
    <n v="2245898968.4953279"/>
    <n v="0.25595221822649766"/>
    <n v="0.10081341239411283"/>
    <n v="0.13172270421541557"/>
    <n v="2.3416101616969252E-2"/>
    <n v="1444061195.7131023"/>
    <n v="1.5056012836852803E-2"/>
  </r>
  <r>
    <n v="65"/>
    <s v="FJI"/>
    <s v="Fiji"/>
    <x v="5"/>
    <x v="1"/>
    <n v="1"/>
    <n v="0"/>
    <x v="0"/>
    <n v="2018"/>
    <n v="0"/>
    <s v="na"/>
    <n v="5496250694.3158674"/>
    <n v="1"/>
    <n v="150000000"/>
    <n v="2"/>
    <n v="250000000"/>
    <n v="3"/>
    <n v="400000000"/>
    <n v="2.7291331553549323E-2"/>
    <n v="4.548555258924887E-2"/>
    <n v="7.277688414279819E-2"/>
    <n v="1.117210251521268E-4"/>
    <n v="3.1441004099906937E-4"/>
    <n v="1.8666903114106112E-4"/>
    <n v="23529411.764705881"/>
    <n v="4.2809931848704821E-3"/>
    <n v="1"/>
    <n v="1"/>
    <n v="50000000"/>
    <n v="0"/>
    <n v="0"/>
    <n v="0"/>
    <x v="0"/>
    <n v="1"/>
    <n v="50000000"/>
    <n v="9.0971105178497737E-3"/>
    <n v="1.2543831282458731E-3"/>
    <n v="348970000"/>
    <n v="37299000"/>
    <n v="-311671000"/>
    <n v="386269000"/>
    <n v="2785913000"/>
    <n v="1028722000"/>
    <n v="-1757191000"/>
    <n v="3814635000"/>
    <n v="0.12526234667055289"/>
    <n v="3.6257608955577891E-2"/>
    <n v="1.1150030415039032E-3"/>
    <n v="4.9721930119581343E-4"/>
    <n v="0.10125975355440298"/>
    <n v="7.027863565238629E-2"/>
    <n v="152"/>
    <n v="663916958.87909687"/>
    <n v="137"/>
    <n v="568657495.55746424"/>
    <n v="14"/>
    <n v="95259463.321632713"/>
    <n v="1"/>
    <n v="0"/>
    <n v="0.12079451899195735"/>
    <n v="0.10346280167779838"/>
    <n v="1.7331717314158994E-2"/>
    <n v="0"/>
    <n v="39053938.75759393"/>
    <n v="7.1055599407033737E-3"/>
  </r>
  <r>
    <n v="66"/>
    <s v="FIN"/>
    <s v="Finland"/>
    <x v="1"/>
    <x v="3"/>
    <n v="0"/>
    <n v="0"/>
    <x v="1"/>
    <s v="na"/>
    <n v="0"/>
    <s v="na"/>
    <n v="268782471380.39172"/>
    <n v="8"/>
    <n v="16330000000"/>
    <n v="0"/>
    <n v="0"/>
    <n v="8"/>
    <n v="16330000000"/>
    <n v="6.0755449996920112E-2"/>
    <n v="0"/>
    <n v="6.0755449996920112E-2"/>
    <n v="1.216269560489487E-2"/>
    <n v="0"/>
    <n v="7.6207631963338199E-3"/>
    <n v="960588235.29411769"/>
    <n v="3.5738499998188302E-3"/>
    <n v="2"/>
    <n v="0"/>
    <n v="0"/>
    <n v="0"/>
    <n v="0"/>
    <n v="0"/>
    <x v="0"/>
    <n v="0"/>
    <n v="0"/>
    <n v="0"/>
    <n v="0"/>
    <n v="5494261000"/>
    <n v="3842829000"/>
    <n v="-1651432000"/>
    <n v="9337090000"/>
    <n v="73719857000"/>
    <n v="72839176000"/>
    <n v="-880681000"/>
    <n v="146559033000"/>
    <n v="7.4528915594613804E-2"/>
    <n v="5.2757722025850481E-2"/>
    <n v="2.9504821139150011E-2"/>
    <n v="3.5205861438171698E-2"/>
    <n v="6.370873093847447E-2"/>
    <n v="3.4738463234032013E-2"/>
    <s v="na"/>
    <s v="na"/>
    <s v="na"/>
    <s v="na"/>
    <s v="na"/>
    <s v="na"/>
    <s v="na"/>
    <s v="na"/>
    <n v="0"/>
    <n v="0"/>
    <n v="0"/>
    <n v="0"/>
    <n v="0"/>
    <n v="0"/>
  </r>
  <r>
    <n v="67"/>
    <s v="FRA"/>
    <s v="France"/>
    <x v="1"/>
    <x v="3"/>
    <n v="3"/>
    <n v="0"/>
    <x v="1"/>
    <s v="na"/>
    <n v="0"/>
    <s v="na"/>
    <n v="2728870246705.8779"/>
    <n v="44"/>
    <n v="33980000000"/>
    <n v="0"/>
    <n v="0"/>
    <n v="44"/>
    <n v="33980000000"/>
    <n v="1.2452039462491314E-2"/>
    <n v="0"/>
    <n v="1.2452039462491314E-2"/>
    <n v="2.5308536231128456E-2"/>
    <n v="0"/>
    <n v="1.5857534195433141E-2"/>
    <n v="1998823529.4117646"/>
    <n v="7.3247290955831253E-4"/>
    <n v="2"/>
    <n v="0"/>
    <n v="0"/>
    <n v="0"/>
    <n v="0"/>
    <n v="0"/>
    <x v="0"/>
    <n v="0"/>
    <n v="0"/>
    <n v="0"/>
    <n v="0"/>
    <n v="59613001000"/>
    <n v="23438669000"/>
    <n v="-36174332000"/>
    <n v="83051670000"/>
    <n v="643953084000"/>
    <n v="556550374000"/>
    <n v="-87402710000"/>
    <n v="1200503458000"/>
    <n v="9.2573515806005521E-2"/>
    <n v="4.211419144603791E-2"/>
    <n v="0.25772866821247414"/>
    <n v="0.26900133178890762"/>
    <n v="6.9180700352468288E-2"/>
    <n v="3.0434451802996056E-2"/>
    <s v="na"/>
    <s v="na"/>
    <s v="na"/>
    <s v="na"/>
    <s v="na"/>
    <s v="na"/>
    <s v="na"/>
    <s v="na"/>
    <n v="0"/>
    <n v="0"/>
    <n v="0"/>
    <n v="0"/>
    <n v="0"/>
    <n v="0"/>
  </r>
  <r>
    <n v="68"/>
    <s v="PYF"/>
    <s v="French Polynesia"/>
    <x v="5"/>
    <x v="3"/>
    <n v="0"/>
    <n v="0"/>
    <x v="1"/>
    <s v="na"/>
    <n v="0"/>
    <s v="na"/>
    <n v="3447543137.9414983"/>
    <n v="0"/>
    <n v="0"/>
    <n v="0"/>
    <n v="0"/>
    <n v="0"/>
    <n v="0"/>
    <n v="0"/>
    <n v="0"/>
    <n v="0"/>
    <n v="0"/>
    <n v="0"/>
    <n v="0"/>
    <n v="0"/>
    <n v="0"/>
    <n v="0"/>
    <s v="na"/>
    <s v="na"/>
    <s v="na"/>
    <s v="na"/>
    <s v="na"/>
    <x v="1"/>
    <n v="0"/>
    <s v="na"/>
    <s v="na"/>
    <s v="na"/>
    <n v="99339000"/>
    <n v="6805000"/>
    <n v="-92534000"/>
    <n v="106144000"/>
    <n v="1959833000"/>
    <n v="183564000"/>
    <n v="-1776269000"/>
    <n v="2143397000"/>
    <n v="5.0687482045664096E-2"/>
    <n v="3.7071539081737159E-2"/>
    <n v="7.8438190849452918E-4"/>
    <n v="8.8723254489267561E-5"/>
    <n v="4.9521390577667135E-2"/>
    <n v="3.0788302206242377E-2"/>
    <n v="2"/>
    <n v="4858309351.0989399"/>
    <n v="0"/>
    <n v="0"/>
    <n v="2"/>
    <n v="4858309351.0989399"/>
    <n v="0"/>
    <n v="0"/>
    <n v="1.4092091546676917"/>
    <n v="0"/>
    <n v="1.4092091546676917"/>
    <n v="0"/>
    <n v="285782903.00581998"/>
    <n v="8.2894656156923027E-2"/>
  </r>
  <r>
    <n v="69"/>
    <s v="GAB"/>
    <s v="Gabon"/>
    <x v="3"/>
    <x v="1"/>
    <n v="0"/>
    <n v="0"/>
    <x v="0"/>
    <n v="2018"/>
    <n v="0"/>
    <s v="na"/>
    <n v="16874450215.135065"/>
    <n v="5"/>
    <n v="1520000000"/>
    <n v="3"/>
    <n v="440000000"/>
    <n v="8"/>
    <n v="1960000000"/>
    <n v="9.0077008768954067E-2"/>
    <n v="2.6074923591013016E-2"/>
    <n v="0.11615193235996708"/>
    <n v="1.1321063882082183E-3"/>
    <n v="5.53361672158362E-4"/>
    <n v="9.1467825259119952E-4"/>
    <n v="115294117.64705883"/>
    <n v="6.8324666094098287E-3"/>
    <n v="0"/>
    <s v="na"/>
    <s v="na"/>
    <s v="na"/>
    <s v="na"/>
    <s v="na"/>
    <x v="1"/>
    <n v="0"/>
    <s v="na"/>
    <s v="na"/>
    <s v="na"/>
    <n v="377221000"/>
    <n v="4612508000"/>
    <n v="4235287000"/>
    <n v="4989729000"/>
    <n v="2321628000"/>
    <n v="7301312000"/>
    <n v="4979684000"/>
    <n v="9622940000"/>
    <n v="0.16248124161148986"/>
    <n v="0.63173687140064694"/>
    <n v="9.2918274233280934E-4"/>
    <n v="3.5289934991694612E-3"/>
    <n v="0.51852438028294889"/>
    <n v="0.29569727821559499"/>
    <n v="82"/>
    <n v="3574199027.2534776"/>
    <n v="62"/>
    <n v="1619657920.6404765"/>
    <n v="9"/>
    <n v="1485116670.8451018"/>
    <n v="11"/>
    <n v="469424435.76789874"/>
    <n v="0.21181128757888065"/>
    <n v="9.5982855736998746E-2"/>
    <n v="8.8009781172785587E-2"/>
    <n v="2.7818650669096268E-2"/>
    <n v="210247001.60314575"/>
    <n v="1.2459487504640038E-2"/>
  </r>
  <r>
    <n v="70"/>
    <s v="GMB"/>
    <s v="Gambia"/>
    <x v="3"/>
    <x v="0"/>
    <n v="0"/>
    <n v="0"/>
    <x v="0"/>
    <n v="2018"/>
    <n v="1"/>
    <n v="2013"/>
    <n v="1826073739.8252184"/>
    <n v="0"/>
    <n v="0"/>
    <n v="0"/>
    <n v="0"/>
    <n v="0"/>
    <n v="0"/>
    <n v="0"/>
    <n v="0"/>
    <n v="0"/>
    <n v="0"/>
    <n v="0"/>
    <n v="0"/>
    <n v="0"/>
    <n v="0"/>
    <n v="0"/>
    <s v="na"/>
    <s v="na"/>
    <s v="na"/>
    <s v="na"/>
    <s v="na"/>
    <x v="1"/>
    <n v="0"/>
    <s v="na"/>
    <s v="na"/>
    <s v="na"/>
    <n v="52339000"/>
    <n v="3327000"/>
    <n v="-49012000"/>
    <n v="55666000"/>
    <n v="494032000"/>
    <n v="24602000"/>
    <n v="-469430000"/>
    <n v="518634000"/>
    <n v="0.10594253003854001"/>
    <n v="0.13523290789366718"/>
    <n v="1.9772590981852496E-4"/>
    <n v="1.1891054384002093E-5"/>
    <n v="0.1073319527836586"/>
    <n v="3.0483982539132311E-2"/>
    <n v="16"/>
    <n v="511411700.70763052"/>
    <n v="12"/>
    <n v="169333815.70763054"/>
    <n v="3"/>
    <n v="177077885"/>
    <n v="1"/>
    <n v="165000000"/>
    <n v="0.28006081548304834"/>
    <n v="9.2731094048720195E-2"/>
    <n v="9.6971924593225303E-2"/>
    <n v="9.0357796841102858E-2"/>
    <n v="30083041.218095914"/>
    <n v="1.6474165616649904E-2"/>
  </r>
  <r>
    <n v="71"/>
    <s v="GEO"/>
    <s v="Georgia"/>
    <x v="1"/>
    <x v="1"/>
    <n v="0"/>
    <n v="1"/>
    <x v="0"/>
    <n v="2016"/>
    <n v="0"/>
    <s v="na"/>
    <n v="17477255562.258259"/>
    <n v="6"/>
    <n v="1040000000"/>
    <n v="6"/>
    <n v="1330000000"/>
    <n v="12"/>
    <n v="2370000000"/>
    <n v="5.9505910198272588E-2"/>
    <n v="7.6098904388175515E-2"/>
    <n v="0.1356048145864481"/>
    <n v="7.7459910772141247E-4"/>
    <n v="1.6726614181150489E-3"/>
    <n v="1.1060140095107871E-3"/>
    <n v="139411764.70588234"/>
    <n v="7.9767537992028285E-3"/>
    <n v="1"/>
    <n v="4"/>
    <n v="364000000"/>
    <n v="1"/>
    <n v="100000000"/>
    <n v="0"/>
    <x v="0"/>
    <n v="5"/>
    <n v="464000000"/>
    <n v="2.6548790703844694E-2"/>
    <n v="1.1640675430121704E-2"/>
    <n v="806568000"/>
    <n v="208386000"/>
    <n v="-598182000"/>
    <n v="1014954000"/>
    <n v="7398894000"/>
    <n v="2699657000"/>
    <n v="-4699237000"/>
    <n v="10098551000"/>
    <n v="0.1090119685455691"/>
    <n v="7.7189805964239161E-2"/>
    <n v="2.9612515946352172E-3"/>
    <n v="1.3048438421734794E-3"/>
    <n v="0.10050491402182353"/>
    <n v="5.8072847672478417E-2"/>
    <n v="43"/>
    <n v="452734039.2174657"/>
    <n v="28"/>
    <n v="97553120.836823016"/>
    <n v="12"/>
    <n v="310962176.45045644"/>
    <n v="3"/>
    <n v="44218741.930186108"/>
    <n v="2.5904183732092051E-2"/>
    <n v="5.5817185077665626E-3"/>
    <n v="1.7792391679731016E-2"/>
    <n v="2.5300735445944666E-3"/>
    <n v="26631414.071615629"/>
    <n v="1.5237755136524736E-3"/>
  </r>
  <r>
    <n v="72"/>
    <s v="DEU"/>
    <s v="Germany"/>
    <x v="1"/>
    <x v="3"/>
    <n v="2"/>
    <n v="0"/>
    <x v="1"/>
    <s v="na"/>
    <n v="0"/>
    <s v="na"/>
    <n v="3888326788627.4448"/>
    <n v="72"/>
    <n v="48190000000"/>
    <n v="0"/>
    <n v="0"/>
    <n v="72"/>
    <n v="48190000000"/>
    <n v="1.2393505643853244E-2"/>
    <n v="0"/>
    <n v="1.2393505643853244E-2"/>
    <n v="3.5892241347206602E-2"/>
    <n v="0"/>
    <n v="2.2488951526719338E-2"/>
    <n v="2834705882.352941"/>
    <n v="7.2902974375607318E-4"/>
    <n v="2"/>
    <n v="0"/>
    <n v="0"/>
    <n v="0"/>
    <n v="0"/>
    <n v="0"/>
    <x v="0"/>
    <n v="0"/>
    <n v="0"/>
    <n v="0"/>
    <n v="0"/>
    <n v="123165529000"/>
    <n v="107451431000"/>
    <n v="-15714098000"/>
    <n v="230616960000"/>
    <n v="1236217435000"/>
    <n v="1486877250000"/>
    <n v="250659815000"/>
    <n v="2723094685000"/>
    <n v="9.9630959338475919E-2"/>
    <n v="7.2266510903976774E-2"/>
    <n v="0.49477000896480033"/>
    <n v="0.71866263889462145"/>
    <n v="8.4689291661556754E-2"/>
    <n v="5.9310076682471013E-2"/>
    <s v="na"/>
    <s v="na"/>
    <s v="na"/>
    <s v="na"/>
    <s v="na"/>
    <s v="na"/>
    <s v="na"/>
    <s v="na"/>
    <n v="0"/>
    <n v="0"/>
    <n v="0"/>
    <n v="0"/>
    <n v="0"/>
    <n v="0"/>
  </r>
  <r>
    <n v="73"/>
    <s v="GHA"/>
    <s v="Ghana"/>
    <x v="3"/>
    <x v="2"/>
    <n v="0"/>
    <n v="0"/>
    <x v="0"/>
    <n v="2018"/>
    <n v="0"/>
    <s v="na"/>
    <n v="67234292582.760582"/>
    <n v="12"/>
    <n v="4550000000"/>
    <n v="19"/>
    <n v="7970000000"/>
    <n v="31"/>
    <n v="12520000000"/>
    <n v="6.7673798967978691E-2"/>
    <n v="0.11854069841204179"/>
    <n v="0.18621449738002047"/>
    <n v="3.3888710962811795E-3"/>
    <n v="1.0023392107050331E-2"/>
    <n v="5.8427406747152133E-3"/>
    <n v="736470588.2352941"/>
    <n v="1.0953793963530616E-2"/>
    <n v="2"/>
    <n v="0"/>
    <n v="0"/>
    <n v="0"/>
    <n v="0"/>
    <n v="0"/>
    <x v="0"/>
    <n v="0"/>
    <n v="0"/>
    <n v="0"/>
    <n v="0"/>
    <n v="1895911"/>
    <n v="2808597"/>
    <n v="912686"/>
    <n v="4704508"/>
    <n v="10439795000"/>
    <n v="16768275000"/>
    <n v="6328480000"/>
    <n v="27208070000"/>
    <n v="1.8160423648165506E-4"/>
    <n v="1.6749468863076257E-4"/>
    <n v="4.1783082162570187E-3"/>
    <n v="8.1047260365377898E-3"/>
    <n v="1.7290855249931363E-4"/>
    <n v="6.9971852447307131E-5"/>
    <n v="156"/>
    <n v="33441115748.742939"/>
    <n v="118"/>
    <n v="5949626326.3930635"/>
    <n v="27"/>
    <n v="12773336941.599604"/>
    <n v="11"/>
    <n v="14718152480.750273"/>
    <n v="0.49738183394402979"/>
    <n v="8.8490948559762139E-2"/>
    <n v="0.18998246952441039"/>
    <n v="0.21890841585985729"/>
    <n v="1967124455.8084083"/>
    <n v="2.9257754937884108E-2"/>
  </r>
  <r>
    <n v="74"/>
    <s v="GRC"/>
    <s v="Greece"/>
    <x v="1"/>
    <x v="3"/>
    <n v="3"/>
    <n v="0"/>
    <x v="0"/>
    <n v="2018"/>
    <n v="0"/>
    <s v="na"/>
    <n v="205326724570.22711"/>
    <n v="3"/>
    <n v="6040000000"/>
    <n v="8"/>
    <n v="4500000000"/>
    <n v="11"/>
    <n v="10540000000"/>
    <n v="2.9416531202367483E-2"/>
    <n v="2.1916289803088358E-2"/>
    <n v="5.1332821005455838E-2"/>
    <n v="4.4986332794589726E-3"/>
    <n v="5.6593807379832486E-3"/>
    <n v="4.9187289705669608E-3"/>
    <n v="620000000"/>
    <n v="3.0195777062032845E-3"/>
    <n v="2"/>
    <n v="0"/>
    <n v="0"/>
    <n v="0"/>
    <n v="0"/>
    <n v="0"/>
    <x v="0"/>
    <n v="0"/>
    <n v="0"/>
    <n v="0"/>
    <n v="0"/>
    <n v="4546496000"/>
    <n v="999093000"/>
    <n v="-3547403000"/>
    <n v="5545589000"/>
    <n v="62198045000"/>
    <n v="37885527000"/>
    <n v="-24312518000"/>
    <n v="100083572000"/>
    <n v="7.3097088501736671E-2"/>
    <n v="2.6371363396898242E-2"/>
    <n v="2.4893458392489874E-2"/>
    <n v="1.8311473129159404E-2"/>
    <n v="5.5409583103208988E-2"/>
    <n v="2.7008607922848656E-2"/>
    <s v="na"/>
    <s v="na"/>
    <s v="na"/>
    <s v="na"/>
    <s v="na"/>
    <s v="na"/>
    <s v="na"/>
    <s v="na"/>
    <n v="0"/>
    <n v="0"/>
    <n v="0"/>
    <n v="0"/>
    <n v="0"/>
    <n v="0"/>
  </r>
  <r>
    <n v="75"/>
    <s v="GRL"/>
    <s v="Greenland"/>
    <x v="1"/>
    <x v="3"/>
    <n v="0"/>
    <n v="0"/>
    <x v="1"/>
    <s v="na"/>
    <n v="0"/>
    <s v="na"/>
    <s v="na"/>
    <n v="0"/>
    <n v="0"/>
    <n v="0"/>
    <n v="0"/>
    <n v="0"/>
    <n v="0"/>
    <n v="0"/>
    <n v="0"/>
    <n v="0"/>
    <n v="0"/>
    <n v="0"/>
    <n v="0"/>
    <n v="0"/>
    <n v="0"/>
    <n v="0"/>
    <s v="na"/>
    <s v="na"/>
    <s v="na"/>
    <s v="na"/>
    <s v="na"/>
    <x v="1"/>
    <n v="0"/>
    <s v="na"/>
    <s v="na"/>
    <s v="na"/>
    <n v="809000"/>
    <n v="273714000"/>
    <n v="272905000"/>
    <n v="274523000"/>
    <n v="1015021000"/>
    <n v="1294505000"/>
    <n v="279484000"/>
    <n v="2309526000"/>
    <n v="7.9702784474409885E-4"/>
    <n v="0.2114429839977443"/>
    <n v="4.0624079150724856E-4"/>
    <n v="6.2568203216659742E-4"/>
    <n v="0.11886551612755171"/>
    <s v="na"/>
    <s v="na"/>
    <s v="na"/>
    <s v="na"/>
    <s v="na"/>
    <s v="na"/>
    <s v="na"/>
    <s v="na"/>
    <s v="na"/>
    <n v="0"/>
    <n v="0"/>
    <n v="0"/>
    <n v="0"/>
    <n v="0"/>
    <n v="0"/>
  </r>
  <r>
    <n v="76"/>
    <s v="GRD"/>
    <s v="Grenada"/>
    <x v="4"/>
    <x v="1"/>
    <n v="0"/>
    <n v="0"/>
    <x v="0"/>
    <n v="2018"/>
    <n v="1"/>
    <n v="2005"/>
    <n v="1211403703.7037036"/>
    <n v="0"/>
    <n v="0"/>
    <n v="0"/>
    <n v="0"/>
    <n v="0"/>
    <n v="0"/>
    <n v="0"/>
    <n v="0"/>
    <n v="0"/>
    <n v="0"/>
    <n v="0"/>
    <n v="0"/>
    <n v="0"/>
    <n v="0"/>
    <n v="0"/>
    <s v="na"/>
    <s v="na"/>
    <s v="na"/>
    <s v="na"/>
    <s v="na"/>
    <x v="1"/>
    <n v="0"/>
    <s v="na"/>
    <s v="na"/>
    <s v="na"/>
    <n v="15187000"/>
    <n v="17000"/>
    <n v="-15170000"/>
    <n v="15204000"/>
    <n v="479835000"/>
    <n v="34481000"/>
    <n v="-445354000"/>
    <n v="514316000"/>
    <n v="3.1650463180051477E-2"/>
    <n v="4.9302514428235843E-4"/>
    <n v="1.9204385938111686E-4"/>
    <n v="1.6665939607136665E-5"/>
    <n v="2.9561592483998166E-2"/>
    <n v="1.2550729334503286E-2"/>
    <n v="93"/>
    <n v="534861952.30882555"/>
    <n v="86"/>
    <n v="521107985.90035743"/>
    <n v="6"/>
    <n v="5096676.5237709163"/>
    <n v="1"/>
    <n v="8657289.8846972194"/>
    <n v="0.44152246742647161"/>
    <n v="0.43016872435435022"/>
    <n v="4.2072485895399813E-3"/>
    <n v="7.1464944825814234E-3"/>
    <n v="31462467.782872092"/>
    <n v="2.5971909848615977E-2"/>
  </r>
  <r>
    <n v="77"/>
    <s v="GUM"/>
    <s v="Guam"/>
    <x v="5"/>
    <x v="3"/>
    <n v="0"/>
    <n v="0"/>
    <x v="1"/>
    <s v="na"/>
    <n v="0"/>
    <s v="na"/>
    <n v="6311000000"/>
    <n v="0"/>
    <n v="0"/>
    <n v="0"/>
    <n v="0"/>
    <n v="0"/>
    <n v="0"/>
    <n v="0"/>
    <n v="0"/>
    <n v="0"/>
    <n v="0"/>
    <n v="0"/>
    <n v="0"/>
    <n v="0"/>
    <n v="0"/>
    <n v="0"/>
    <s v="na"/>
    <s v="na"/>
    <s v="na"/>
    <s v="na"/>
    <s v="na"/>
    <x v="1"/>
    <n v="0"/>
    <s v="na"/>
    <s v="na"/>
    <s v="na"/>
    <s v="na"/>
    <s v="na"/>
    <s v="na"/>
    <s v="na"/>
    <n v="0"/>
    <n v="717000"/>
    <n v="717000"/>
    <n v="717000"/>
    <s v="na"/>
    <s v="na"/>
    <s v="na"/>
    <s v="na"/>
    <s v="na"/>
    <s v="na"/>
    <n v="1"/>
    <n v="0"/>
    <n v="0"/>
    <n v="0"/>
    <n v="1"/>
    <n v="0"/>
    <n v="0"/>
    <n v="0"/>
    <n v="0"/>
    <n v="0"/>
    <n v="0"/>
    <n v="0"/>
    <n v="0"/>
    <n v="0"/>
  </r>
  <r>
    <n v="78"/>
    <s v="GTM"/>
    <s v="Guatemala"/>
    <x v="4"/>
    <x v="1"/>
    <n v="0"/>
    <n v="0"/>
    <x v="1"/>
    <s v="na"/>
    <n v="2"/>
    <s v="na"/>
    <n v="77020015201.320053"/>
    <n v="1"/>
    <n v="700000000"/>
    <n v="0"/>
    <n v="0"/>
    <n v="1"/>
    <n v="700000000"/>
    <n v="9.0885466351868834E-3"/>
    <n v="0"/>
    <n v="9.0885466351868834E-3"/>
    <n v="5.2136478404325834E-4"/>
    <n v="0"/>
    <n v="3.2667080449685698E-4"/>
    <n v="41176470.588235296"/>
    <n v="5.346203903051108E-4"/>
    <n v="0"/>
    <s v="na"/>
    <s v="na"/>
    <s v="na"/>
    <s v="na"/>
    <s v="na"/>
    <x v="1"/>
    <n v="0"/>
    <s v="na"/>
    <s v="na"/>
    <s v="na"/>
    <n v="2228910000"/>
    <n v="189004000"/>
    <n v="-2039906000"/>
    <n v="2417914000"/>
    <n v="19881010000"/>
    <n v="11183088000"/>
    <n v="-8697922000"/>
    <n v="31064098000"/>
    <n v="0.11211251339846416"/>
    <n v="1.6900877467833572E-2"/>
    <n v="7.9569558052134132E-3"/>
    <n v="5.4051990728022602E-3"/>
    <n v="7.7836285476565265E-2"/>
    <n v="3.1393320212673229E-2"/>
    <n v="0"/>
    <s v="na"/>
    <s v="na"/>
    <s v="na"/>
    <s v="na"/>
    <s v="na"/>
    <s v="na"/>
    <s v="na"/>
    <n v="0"/>
    <n v="0"/>
    <n v="0"/>
    <n v="0"/>
    <n v="0"/>
    <n v="0"/>
  </r>
  <r>
    <n v="79"/>
    <s v="GIN"/>
    <s v="Guinea"/>
    <x v="3"/>
    <x v="0"/>
    <n v="0"/>
    <n v="0"/>
    <x v="0"/>
    <n v="2018"/>
    <n v="0"/>
    <s v="na"/>
    <n v="13513809258.208292"/>
    <n v="2"/>
    <n v="1800000000"/>
    <n v="16"/>
    <n v="11010000000"/>
    <n v="18"/>
    <n v="12810000000"/>
    <n v="0.13319708496748831"/>
    <n v="0.81472216971780342"/>
    <n v="0.94791925468529181"/>
    <n v="1.3406523018255215E-3"/>
    <n v="1.3846618205599013E-2"/>
    <n v="5.9780757222924821E-3"/>
    <n v="753529411.7647059"/>
    <n v="5.575995615795834E-2"/>
    <n v="2"/>
    <n v="0"/>
    <n v="0"/>
    <n v="0"/>
    <n v="0"/>
    <n v="0"/>
    <x v="0"/>
    <n v="0"/>
    <n v="0"/>
    <n v="0"/>
    <n v="0"/>
    <n v="1718196000"/>
    <n v="2504860000"/>
    <n v="786664000"/>
    <n v="4223056000"/>
    <n v="4499351000"/>
    <n v="6696489000"/>
    <n v="2197138000"/>
    <n v="11195840000"/>
    <n v="0.38187640839756665"/>
    <n v="0.3740557178545354"/>
    <n v="1.8007705372686186E-3"/>
    <n v="3.2366602260333224E-3"/>
    <n v="0.37719867379312316"/>
    <n v="0.31249930491914518"/>
    <n v="101"/>
    <n v="22998381265.191792"/>
    <n v="89"/>
    <n v="22130339937.752663"/>
    <n v="7"/>
    <n v="579789711.17455518"/>
    <n v="5"/>
    <n v="288251616.2645728"/>
    <n v="1.7018429686080234"/>
    <n v="1.6376093161379119"/>
    <n v="4.2903499679218186E-2"/>
    <n v="2.1330152790893411E-2"/>
    <n v="1352845956.7759876"/>
    <n v="0.10010840991811902"/>
  </r>
  <r>
    <n v="80"/>
    <s v="GNB"/>
    <s v="Guinea-Bissau"/>
    <x v="3"/>
    <x v="0"/>
    <n v="0"/>
    <n v="0"/>
    <x v="1"/>
    <s v="na"/>
    <n v="0"/>
    <s v="na"/>
    <n v="1439638443.3813329"/>
    <n v="2"/>
    <n v="450000000"/>
    <n v="0"/>
    <n v="0"/>
    <n v="2"/>
    <n v="450000000"/>
    <n v="0.31257848251333725"/>
    <n v="0"/>
    <n v="0.31257848251333725"/>
    <n v="3.3516307545638038E-4"/>
    <n v="0"/>
    <n v="2.1000266003369376E-4"/>
    <n v="26470588.235294119"/>
    <n v="1.8386969559608075E-2"/>
    <n v="0"/>
    <s v="na"/>
    <s v="na"/>
    <s v="na"/>
    <s v="na"/>
    <s v="na"/>
    <x v="1"/>
    <n v="0"/>
    <s v="na"/>
    <s v="na"/>
    <s v="na"/>
    <n v="31924000"/>
    <n v="8402000"/>
    <n v="-23522000"/>
    <n v="40326000"/>
    <n v="335683000"/>
    <n v="249796000"/>
    <n v="-85887000"/>
    <n v="585479000"/>
    <n v="9.5101628619858616E-2"/>
    <n v="3.3635446524363878E-2"/>
    <n v="1.3435005543287057E-4"/>
    <n v="1.2073562396984747E-4"/>
    <n v="6.887693666211768E-2"/>
    <n v="2.8011199746295193E-2"/>
    <n v="78"/>
    <n v="371948758.43735373"/>
    <n v="78"/>
    <n v="371948758.43735373"/>
    <n v="0"/>
    <n v="0"/>
    <n v="0"/>
    <n v="0"/>
    <n v="0.25836261885570638"/>
    <n v="0.25836261885570638"/>
    <n v="0"/>
    <n v="0"/>
    <n v="21879338.731609043"/>
    <n v="1.5197801109159198E-2"/>
  </r>
  <r>
    <n v="81"/>
    <s v="GUY"/>
    <s v="Guyana"/>
    <x v="4"/>
    <x v="1"/>
    <n v="0"/>
    <n v="0"/>
    <x v="0"/>
    <n v="2018"/>
    <n v="0"/>
    <s v="na"/>
    <n v="5173759527.5070505"/>
    <n v="4"/>
    <n v="920000000"/>
    <n v="4"/>
    <n v="1830000000"/>
    <n v="8"/>
    <n v="2750000000"/>
    <n v="0.17782040218697548"/>
    <n v="0.35370797391539688"/>
    <n v="0.53152837610237236"/>
    <n v="6.8522228759971106E-4"/>
    <n v="2.3014815001131876E-3"/>
    <n v="1.2833495890947951E-3"/>
    <n v="161764705.88235295"/>
    <n v="3.1266375064845434E-2"/>
    <n v="0"/>
    <s v="na"/>
    <s v="na"/>
    <s v="na"/>
    <s v="na"/>
    <s v="na"/>
    <x v="1"/>
    <n v="0"/>
    <s v="na"/>
    <s v="na"/>
    <s v="na"/>
    <n v="223322000"/>
    <n v="31056000"/>
    <n v="-192266000"/>
    <n v="254378000"/>
    <n v="5980170000"/>
    <n v="3842163000"/>
    <n v="-2138007000"/>
    <n v="9822333000"/>
    <n v="3.7343754441763362E-2"/>
    <n v="8.0829470274946698E-3"/>
    <n v="2.3934371743519617E-3"/>
    <n v="1.8570591490610776E-3"/>
    <n v="2.5897920585669414E-2"/>
    <n v="4.9166954638607013E-2"/>
    <n v="69"/>
    <n v="1083990022.7455916"/>
    <n v="61"/>
    <n v="502081136.62308753"/>
    <n v="7"/>
    <n v="581908886.12250423"/>
    <n v="1"/>
    <n v="0"/>
    <n v="0.2095168932731411"/>
    <n v="9.7043771353055669E-2"/>
    <n v="0.11247312192008546"/>
    <n v="0"/>
    <n v="63764118.985034801"/>
    <n v="1.2324523133714183E-2"/>
  </r>
  <r>
    <n v="82"/>
    <s v="HTI"/>
    <s v="Haiti"/>
    <x v="4"/>
    <x v="2"/>
    <n v="0"/>
    <n v="0"/>
    <x v="1"/>
    <s v="na"/>
    <n v="2"/>
    <s v="na"/>
    <n v="14332163266.397657"/>
    <n v="0"/>
    <n v="0"/>
    <n v="0"/>
    <n v="0"/>
    <n v="0"/>
    <n v="0"/>
    <n v="0"/>
    <n v="0"/>
    <n v="0"/>
    <n v="0"/>
    <n v="0"/>
    <n v="0"/>
    <n v="0"/>
    <n v="0"/>
    <n v="0"/>
    <s v="na"/>
    <s v="na"/>
    <s v="na"/>
    <s v="na"/>
    <s v="na"/>
    <x v="1"/>
    <n v="0"/>
    <s v="na"/>
    <s v="na"/>
    <s v="na"/>
    <n v="561068000"/>
    <n v="4488000"/>
    <n v="-556580000"/>
    <n v="565556000"/>
    <n v="3831949000"/>
    <n v="1342010000"/>
    <n v="-2489939000"/>
    <n v="5173959000"/>
    <n v="0.14641844137278445"/>
    <n v="3.3442373752803631E-3"/>
    <n v="1.5336569339702425E-3"/>
    <n v="6.4864295154355939E-4"/>
    <n v="0.1093081719433803"/>
    <n v="3.946061662065832E-2"/>
    <n v="33"/>
    <n v="2036786080.495379"/>
    <n v="30"/>
    <n v="20273430.876614835"/>
    <n v="1"/>
    <n v="0"/>
    <n v="2"/>
    <n v="2016512649.6187642"/>
    <n v="0.14211295549993538"/>
    <n v="1.4145408826137728E-3"/>
    <n v="0"/>
    <n v="0.14069841461732163"/>
    <n v="119810945.91149288"/>
    <n v="8.3595856176432587E-3"/>
  </r>
  <r>
    <n v="83"/>
    <s v="HND"/>
    <s v="Honduras"/>
    <x v="4"/>
    <x v="2"/>
    <n v="0"/>
    <n v="0"/>
    <x v="1"/>
    <s v="na"/>
    <n v="2"/>
    <s v="na"/>
    <n v="25089976946.773567"/>
    <n v="1"/>
    <n v="350000000"/>
    <n v="0"/>
    <n v="0"/>
    <n v="1"/>
    <n v="350000000"/>
    <n v="1.3949793606526532E-2"/>
    <n v="0"/>
    <n v="1.3949793606526532E-2"/>
    <n v="2.6068239202162917E-4"/>
    <n v="0"/>
    <n v="1.6333540224842849E-4"/>
    <n v="20588235.294117648"/>
    <n v="8.2057609450156082E-4"/>
    <n v="0"/>
    <s v="na"/>
    <s v="na"/>
    <s v="na"/>
    <s v="na"/>
    <s v="na"/>
    <x v="1"/>
    <n v="0"/>
    <s v="na"/>
    <s v="na"/>
    <s v="na"/>
    <n v="1475811"/>
    <n v="5449"/>
    <n v="-1470362"/>
    <n v="1481260"/>
    <n v="9157061000"/>
    <n v="3091163000"/>
    <n v="-6065898000"/>
    <n v="12248224000"/>
    <n v="1.611664484925895E-4"/>
    <n v="1.7627669585848433E-6"/>
    <n v="3.6649209312124152E-3"/>
    <n v="1.494073138070688E-3"/>
    <n v="1.2093671702934238E-4"/>
    <n v="5.9037917936009976E-5"/>
    <n v="3"/>
    <n v="297077897.32473761"/>
    <n v="1"/>
    <n v="286927942.92511201"/>
    <n v="2"/>
    <n v="10149954.399625611"/>
    <n v="0"/>
    <n v="0"/>
    <n v="1.1840501007831345E-2"/>
    <n v="1.143595881071582E-2"/>
    <n v="4.0454219711552342E-4"/>
    <n v="0"/>
    <n v="17475170.430866919"/>
    <n v="6.9650005928419676E-4"/>
  </r>
  <r>
    <n v="84"/>
    <s v="HKG"/>
    <s v="Hong Kong, China"/>
    <x v="5"/>
    <x v="3"/>
    <n v="0"/>
    <n v="1"/>
    <x v="1"/>
    <s v="na"/>
    <n v="0"/>
    <s v="na"/>
    <n v="363016373358.5166"/>
    <n v="0"/>
    <n v="0"/>
    <n v="0"/>
    <n v="0"/>
    <n v="0"/>
    <n v="0"/>
    <n v="0"/>
    <n v="0"/>
    <n v="0"/>
    <n v="0"/>
    <n v="0"/>
    <n v="0"/>
    <n v="0"/>
    <n v="0"/>
    <n v="1"/>
    <n v="0"/>
    <n v="0"/>
    <n v="0"/>
    <n v="0"/>
    <n v="0"/>
    <x v="0"/>
    <n v="0"/>
    <n v="0"/>
    <n v="0"/>
    <n v="0"/>
    <n v="264601840000"/>
    <n v="296069015000"/>
    <n v="31467175000"/>
    <n v="560670855000"/>
    <n v="578590151000"/>
    <n v="535711019000"/>
    <n v="-42879132000"/>
    <n v="1114301170000"/>
    <n v="0.45732171476247613"/>
    <n v="0.55266553141405517"/>
    <n v="0.23156853001123964"/>
    <n v="0.2589289025704487"/>
    <n v="0.50315917284731915"/>
    <n v="1.5444781451945115"/>
    <s v="na"/>
    <s v="na"/>
    <s v="na"/>
    <s v="na"/>
    <s v="na"/>
    <s v="na"/>
    <s v="na"/>
    <s v="na"/>
    <n v="0"/>
    <n v="0"/>
    <n v="0"/>
    <n v="0"/>
    <n v="0"/>
    <n v="0"/>
  </r>
  <r>
    <n v="85"/>
    <s v="HUN"/>
    <s v="Hungary"/>
    <x v="1"/>
    <x v="3"/>
    <n v="1"/>
    <n v="0"/>
    <x v="0"/>
    <n v="2015"/>
    <n v="0"/>
    <s v="na"/>
    <n v="163503650313.08057"/>
    <n v="5"/>
    <n v="3480000000"/>
    <n v="4"/>
    <n v="2400000000"/>
    <n v="9"/>
    <n v="5880000000"/>
    <n v="2.1283928483164846E-2"/>
    <n v="1.4678571367699893E-2"/>
    <n v="3.5962499850864735E-2"/>
    <n v="2.5919277835293416E-3"/>
    <n v="3.0183363935910659E-3"/>
    <n v="2.7440347577735984E-3"/>
    <n v="345882352.94117647"/>
    <n v="2.1154411676979259E-3"/>
    <n v="2"/>
    <n v="1"/>
    <n v="216100000"/>
    <n v="0"/>
    <n v="0"/>
    <n v="0"/>
    <x v="0"/>
    <n v="1"/>
    <n v="216100000"/>
    <n v="1.3216830302333112E-3"/>
    <n v="5.4214438802786639E-3"/>
    <n v="7157898000"/>
    <n v="1666401000"/>
    <n v="-5491497000"/>
    <n v="8824299000"/>
    <n v="117324011000"/>
    <n v="122180658000"/>
    <n v="4856647000"/>
    <n v="239504669000"/>
    <n v="6.1009659821466555E-2"/>
    <n v="1.3638828168694262E-2"/>
    <n v="4.6956466015427398E-2"/>
    <n v="5.9054420329695163E-2"/>
    <n v="3.6843953969014277E-2"/>
    <n v="5.3970042767259495E-2"/>
    <s v="na"/>
    <s v="na"/>
    <s v="na"/>
    <s v="na"/>
    <s v="na"/>
    <s v="na"/>
    <s v="na"/>
    <s v="na"/>
    <n v="0"/>
    <n v="0"/>
    <n v="0"/>
    <n v="0"/>
    <n v="0"/>
    <n v="0"/>
  </r>
  <r>
    <n v="86"/>
    <s v="ISL"/>
    <s v="Iceland"/>
    <x v="1"/>
    <x v="3"/>
    <n v="3"/>
    <n v="1"/>
    <x v="1"/>
    <s v="na"/>
    <n v="0"/>
    <s v="na"/>
    <n v="24857740445.040115"/>
    <n v="0"/>
    <n v="0"/>
    <n v="0"/>
    <n v="0"/>
    <n v="0"/>
    <n v="0"/>
    <n v="0"/>
    <n v="0"/>
    <n v="0"/>
    <n v="0"/>
    <n v="0"/>
    <n v="0"/>
    <n v="0"/>
    <n v="0"/>
    <n v="2"/>
    <n v="0"/>
    <n v="0"/>
    <n v="0"/>
    <n v="0"/>
    <n v="0"/>
    <x v="0"/>
    <n v="0"/>
    <n v="0"/>
    <n v="0"/>
    <n v="0"/>
    <n v="483334000"/>
    <n v="129845000"/>
    <n v="-353489000"/>
    <n v="613179000"/>
    <n v="6560654000"/>
    <n v="5231459000"/>
    <n v="-1329195000"/>
    <n v="11792113000"/>
    <n v="7.3671618713622142E-2"/>
    <n v="2.4820035863800136E-2"/>
    <n v="2.6257636775645003E-3"/>
    <n v="2.5285571692007648E-3"/>
    <n v="5.1999077688621199E-2"/>
    <n v="2.4667527660276464E-2"/>
    <s v="na"/>
    <s v="na"/>
    <s v="na"/>
    <s v="na"/>
    <s v="na"/>
    <s v="na"/>
    <s v="na"/>
    <s v="na"/>
    <n v="0"/>
    <n v="0"/>
    <n v="0"/>
    <n v="0"/>
    <n v="0"/>
    <n v="0"/>
  </r>
  <r>
    <n v="87"/>
    <s v="IND"/>
    <s v="India"/>
    <x v="0"/>
    <x v="2"/>
    <n v="3"/>
    <n v="1"/>
    <x v="1"/>
    <s v="na"/>
    <n v="0"/>
    <s v="na"/>
    <n v="2870504096717.4771"/>
    <n v="71"/>
    <n v="34560000000"/>
    <n v="0"/>
    <n v="0"/>
    <n v="71"/>
    <n v="34560000000"/>
    <n v="1.203969715267802E-2"/>
    <n v="0"/>
    <n v="1.203969715267802E-2"/>
    <n v="2.5740524195050015E-2"/>
    <n v="0"/>
    <n v="1.6128204290587679E-2"/>
    <n v="2032941176.4705882"/>
    <n v="7.0821747956929533E-4"/>
    <n v="1"/>
    <n v="27"/>
    <n v="6674670000"/>
    <n v="16"/>
    <n v="5207850000"/>
    <n v="1"/>
    <x v="2"/>
    <n v="44"/>
    <n v="11882520000"/>
    <n v="4.1395237908171184E-3"/>
    <n v="0.29810465218088306"/>
    <n v="68402093000"/>
    <n v="17278833000"/>
    <n v="-51123260000"/>
    <n v="85680926000"/>
    <n v="478883729000"/>
    <n v="323250726000"/>
    <n v="-155633003000"/>
    <n v="802134455000"/>
    <n v="0.14283653600600826"/>
    <n v="5.3453346304317348E-2"/>
    <n v="0.19166313318532593"/>
    <n v="0.15623900343606861"/>
    <n v="0.10681616462915809"/>
    <n v="2.9848738449103476E-2"/>
    <n v="55"/>
    <n v="39265828068.341133"/>
    <n v="7"/>
    <n v="1318426.1142835901"/>
    <n v="40"/>
    <n v="37901803538.01329"/>
    <n v="8"/>
    <n v="1362706104.213562"/>
    <n v="1.3679070555322668E-2"/>
    <n v="4.5930124809480572E-7"/>
    <n v="1.3203884147511004E-2"/>
    <n v="4.7472710656357002E-4"/>
    <n v="2309754592.2553606"/>
    <n v="8.0465120913662748E-4"/>
  </r>
  <r>
    <n v="88"/>
    <s v="IDN"/>
    <s v="Indonesia"/>
    <x v="5"/>
    <x v="2"/>
    <n v="0"/>
    <n v="1"/>
    <x v="0"/>
    <n v="2015"/>
    <n v="0"/>
    <s v="na"/>
    <n v="1119091259074.6206"/>
    <n v="42"/>
    <n v="15520000000"/>
    <n v="81"/>
    <n v="39550000000"/>
    <n v="123"/>
    <n v="55070000000"/>
    <n v="1.3868395337868628E-2"/>
    <n v="3.5341174975045374E-2"/>
    <n v="4.9209570312914001E-2"/>
    <n v="1.1559402069073386E-2"/>
    <n v="4.9739668486052768E-2"/>
    <n v="2.5699658862345591E-2"/>
    <n v="3239411764.7058825"/>
    <n v="2.8946806066420003E-3"/>
    <n v="1"/>
    <n v="10"/>
    <n v="2899900000"/>
    <n v="1"/>
    <n v="250000000"/>
    <n v="0"/>
    <x v="0"/>
    <n v="11"/>
    <n v="3149900000"/>
    <n v="2.8146944893526022E-3"/>
    <n v="7.9023628313233521E-2"/>
    <n v="44930621000"/>
    <n v="27961887000"/>
    <n v="-16968734000"/>
    <n v="72892508000"/>
    <n v="171275737000"/>
    <n v="167682996000"/>
    <n v="-3592741000"/>
    <n v="338958733000"/>
    <n v="0.26232916457980271"/>
    <n v="0.16675445732136132"/>
    <n v="6.854950879328342E-2"/>
    <n v="8.1047379266254993E-2"/>
    <n v="0.21504832566151938"/>
    <n v="6.5135445754687604E-2"/>
    <n v="257"/>
    <n v="99427299972.997116"/>
    <n v="94"/>
    <n v="6537878994.209197"/>
    <n v="147"/>
    <n v="42066840342.080299"/>
    <n v="16"/>
    <n v="50822580636.707619"/>
    <n v="8.8846462848091404E-2"/>
    <n v="5.842132123894333E-3"/>
    <n v="3.7590178639108913E-2"/>
    <n v="4.5414152085088165E-2"/>
    <n v="5848664704.2939482"/>
    <n v="5.226262520475965E-3"/>
  </r>
  <r>
    <n v="89"/>
    <s v="IRQ"/>
    <s v="Iran"/>
    <x v="2"/>
    <x v="2"/>
    <n v="0"/>
    <n v="0"/>
    <x v="0"/>
    <n v="2018"/>
    <n v="0"/>
    <s v="na"/>
    <n v="258245497664.39365"/>
    <n v="17"/>
    <n v="14680000000"/>
    <n v="17"/>
    <n v="11880000000"/>
    <n v="34"/>
    <n v="26560000000"/>
    <n v="5.6845134311218806E-2"/>
    <n v="4.6002738121068081E-2"/>
    <n v="0.10284787243228689"/>
    <n v="1.0933764328221476E-2"/>
    <n v="1.4940765148275775E-2"/>
    <n v="1.2394823667766458E-2"/>
    <n v="1562352941.1764705"/>
    <n v="6.0498748489580525E-3"/>
    <n v="1"/>
    <n v="0"/>
    <n v="0"/>
    <n v="0"/>
    <n v="0"/>
    <n v="0"/>
    <x v="0"/>
    <n v="0"/>
    <n v="0"/>
    <n v="0"/>
    <n v="0"/>
    <n v="9608726000"/>
    <n v="13401559000"/>
    <n v="3792833000"/>
    <n v="23010285000"/>
    <n v="35276061000"/>
    <n v="30798216000"/>
    <n v="-4477845000"/>
    <n v="66074277000"/>
    <n v="0.27238659100855961"/>
    <n v="0.43514075620483994"/>
    <n v="1.4118500939288924E-2"/>
    <n v="1.4885914209667646E-2"/>
    <n v="0.34824875949834455"/>
    <n v="8.9102366577958003E-2"/>
    <n v="77"/>
    <n v="89177687080.527771"/>
    <n v="10"/>
    <n v="6566530.3152619414"/>
    <n v="41"/>
    <n v="28422188032.474449"/>
    <n v="26"/>
    <n v="60748932517.738075"/>
    <n v="0.34532136237441713"/>
    <n v="2.5427472597394757E-5"/>
    <n v="0.1100587940139459"/>
    <n v="0.2352371408878739"/>
    <n v="5245746298.8545752"/>
    <n v="2.0313021316142186E-2"/>
  </r>
  <r>
    <n v="90"/>
    <s v="IRN"/>
    <s v="Iraq"/>
    <x v="2"/>
    <x v="1"/>
    <n v="0"/>
    <n v="0"/>
    <x v="0"/>
    <n v="2015"/>
    <n v="0"/>
    <s v="na"/>
    <n v="222434137055.83755"/>
    <n v="11"/>
    <n v="13760000000"/>
    <n v="28"/>
    <n v="11370000000"/>
    <n v="39"/>
    <n v="25130000000"/>
    <n v="6.1861008306228787E-2"/>
    <n v="5.1116254683271897E-2"/>
    <n v="0.11297726298950068"/>
    <n v="1.0248542040621764E-2"/>
    <n v="1.4299368664637675E-2"/>
    <n v="1.1727481881437164E-2"/>
    <n v="1478235294.1176472"/>
    <n v="6.6457213523235708E-3"/>
    <n v="0"/>
    <s v="na"/>
    <s v="na"/>
    <s v="na"/>
    <s v="na"/>
    <s v="na"/>
    <x v="1"/>
    <n v="0"/>
    <s v="na"/>
    <s v="na"/>
    <s v="na"/>
    <n v="9473787000"/>
    <n v="23806377000"/>
    <n v="14332590000"/>
    <n v="33280164000"/>
    <n v="51027496000"/>
    <n v="91224183000"/>
    <n v="40196687000"/>
    <n v="142251679000"/>
    <n v="0.18566043295559712"/>
    <n v="0.26096563671060774"/>
    <n v="2.0422681268341208E-2"/>
    <n v="4.4092013705762108E-2"/>
    <n v="0.233952697317548"/>
    <n v="0.14961805971196632"/>
    <n v="20"/>
    <n v="8213165570.2614946"/>
    <n v="19"/>
    <n v="8213165570.2614946"/>
    <n v="1"/>
    <n v="0"/>
    <n v="0"/>
    <n v="0"/>
    <n v="3.6924033689126355E-2"/>
    <n v="3.6924033689126355E-2"/>
    <n v="0"/>
    <n v="0"/>
    <n v="483127386.48597026"/>
    <n v="2.172001981713315E-3"/>
  </r>
  <r>
    <n v="91"/>
    <s v="IRL"/>
    <s v="Ireland"/>
    <x v="1"/>
    <x v="3"/>
    <n v="2"/>
    <n v="0"/>
    <x v="1"/>
    <s v="na"/>
    <n v="0"/>
    <s v="na"/>
    <n v="399122063504.14838"/>
    <n v="6"/>
    <n v="7930000000"/>
    <n v="0"/>
    <n v="0"/>
    <n v="6"/>
    <n v="7930000000"/>
    <n v="1.9868608441180744E-2"/>
    <n v="0"/>
    <n v="1.9868608441180744E-2"/>
    <n v="5.9063181963757696E-3"/>
    <n v="0"/>
    <n v="3.7007135423715366E-3"/>
    <n v="466470588.2352941"/>
    <n v="1.1687416730106321E-3"/>
    <n v="2"/>
    <n v="0"/>
    <n v="0"/>
    <n v="0"/>
    <n v="0"/>
    <n v="0"/>
    <x v="0"/>
    <n v="0"/>
    <n v="0"/>
    <n v="0"/>
    <n v="0"/>
    <n v="5706890000"/>
    <n v="9212614000"/>
    <n v="3505724000"/>
    <n v="14919504000"/>
    <n v="101473370000"/>
    <n v="170743383000"/>
    <n v="69270013000"/>
    <n v="272216753000"/>
    <n v="5.6240272694205388E-2"/>
    <n v="5.3955906449387851E-2"/>
    <n v="4.0612580572922032E-2"/>
    <n v="8.2526577227928569E-2"/>
    <n v="5.4807442361932808E-2"/>
    <n v="3.7380804932235799E-2"/>
    <s v="na"/>
    <s v="na"/>
    <s v="na"/>
    <s v="na"/>
    <s v="na"/>
    <s v="na"/>
    <s v="na"/>
    <s v="na"/>
    <n v="0"/>
    <n v="0"/>
    <n v="0"/>
    <n v="0"/>
    <n v="0"/>
    <n v="0"/>
  </r>
  <r>
    <n v="92"/>
    <s v="ISR"/>
    <s v="Israel"/>
    <x v="2"/>
    <x v="3"/>
    <n v="0"/>
    <n v="0"/>
    <x v="1"/>
    <s v="na"/>
    <n v="0"/>
    <s v="na"/>
    <n v="394652208893.13806"/>
    <n v="3"/>
    <n v="1820000000"/>
    <n v="15"/>
    <n v="10960000000"/>
    <n v="18"/>
    <n v="12780000000"/>
    <n v="4.6116554246699035E-3"/>
    <n v="2.7771287612297878E-2"/>
    <n v="3.238294303696778E-2"/>
    <n v="1.3555484385124718E-3"/>
    <n v="1.3783736197399201E-2"/>
    <n v="5.9640755449569026E-3"/>
    <n v="751764705.88235295"/>
    <n v="1.9048790021745756E-3"/>
    <n v="1"/>
    <n v="0"/>
    <n v="0"/>
    <n v="0"/>
    <n v="0"/>
    <n v="0"/>
    <x v="0"/>
    <n v="0"/>
    <n v="0"/>
    <n v="0"/>
    <n v="0"/>
    <n v="10230484000"/>
    <n v="4721776000"/>
    <n v="-5508708000"/>
    <n v="14952260000"/>
    <n v="76491065000"/>
    <n v="58448249000"/>
    <n v="-18042816000"/>
    <n v="134939314000"/>
    <n v="0.13374743834459621"/>
    <n v="8.0785585210602293E-2"/>
    <n v="3.0613938813908677E-2"/>
    <n v="2.8250195411295663E-2"/>
    <n v="0.11080729223212148"/>
    <n v="3.7887181835205938E-2"/>
    <n v="15"/>
    <n v="2654539877.4793816"/>
    <n v="0"/>
    <n v="0"/>
    <n v="15"/>
    <n v="2654539877.4793816"/>
    <n v="0"/>
    <n v="0"/>
    <n v="6.726276497791412E-3"/>
    <n v="0"/>
    <n v="6.726276497791412E-3"/>
    <n v="0"/>
    <n v="156149404.55761069"/>
    <n v="3.9566332339949488E-4"/>
  </r>
  <r>
    <n v="93"/>
    <s v="ITA"/>
    <s v="Italy"/>
    <x v="1"/>
    <x v="3"/>
    <n v="3"/>
    <n v="0"/>
    <x v="0"/>
    <n v="2019"/>
    <n v="0"/>
    <s v="na"/>
    <n v="2004913357799.9968"/>
    <n v="7"/>
    <n v="3550000000"/>
    <n v="25"/>
    <n v="23780000000"/>
    <n v="32"/>
    <n v="27330000000"/>
    <n v="1.7706500813059751E-3"/>
    <n v="1.1860861671396081E-2"/>
    <n v="1.3631511752702056E-2"/>
    <n v="2.6440642619336677E-3"/>
    <n v="2.9906683099831476E-2"/>
    <n v="1.2754161552713E-2"/>
    <n v="1607647058.8235295"/>
    <n v="8.0185363251188569E-4"/>
    <n v="2"/>
    <n v="0"/>
    <n v="0"/>
    <n v="0"/>
    <n v="0"/>
    <n v="0"/>
    <x v="0"/>
    <n v="0"/>
    <n v="0"/>
    <n v="0"/>
    <n v="0"/>
    <n v="35449437000"/>
    <n v="14519418000"/>
    <n v="-20930019000"/>
    <n v="49968855000"/>
    <n v="474957328000"/>
    <n v="537748429000"/>
    <n v="62791101000"/>
    <n v="1012705757000"/>
    <n v="7.4637098766902277E-2"/>
    <n v="2.7000391292635463E-2"/>
    <n v="0.19009167382634237"/>
    <n v="0.25991365800141003"/>
    <n v="4.9341928447238004E-2"/>
    <n v="2.4923199202399011E-2"/>
    <s v="na"/>
    <s v="na"/>
    <s v="na"/>
    <s v="na"/>
    <s v="na"/>
    <s v="na"/>
    <s v="na"/>
    <s v="na"/>
    <n v="0"/>
    <n v="0"/>
    <n v="0"/>
    <n v="0"/>
    <n v="0"/>
    <n v="0"/>
  </r>
  <r>
    <n v="94"/>
    <s v="JAM"/>
    <s v="Jamaica"/>
    <x v="4"/>
    <x v="1"/>
    <n v="1"/>
    <n v="0"/>
    <x v="0"/>
    <n v="2019"/>
    <n v="0"/>
    <s v="na"/>
    <n v="15830768549.891571"/>
    <n v="2"/>
    <n v="540000000"/>
    <n v="4"/>
    <n v="2140000000"/>
    <n v="6"/>
    <n v="2680000000"/>
    <n v="3.4110788639108658E-2"/>
    <n v="0.1351797920142454"/>
    <n v="0.16929058065335406"/>
    <n v="4.0219569054765649E-4"/>
    <n v="2.6913499509520337E-3"/>
    <n v="1.2506825086451095E-3"/>
    <n v="157647058.82352942"/>
    <n v="9.9582694501972983E-3"/>
    <n v="0"/>
    <s v="na"/>
    <s v="na"/>
    <s v="na"/>
    <s v="na"/>
    <s v="na"/>
    <x v="1"/>
    <n v="0"/>
    <s v="na"/>
    <s v="na"/>
    <s v="na"/>
    <n v="492158"/>
    <n v="36193"/>
    <n v="-455965"/>
    <n v="528351"/>
    <n v="6339233000"/>
    <n v="1586351000"/>
    <n v="-4752882000"/>
    <n v="7925584000"/>
    <n v="7.7636837137868263E-5"/>
    <n v="2.2815253370786162E-5"/>
    <n v="2.5371445826922493E-3"/>
    <n v="7.6674197273051401E-4"/>
    <n v="6.6663983373338795E-5"/>
    <n v="3.3374943126410549E-5"/>
    <n v="79"/>
    <n v="2417432921.7819471"/>
    <n v="52"/>
    <n v="392676844.9338299"/>
    <n v="24"/>
    <n v="2003071917.3938727"/>
    <n v="3"/>
    <n v="21684159.454244822"/>
    <n v="0.15270471008171646"/>
    <n v="2.4804660853722068E-2"/>
    <n v="0.12653030148732686"/>
    <n v="1.3697477406675459E-3"/>
    <n v="142201936.57540867"/>
    <n v="8.9826300048068512E-3"/>
  </r>
  <r>
    <n v="95"/>
    <s v="JPN"/>
    <s v="Japan"/>
    <x v="5"/>
    <x v="3"/>
    <n v="0"/>
    <n v="0"/>
    <x v="1"/>
    <s v="na"/>
    <n v="0"/>
    <s v="na"/>
    <n v="5148781948478.1729"/>
    <n v="26"/>
    <n v="11800000000"/>
    <n v="0"/>
    <n v="0"/>
    <n v="26"/>
    <n v="11800000000"/>
    <n v="2.2918041816643118E-3"/>
    <n v="0"/>
    <n v="2.2918041816643118E-3"/>
    <n v="8.7887206453006409E-3"/>
    <n v="0"/>
    <n v="5.5067364186613035E-3"/>
    <n v="694117647.05882359"/>
    <n v="1.34812010686136E-4"/>
    <n v="0"/>
    <s v="na"/>
    <s v="na"/>
    <s v="na"/>
    <s v="na"/>
    <s v="na"/>
    <x v="1"/>
    <n v="0"/>
    <s v="na"/>
    <s v="na"/>
    <s v="na"/>
    <n v="169236468000"/>
    <n v="134719884000"/>
    <n v="-34516584000"/>
    <n v="303956352000"/>
    <n v="720964445000"/>
    <n v="705842013000"/>
    <n v="-15122432000"/>
    <n v="1426806458000"/>
    <n v="0.23473621920426327"/>
    <n v="0.19086407654796259"/>
    <n v="0.28855084454940749"/>
    <n v="0.34115948959826486"/>
    <n v="0.21303264384299556"/>
    <n v="5.90346134370364E-2"/>
    <s v="na"/>
    <s v="na"/>
    <s v="na"/>
    <s v="na"/>
    <s v="na"/>
    <s v="na"/>
    <s v="na"/>
    <s v="na"/>
    <n v="0"/>
    <n v="0"/>
    <n v="0"/>
    <n v="0"/>
    <n v="0"/>
    <n v="0"/>
  </r>
  <r>
    <n v="96"/>
    <s v="JOR"/>
    <s v="Jordan"/>
    <x v="2"/>
    <x v="1"/>
    <n v="0"/>
    <n v="0"/>
    <x v="1"/>
    <s v="na"/>
    <n v="0"/>
    <s v="na"/>
    <n v="44502895915.492958"/>
    <n v="3"/>
    <n v="1940000000"/>
    <n v="7"/>
    <n v="4400000000"/>
    <n v="10"/>
    <n v="6340000000"/>
    <n v="4.3592668748655986E-2"/>
    <n v="9.8869970357776463E-2"/>
    <n v="0.14246263910643245"/>
    <n v="1.4449252586341732E-3"/>
    <n v="5.5336167215836209E-3"/>
    <n v="2.958704143585819E-3"/>
    <n v="372941176.47058821"/>
    <n v="8.3801552415548493E-3"/>
    <n v="1"/>
    <n v="1"/>
    <n v="250000000"/>
    <n v="0"/>
    <n v="0"/>
    <n v="0"/>
    <x v="0"/>
    <n v="1"/>
    <n v="250000000"/>
    <n v="5.6176119521463902E-3"/>
    <n v="6.2719156412293659E-3"/>
    <n v="3086738000"/>
    <n v="206890000"/>
    <n v="-2879848000"/>
    <n v="3293628000"/>
    <n v="19336709000"/>
    <n v="8312917000"/>
    <n v="-11023792000"/>
    <n v="27649626000"/>
    <n v="0.15963098994766897"/>
    <n v="2.4887774050913778E-2"/>
    <n v="7.7391107861860368E-3"/>
    <n v="4.0179395226687068E-3"/>
    <n v="0.11912016459101472"/>
    <n v="7.4009296074896036E-2"/>
    <n v="72"/>
    <n v="4727412211.0386553"/>
    <n v="56"/>
    <n v="282307787.39558607"/>
    <n v="15"/>
    <n v="1692278229.7153194"/>
    <n v="1"/>
    <n v="2752826193.9277501"/>
    <n v="0.10622706935781417"/>
    <n v="6.3435824026297849E-3"/>
    <n v="3.8026249638423652E-2"/>
    <n v="6.1857237316760738E-2"/>
    <n v="278083071.23756796"/>
    <n v="6.2486511386949514E-3"/>
  </r>
  <r>
    <n v="97"/>
    <s v="KAZ"/>
    <s v="Kazakhstan"/>
    <x v="1"/>
    <x v="1"/>
    <n v="3"/>
    <n v="0"/>
    <x v="0"/>
    <n v="2015"/>
    <n v="0"/>
    <s v="na"/>
    <n v="181667190075.54071"/>
    <n v="19"/>
    <n v="22190000000"/>
    <n v="27"/>
    <n v="12490000000"/>
    <n v="46"/>
    <n v="34680000000"/>
    <n v="0.12214643706864718"/>
    <n v="6.8752095492897847E-2"/>
    <n v="0.19089853256154504"/>
    <n v="1.652726365417129E-2"/>
    <n v="1.5707925648313505E-2"/>
    <n v="1.6184204999930001E-2"/>
    <n v="2040000000"/>
    <n v="1.1229325444796767E-2"/>
    <n v="1"/>
    <n v="2"/>
    <n v="796700000"/>
    <n v="0"/>
    <n v="0"/>
    <n v="0"/>
    <x v="0"/>
    <n v="2"/>
    <n v="796700000"/>
    <n v="4.3854919518968548E-3"/>
    <n v="1.9987340765469742E-2"/>
    <n v="6537806000"/>
    <n v="7823406000"/>
    <n v="1285600000"/>
    <n v="14361212000"/>
    <n v="38356664000"/>
    <n v="57722942000"/>
    <n v="19366278000"/>
    <n v="96079606000"/>
    <n v="0.17044772193953051"/>
    <n v="0.13553373630886659"/>
    <n v="1.535144745077943E-2"/>
    <n v="2.7899627775245857E-2"/>
    <n v="0.14947201178156372"/>
    <n v="7.905231535770621E-2"/>
    <n v="124"/>
    <n v="83520871989.101364"/>
    <n v="52"/>
    <n v="27212651292.361855"/>
    <n v="59"/>
    <n v="50505760818.666328"/>
    <n v="13"/>
    <n v="5802459878.0731754"/>
    <n v="0.45974659460726935"/>
    <n v="0.14979397920475521"/>
    <n v="0.27801256130875951"/>
    <n v="3.1940054093754632E-2"/>
    <n v="4912992469.9471388"/>
    <n v="2.7043917329839372E-2"/>
  </r>
  <r>
    <n v="98"/>
    <s v="KEN"/>
    <s v="Kenya"/>
    <x v="3"/>
    <x v="2"/>
    <n v="0"/>
    <n v="0"/>
    <x v="0"/>
    <n v="2017"/>
    <n v="0"/>
    <s v="na"/>
    <n v="95503088538.09198"/>
    <n v="10"/>
    <n v="7340000000"/>
    <n v="32"/>
    <n v="9220000000"/>
    <n v="42"/>
    <n v="16560000000"/>
    <n v="7.6856153160663451E-2"/>
    <n v="9.6541380400724394E-2"/>
    <n v="0.17339753356138785"/>
    <n v="5.4668821641107382E-3"/>
    <n v="1.1595442312045677E-2"/>
    <n v="7.7280978892399306E-3"/>
    <n v="974117647.05882359"/>
    <n v="1.0199854915375757E-2"/>
    <n v="3"/>
    <n v="0"/>
    <n v="0"/>
    <n v="0"/>
    <n v="0"/>
    <n v="0"/>
    <x v="0"/>
    <n v="0"/>
    <n v="0"/>
    <n v="0"/>
    <n v="0"/>
    <n v="3590419000"/>
    <n v="148552000"/>
    <n v="-3441867000"/>
    <n v="3738971000"/>
    <n v="17220379000"/>
    <n v="5836027000"/>
    <n v="-11384352000"/>
    <n v="23056406000"/>
    <n v="0.20849825662954341"/>
    <n v="2.5454303072963851E-2"/>
    <n v="6.8920942473257212E-3"/>
    <n v="2.8207671914277123E-3"/>
    <n v="0.1621662543589838"/>
    <n v="3.9150262648403135E-2"/>
    <n v="191"/>
    <n v="15971557294.632847"/>
    <n v="133"/>
    <n v="2806509408.8657408"/>
    <n v="36"/>
    <n v="7976308103.5065899"/>
    <n v="22"/>
    <n v="5188739782.2605143"/>
    <n v="0.16723602910771304"/>
    <n v="2.9386582694091067E-2"/>
    <n v="8.351884976290784E-2"/>
    <n v="5.4330596650714123E-2"/>
    <n v="939503370.27252042"/>
    <n v="9.8374134769242966E-3"/>
  </r>
  <r>
    <n v="99"/>
    <s v="KIR"/>
    <s v="Kiribati"/>
    <x v="5"/>
    <x v="2"/>
    <n v="0"/>
    <n v="0"/>
    <x v="0"/>
    <n v="2020"/>
    <n v="1"/>
    <n v="2019"/>
    <n v="194647201.94647205"/>
    <n v="0"/>
    <n v="0"/>
    <n v="0"/>
    <n v="0"/>
    <n v="0"/>
    <n v="0"/>
    <n v="0"/>
    <n v="0"/>
    <n v="0"/>
    <n v="0"/>
    <n v="0"/>
    <n v="0"/>
    <n v="0"/>
    <n v="0"/>
    <n v="0"/>
    <s v="na"/>
    <s v="na"/>
    <s v="na"/>
    <s v="na"/>
    <s v="na"/>
    <x v="1"/>
    <n v="0"/>
    <s v="na"/>
    <s v="na"/>
    <s v="na"/>
    <n v="20208000"/>
    <n v="1919000"/>
    <n v="-18289000"/>
    <n v="22127000"/>
    <n v="104950000"/>
    <n v="98354000"/>
    <n v="-6596000"/>
    <n v="203304000"/>
    <n v="0.19254883277751311"/>
    <n v="1.9511153588059459E-2"/>
    <n v="4.2004028555749819E-5"/>
    <n v="4.7538117343473782E-5"/>
    <n v="0.10883701255263055"/>
    <n v="0.11367746249999998"/>
    <n v="1"/>
    <n v="11932058.166570701"/>
    <n v="1"/>
    <n v="11932058.166570701"/>
    <n v="0"/>
    <n v="0"/>
    <n v="0"/>
    <n v="0"/>
    <n v="6.1300948830756964E-2"/>
    <n v="6.1300948830756964E-2"/>
    <n v="0"/>
    <n v="0"/>
    <n v="701885.77450415888"/>
    <n v="3.6059381665151159E-3"/>
  </r>
  <r>
    <n v="100"/>
    <s v="KOR"/>
    <s v="Korea Republic"/>
    <x v="5"/>
    <x v="0"/>
    <n v="2"/>
    <n v="1"/>
    <x v="0"/>
    <n v="2018"/>
    <n v="0"/>
    <s v="na"/>
    <n v="1646739219509.8928"/>
    <n v="4"/>
    <n v="2120000000"/>
    <n v="14"/>
    <n v="7240000000"/>
    <n v="18"/>
    <n v="9360000000"/>
    <n v="1.2873926696365199E-3"/>
    <n v="4.39656741894736E-3"/>
    <n v="5.6839600885838799E-3"/>
    <n v="1.5789904888167253E-3"/>
    <n v="9.1053147873330475E-3"/>
    <n v="4.3680553287008305E-3"/>
    <n v="550588235.29411769"/>
    <n v="3.3435059344611063E-4"/>
    <n v="1"/>
    <n v="0"/>
    <n v="0"/>
    <n v="0"/>
    <n v="0"/>
    <n v="0"/>
    <x v="0"/>
    <n v="0"/>
    <n v="0"/>
    <n v="0"/>
    <n v="0"/>
    <n v="107219763000"/>
    <n v="136213398000"/>
    <n v="28993635000"/>
    <n v="243433161000"/>
    <n v="503259397000"/>
    <n v="542333337000"/>
    <n v="39073940000"/>
    <n v="1045592734000"/>
    <n v="0.21305069242452715"/>
    <n v="0.25116176474322099"/>
    <n v="0.20141898125333429"/>
    <n v="0.26212971321536199"/>
    <n v="0.23281833651303854"/>
    <n v="0.14782739010275789"/>
    <s v="na"/>
    <s v="na"/>
    <s v="na"/>
    <s v="na"/>
    <s v="na"/>
    <s v="na"/>
    <s v="na"/>
    <s v="na"/>
    <n v="0"/>
    <n v="0"/>
    <n v="0"/>
    <n v="0"/>
    <n v="0"/>
    <n v="0"/>
  </r>
  <r>
    <n v="101"/>
    <s v="PRK"/>
    <s v="Korea, Democratic People's Republic of"/>
    <x v="5"/>
    <x v="3"/>
    <n v="0"/>
    <n v="0"/>
    <x v="1"/>
    <s v="na"/>
    <n v="0"/>
    <s v="na"/>
    <s v="na"/>
    <n v="1"/>
    <n v="2000000000"/>
    <n v="0"/>
    <n v="0"/>
    <n v="1"/>
    <n v="2000000000"/>
    <n v="0"/>
    <n v="0"/>
    <n v="0"/>
    <n v="1.4896136686950239E-3"/>
    <n v="0"/>
    <n v="9.3334515570530556E-4"/>
    <n v="117647058.82352941"/>
    <n v="0"/>
    <n v="0"/>
    <s v="na"/>
    <s v="na"/>
    <s v="na"/>
    <s v="na"/>
    <s v="na"/>
    <x v="1"/>
    <n v="0"/>
    <s v="na"/>
    <s v="na"/>
    <s v="na"/>
    <n v="2929120000"/>
    <n v="2576499000"/>
    <n v="-352621000"/>
    <n v="5505619000"/>
    <n v="3239556000"/>
    <n v="2997825000"/>
    <n v="-241731000"/>
    <n v="6237381000"/>
    <n v="0.90417328794439733"/>
    <n v="0.85945610567661557"/>
    <n v="1.2965641041634175E-3"/>
    <n v="1.4489594386115387E-3"/>
    <n v="0.88268120866754818"/>
    <s v="na"/>
    <n v="126"/>
    <n v="7330423494.5992079"/>
    <n v="115"/>
    <n v="7182188240.9055529"/>
    <n v="9"/>
    <n v="148235253.69365531"/>
    <n v="2"/>
    <n v="0"/>
    <n v="0"/>
    <n v="0"/>
    <n v="0"/>
    <n v="0"/>
    <n v="431201382.0352475"/>
    <n v="0"/>
  </r>
  <r>
    <n v="102"/>
    <s v="XXK"/>
    <s v="Kosovo"/>
    <x v="1"/>
    <x v="1"/>
    <n v="0"/>
    <n v="0"/>
    <x v="1"/>
    <s v="na"/>
    <n v="0"/>
    <s v="na"/>
    <n v="7953156068.0698614"/>
    <n v="0"/>
    <n v="0"/>
    <n v="0"/>
    <n v="0"/>
    <n v="0"/>
    <n v="0"/>
    <n v="0"/>
    <n v="0"/>
    <n v="0"/>
    <n v="0"/>
    <n v="0"/>
    <n v="0"/>
    <n v="0"/>
    <n v="0"/>
    <n v="0"/>
    <s v="na"/>
    <s v="na"/>
    <s v="na"/>
    <s v="na"/>
    <s v="na"/>
    <x v="1"/>
    <n v="0"/>
    <s v="na"/>
    <s v="na"/>
    <s v="na"/>
    <s v="na"/>
    <s v="na"/>
    <s v="na"/>
    <s v="na"/>
    <s v="na"/>
    <s v="na"/>
    <s v="na"/>
    <s v="na"/>
    <s v="na"/>
    <s v="na"/>
    <s v="na"/>
    <s v="na"/>
    <s v="na"/>
    <s v="na"/>
    <n v="0"/>
    <s v="na"/>
    <s v="na"/>
    <s v="na"/>
    <s v="na"/>
    <s v="na"/>
    <s v="na"/>
    <s v="na"/>
    <n v="0"/>
    <n v="0"/>
    <n v="0"/>
    <n v="0"/>
    <n v="0"/>
    <n v="0"/>
  </r>
  <r>
    <n v="103"/>
    <s v="KWT"/>
    <s v="Kuwait"/>
    <x v="2"/>
    <x v="3"/>
    <n v="0"/>
    <n v="0"/>
    <x v="0"/>
    <n v="2018"/>
    <n v="0"/>
    <s v="na"/>
    <n v="136196760180.97563"/>
    <n v="7"/>
    <n v="2690000000"/>
    <n v="20"/>
    <n v="8420000000"/>
    <n v="27"/>
    <n v="11110000000"/>
    <n v="1.975083692464916E-2"/>
    <n v="6.1822322269719676E-2"/>
    <n v="8.1573159194368833E-2"/>
    <n v="2.0035303843948071E-3"/>
    <n v="1.0589330180848655E-2"/>
    <n v="5.1847323399429723E-3"/>
    <n v="653529411.7647059"/>
    <n v="4.7984211290805203E-3"/>
    <n v="3"/>
    <n v="0"/>
    <n v="0"/>
    <n v="0"/>
    <n v="0"/>
    <n v="0"/>
    <x v="0"/>
    <n v="0"/>
    <n v="0"/>
    <n v="0"/>
    <n v="0"/>
    <n v="5988380000"/>
    <n v="910739000"/>
    <n v="-5077641000"/>
    <n v="6899119000"/>
    <n v="33530893000"/>
    <n v="64482097000"/>
    <n v="30951204000"/>
    <n v="98012990000"/>
    <n v="0.17859291728377172"/>
    <n v="1.4123904810353794E-2"/>
    <n v="1.3420034178864141E-2"/>
    <n v="3.1166576791378679E-2"/>
    <n v="7.0389843223842063E-2"/>
    <n v="5.065552947685821E-2"/>
    <s v="na"/>
    <s v="na"/>
    <s v="na"/>
    <s v="na"/>
    <s v="na"/>
    <s v="na"/>
    <s v="na"/>
    <s v="na"/>
    <n v="0"/>
    <n v="0"/>
    <n v="0"/>
    <n v="0"/>
    <n v="0"/>
    <n v="0"/>
  </r>
  <r>
    <n v="104"/>
    <s v="KGZ"/>
    <s v="Kyrgyzstan"/>
    <x v="1"/>
    <x v="2"/>
    <n v="2"/>
    <n v="0"/>
    <x v="0"/>
    <n v="2013"/>
    <n v="0"/>
    <s v="na"/>
    <n v="8871019822.7670345"/>
    <n v="1"/>
    <n v="390000000"/>
    <n v="8"/>
    <n v="4340000000"/>
    <n v="9"/>
    <n v="4730000000"/>
    <n v="4.3963378257715562E-2"/>
    <n v="0.48923349138073213"/>
    <n v="0.5331968696384477"/>
    <n v="2.9047466539552967E-4"/>
    <n v="5.4581583117438437E-3"/>
    <n v="2.2073612932430476E-3"/>
    <n v="278235294.11764705"/>
    <n v="3.1364521743438102E-2"/>
    <n v="1"/>
    <n v="1"/>
    <n v="50000000"/>
    <n v="0"/>
    <n v="0"/>
    <n v="0"/>
    <x v="0"/>
    <n v="1"/>
    <n v="50000000"/>
    <n v="5.6363305458609694E-3"/>
    <n v="1.2543831282458731E-3"/>
    <n v="1733932000"/>
    <n v="81469000"/>
    <n v="-1652463000"/>
    <n v="1815401000"/>
    <n v="4903813000"/>
    <n v="1965502000"/>
    <n v="-2938311000"/>
    <n v="6869315000"/>
    <n v="0.35358852386907902"/>
    <n v="4.1449461766001762E-2"/>
    <n v="1.9626479398195062E-3"/>
    <n v="9.499996412431869E-4"/>
    <n v="0.26427686021095265"/>
    <n v="0.20464400218573101"/>
    <n v="96"/>
    <n v="3151288944.3117113"/>
    <n v="58"/>
    <n v="761839555.53911817"/>
    <n v="34"/>
    <n v="2325623547.1757441"/>
    <n v="4"/>
    <n v="63825841.59684895"/>
    <n v="0.35523412271316129"/>
    <n v="8.5879591158605523E-2"/>
    <n v="0.26215966074240371"/>
    <n v="7.1948708121520686E-3"/>
    <n v="185369937.90068889"/>
    <n v="2.0896124865480075E-2"/>
  </r>
  <r>
    <n v="105"/>
    <s v="LAO"/>
    <s v="Laos"/>
    <x v="5"/>
    <x v="2"/>
    <n v="4"/>
    <n v="1"/>
    <x v="0"/>
    <n v="2018"/>
    <n v="0"/>
    <s v="na"/>
    <n v="18245925331.239628"/>
    <n v="17"/>
    <n v="7700000000"/>
    <n v="36"/>
    <n v="22110000000"/>
    <n v="53"/>
    <n v="29810000000"/>
    <n v="0.42201203064316511"/>
    <n v="1.211777402275374"/>
    <n v="1.6337894329185392"/>
    <n v="5.735012624475842E-3"/>
    <n v="2.7806424025957694E-2"/>
    <n v="1.3911509545787581E-2"/>
    <n v="1753529411.7647059"/>
    <n v="9.6105260759914074E-2"/>
    <n v="1"/>
    <n v="2"/>
    <n v="70000000"/>
    <n v="0"/>
    <n v="0"/>
    <n v="0"/>
    <x v="0"/>
    <n v="2"/>
    <n v="70000000"/>
    <n v="3.8364730058469553E-3"/>
    <n v="1.7561363795442224E-3"/>
    <n v="1681038"/>
    <n v="1672285"/>
    <n v="-8753"/>
    <n v="3353323"/>
    <n v="5797445000"/>
    <n v="5809346000"/>
    <n v="11901000"/>
    <n v="11606791000"/>
    <n v="2.8996187113461186E-4"/>
    <n v="2.8786114650427089E-4"/>
    <n v="2.3203053390222872E-3"/>
    <n v="2.8078712796311286E-3"/>
    <n v="2.8891043183253666E-4"/>
    <n v="1.8378475956265329E-4"/>
    <n v="240"/>
    <n v="15505734362.315592"/>
    <n v="148"/>
    <n v="2178454652.0293546"/>
    <n v="63"/>
    <n v="12583814821.697277"/>
    <n v="29"/>
    <n v="743464888.58896065"/>
    <n v="0.84981901881224742"/>
    <n v="0.11939403524246202"/>
    <n v="0.68967808391454888"/>
    <n v="4.0746899655236597E-2"/>
    <n v="912102021.31268191"/>
    <n v="4.9989354047779266E-2"/>
  </r>
  <r>
    <n v="106"/>
    <s v="LVA"/>
    <s v="Latvia"/>
    <x v="1"/>
    <x v="3"/>
    <n v="0"/>
    <n v="0"/>
    <x v="0"/>
    <n v="2016"/>
    <n v="0"/>
    <s v="na"/>
    <n v="34055464655.325436"/>
    <n v="0"/>
    <n v="0"/>
    <n v="1"/>
    <n v="110000000"/>
    <n v="1"/>
    <n v="110000000"/>
    <n v="0"/>
    <n v="3.2300249347148083E-3"/>
    <n v="3.2300249347148083E-3"/>
    <n v="0"/>
    <n v="1.383404180395905E-4"/>
    <n v="5.1333983563791811E-5"/>
    <n v="6470588.2352941176"/>
    <n v="1.9000146674792988E-4"/>
    <n v="0"/>
    <s v="na"/>
    <s v="na"/>
    <s v="na"/>
    <s v="na"/>
    <s v="na"/>
    <x v="1"/>
    <n v="0"/>
    <s v="na"/>
    <s v="na"/>
    <s v="na"/>
    <n v="570676000"/>
    <n v="179440000"/>
    <n v="-391236000"/>
    <n v="750116000"/>
    <n v="17767575000"/>
    <n v="14447102000"/>
    <n v="-3320473000"/>
    <n v="32214677000"/>
    <n v="3.2118958270895157E-2"/>
    <n v="1.2420484052787888E-2"/>
    <n v="7.1110979291703338E-3"/>
    <n v="6.9828174771654908E-3"/>
    <n v="2.3284914512723503E-2"/>
    <n v="2.2026303490259393E-2"/>
    <s v="na"/>
    <s v="na"/>
    <s v="na"/>
    <s v="na"/>
    <s v="na"/>
    <s v="na"/>
    <s v="na"/>
    <s v="na"/>
    <n v="0"/>
    <n v="0"/>
    <n v="0"/>
    <n v="0"/>
    <n v="0"/>
    <n v="0"/>
  </r>
  <r>
    <n v="107"/>
    <s v="LBN"/>
    <s v="Lebanon"/>
    <x v="2"/>
    <x v="1"/>
    <n v="0"/>
    <n v="0"/>
    <x v="0"/>
    <n v="2017"/>
    <n v="0"/>
    <s v="na"/>
    <n v="51991634491.634491"/>
    <n v="0"/>
    <n v="0"/>
    <n v="0"/>
    <n v="0"/>
    <n v="0"/>
    <n v="0"/>
    <n v="0"/>
    <n v="0"/>
    <n v="0"/>
    <n v="0"/>
    <n v="0"/>
    <n v="0"/>
    <n v="0"/>
    <n v="0"/>
    <n v="3"/>
    <n v="0"/>
    <n v="0"/>
    <n v="0"/>
    <n v="0"/>
    <n v="0"/>
    <x v="0"/>
    <n v="0"/>
    <n v="0"/>
    <n v="0"/>
    <n v="0"/>
    <n v="1626506000"/>
    <n v="13593000"/>
    <n v="-1612913000"/>
    <n v="1640099000"/>
    <n v="19239394000"/>
    <n v="3731350000"/>
    <n v="-15508044000"/>
    <n v="22970744000"/>
    <n v="8.4540396646588759E-2"/>
    <n v="3.6429174427486033E-3"/>
    <n v="7.7001625056819607E-3"/>
    <n v="1.8034991372955942E-3"/>
    <n v="7.1399472302682052E-2"/>
    <n v="3.1545440262392477E-2"/>
    <n v="71"/>
    <n v="171154932.98376152"/>
    <n v="68"/>
    <n v="170202739.3696748"/>
    <n v="3"/>
    <n v="952193.61408672202"/>
    <n v="0"/>
    <n v="0"/>
    <n v="3.2919706152208109E-3"/>
    <n v="3.2736562532393668E-3"/>
    <n v="1.8314361981443976E-5"/>
    <n v="0"/>
    <n v="10067937.234338913"/>
    <n v="1.9364533030710653E-4"/>
  </r>
  <r>
    <n v="108"/>
    <s v="LSO"/>
    <s v="Lesotho"/>
    <x v="3"/>
    <x v="2"/>
    <n v="0"/>
    <n v="0"/>
    <x v="0"/>
    <n v="2019"/>
    <n v="0"/>
    <s v="na"/>
    <n v="2366213068.575067"/>
    <n v="0"/>
    <n v="0"/>
    <n v="1"/>
    <n v="100000000"/>
    <n v="1"/>
    <n v="100000000"/>
    <n v="0"/>
    <n v="4.2261621038303186E-2"/>
    <n v="4.2261621038303186E-2"/>
    <n v="0"/>
    <n v="1.2576401639962775E-4"/>
    <n v="4.6667257785265281E-5"/>
    <n v="5882352.9411764704"/>
    <n v="2.4859777081354816E-3"/>
    <n v="0"/>
    <s v="na"/>
    <s v="na"/>
    <s v="na"/>
    <s v="na"/>
    <s v="na"/>
    <x v="1"/>
    <n v="0"/>
    <s v="na"/>
    <s v="na"/>
    <s v="na"/>
    <n v="84452000"/>
    <n v="17745000"/>
    <n v="-66707000"/>
    <n v="102197000"/>
    <n v="1369285000"/>
    <n v="645750000"/>
    <n v="-723535000"/>
    <n v="2015035000"/>
    <n v="6.1675984181525395E-2"/>
    <n v="2.7479674796747969E-2"/>
    <n v="5.4802750110490603E-4"/>
    <n v="3.1211480239286857E-4"/>
    <n v="5.0717233199423332E-2"/>
    <n v="4.3190108852514709E-2"/>
    <n v="114"/>
    <n v="271028975.15808421"/>
    <n v="110"/>
    <n v="269062670.73385012"/>
    <n v="3"/>
    <n v="0"/>
    <n v="1"/>
    <n v="1966304.4242341099"/>
    <n v="0.11454123838530644"/>
    <n v="0.11371024626107724"/>
    <n v="0"/>
    <n v="8.3099212422920897E-4"/>
    <n v="15942880.891652012"/>
    <n v="6.7377199050180255E-3"/>
  </r>
  <r>
    <n v="109"/>
    <s v="LBR"/>
    <s v="Liberia"/>
    <x v="3"/>
    <x v="0"/>
    <n v="0"/>
    <n v="0"/>
    <x v="0"/>
    <n v="2019"/>
    <n v="1"/>
    <n v="2003"/>
    <n v="3070518100"/>
    <n v="2"/>
    <n v="280000000"/>
    <n v="2"/>
    <n v="410000000"/>
    <n v="4"/>
    <n v="690000000"/>
    <n v="9.1189822329983988E-2"/>
    <n v="0.13352795412604798"/>
    <n v="0.22471777645603197"/>
    <n v="2.0854591361730334E-4"/>
    <n v="5.1563246723847374E-4"/>
    <n v="3.2200407871833044E-4"/>
    <n v="40588235.294117644"/>
    <n v="1.3218692732707761E-2"/>
    <n v="2"/>
    <n v="0"/>
    <n v="0"/>
    <n v="0"/>
    <n v="0"/>
    <n v="0"/>
    <x v="0"/>
    <n v="0"/>
    <n v="0"/>
    <n v="0"/>
    <n v="0"/>
    <n v="3909849000"/>
    <n v="112419000"/>
    <n v="-3797430000"/>
    <n v="4022268000"/>
    <n v="12349304000"/>
    <n v="2001974000"/>
    <n v="-10347330000"/>
    <n v="14351278000"/>
    <n v="0.3166048062303754"/>
    <n v="5.6154075927059989E-2"/>
    <n v="4.9425490029503145E-3"/>
    <n v="9.6762790461581215E-4"/>
    <n v="0.28027246075227585"/>
    <n v="1.3099639438699286"/>
    <n v="144"/>
    <n v="1151598844.2702711"/>
    <n v="137"/>
    <n v="649897009.68720102"/>
    <n v="6"/>
    <n v="501701834.58307004"/>
    <n v="1"/>
    <n v="0"/>
    <n v="0.37505033573007468"/>
    <n v="0.21165711730772765"/>
    <n v="0.16339321842234705"/>
    <n v="0"/>
    <n v="67741108.486486539"/>
    <n v="2.2061784454710277E-2"/>
  </r>
  <r>
    <n v="110"/>
    <s v="LBY"/>
    <s v="Libya"/>
    <x v="2"/>
    <x v="1"/>
    <n v="0"/>
    <n v="0"/>
    <x v="0"/>
    <n v="2018"/>
    <n v="0"/>
    <s v="na"/>
    <n v="52091152228.342514"/>
    <n v="1"/>
    <n v="2600000000"/>
    <n v="0"/>
    <n v="0"/>
    <n v="1"/>
    <n v="2600000000"/>
    <n v="4.9912506995484621E-2"/>
    <n v="0"/>
    <n v="4.9912506995484621E-2"/>
    <n v="1.9364977693035312E-3"/>
    <n v="0"/>
    <n v="1.2133487024168974E-3"/>
    <n v="152941176.47058824"/>
    <n v="2.936029823263801E-3"/>
    <n v="3"/>
    <n v="0"/>
    <n v="0"/>
    <n v="0"/>
    <n v="0"/>
    <n v="0"/>
    <x v="0"/>
    <n v="0"/>
    <n v="0"/>
    <n v="0"/>
    <n v="0"/>
    <n v="2453887000"/>
    <n v="4765665000"/>
    <n v="2311778000"/>
    <n v="7219552000"/>
    <n v="15501101000"/>
    <n v="29471855000"/>
    <n v="13970754000"/>
    <n v="44972956000"/>
    <n v="0.15830404562875888"/>
    <n v="0.16170224100247507"/>
    <n v="6.2039894144789139E-3"/>
    <n v="1.4244834997253233E-2"/>
    <n v="0.16053096443115725"/>
    <n v="0.13859459219394807"/>
    <n v="7"/>
    <n v="394418703.00868791"/>
    <n v="6"/>
    <n v="3304198.7619668599"/>
    <n v="1"/>
    <n v="391114504.24672103"/>
    <n v="0"/>
    <n v="0"/>
    <n v="7.5717024127196567E-3"/>
    <n v="6.3431093777362513E-5"/>
    <n v="7.5082713189422931E-3"/>
    <n v="0"/>
    <n v="23201100.176981643"/>
    <n v="4.4539425957174452E-4"/>
  </r>
  <r>
    <n v="111"/>
    <s v="LIE"/>
    <s v="Liechtenstein"/>
    <x v="1"/>
    <x v="3"/>
    <n v="0"/>
    <n v="0"/>
    <x v="1"/>
    <s v="na"/>
    <n v="0"/>
    <s v="na"/>
    <n v="6839145106.8616419"/>
    <n v="0"/>
    <n v="0"/>
    <n v="0"/>
    <n v="0"/>
    <n v="0"/>
    <n v="0"/>
    <n v="0"/>
    <n v="0"/>
    <n v="0"/>
    <n v="0"/>
    <n v="0"/>
    <n v="0"/>
    <n v="0"/>
    <n v="0"/>
    <n v="0"/>
    <s v="na"/>
    <s v="na"/>
    <s v="na"/>
    <s v="na"/>
    <s v="na"/>
    <x v="1"/>
    <n v="0"/>
    <s v="na"/>
    <s v="na"/>
    <s v="na"/>
    <s v="na"/>
    <s v="na"/>
    <s v="na"/>
    <s v="na"/>
    <s v="na"/>
    <s v="na"/>
    <s v="na"/>
    <s v="na"/>
    <s v="na"/>
    <s v="na"/>
    <s v="na"/>
    <s v="na"/>
    <s v="na"/>
    <s v="na"/>
    <s v="na"/>
    <s v="na"/>
    <s v="na"/>
    <s v="na"/>
    <s v="na"/>
    <s v="na"/>
    <s v="na"/>
    <s v="na"/>
    <n v="0"/>
    <n v="0"/>
    <n v="0"/>
    <n v="0"/>
    <n v="0"/>
    <n v="0"/>
  </r>
  <r>
    <n v="112"/>
    <s v="LTU"/>
    <s v="Lithuania"/>
    <x v="1"/>
    <x v="3"/>
    <n v="0"/>
    <n v="0"/>
    <x v="0"/>
    <n v="2017"/>
    <n v="0"/>
    <s v="na"/>
    <n v="54639938780.235207"/>
    <n v="0"/>
    <n v="0"/>
    <n v="0"/>
    <n v="0"/>
    <n v="0"/>
    <n v="0"/>
    <n v="0"/>
    <n v="0"/>
    <n v="0"/>
    <n v="0"/>
    <n v="0"/>
    <n v="0"/>
    <n v="0"/>
    <n v="0"/>
    <n v="0"/>
    <s v="na"/>
    <s v="na"/>
    <s v="na"/>
    <s v="na"/>
    <s v="na"/>
    <x v="1"/>
    <n v="0"/>
    <s v="na"/>
    <s v="na"/>
    <s v="na"/>
    <n v="1039964000"/>
    <n v="309140000"/>
    <n v="-730824000"/>
    <n v="1349104000"/>
    <n v="35759416000"/>
    <n v="33150772000"/>
    <n v="-2608644000"/>
    <n v="68910188000"/>
    <n v="2.9082242282703945E-2"/>
    <n v="9.3252730283324928E-3"/>
    <n v="1.4311953604582534E-2"/>
    <n v="1.6022991330934634E-2"/>
    <n v="1.957771469147639E-2"/>
    <n v="2.4690803652364424E-2"/>
    <s v="na"/>
    <s v="na"/>
    <s v="na"/>
    <s v="na"/>
    <s v="na"/>
    <s v="na"/>
    <s v="na"/>
    <s v="na"/>
    <n v="0"/>
    <n v="0"/>
    <n v="0"/>
    <n v="0"/>
    <n v="0"/>
    <n v="0"/>
  </r>
  <r>
    <n v="113"/>
    <s v="LUX"/>
    <s v="Luxembourg"/>
    <x v="1"/>
    <x v="3"/>
    <n v="0"/>
    <n v="0"/>
    <x v="0"/>
    <n v="2019"/>
    <n v="0"/>
    <s v="na"/>
    <n v="71104919108.141068"/>
    <n v="0"/>
    <n v="0"/>
    <n v="5"/>
    <n v="4680000000"/>
    <n v="5"/>
    <n v="4680000000"/>
    <n v="0"/>
    <n v="6.5818231125224211E-2"/>
    <n v="6.5818231125224211E-2"/>
    <n v="0"/>
    <n v="5.8857559675025784E-3"/>
    <n v="2.1840276643504152E-3"/>
    <n v="275294117.64705884"/>
    <n v="3.8716606544249538E-3"/>
    <n v="2"/>
    <n v="0"/>
    <n v="0"/>
    <n v="0"/>
    <n v="0"/>
    <n v="0"/>
    <x v="0"/>
    <n v="0"/>
    <n v="0"/>
    <n v="0"/>
    <n v="0"/>
    <n v="658564000"/>
    <n v="205707000"/>
    <n v="-452857000"/>
    <n v="864271000"/>
    <n v="22673693000"/>
    <n v="14667447000"/>
    <n v="-8006246000"/>
    <n v="37341140000"/>
    <n v="2.904529050472722E-2"/>
    <n v="1.4024731093284332E-2"/>
    <n v="9.0746683967251537E-3"/>
    <n v="7.0893183461291096E-3"/>
    <n v="2.314527622884572E-2"/>
    <n v="1.2154869323253985E-2"/>
    <s v="na"/>
    <s v="na"/>
    <s v="na"/>
    <s v="na"/>
    <s v="na"/>
    <s v="na"/>
    <s v="na"/>
    <s v="na"/>
    <n v="0"/>
    <n v="0"/>
    <n v="0"/>
    <n v="0"/>
    <n v="0"/>
    <n v="0"/>
  </r>
  <r>
    <n v="114"/>
    <s v="MAC"/>
    <s v="Macao, China"/>
    <x v="5"/>
    <x v="3"/>
    <n v="0"/>
    <n v="1"/>
    <x v="1"/>
    <s v="na"/>
    <n v="0"/>
    <s v="na"/>
    <n v="55153707948.702072"/>
    <n v="0"/>
    <n v="0"/>
    <n v="0"/>
    <n v="0"/>
    <n v="0"/>
    <n v="0"/>
    <n v="0"/>
    <n v="0"/>
    <n v="0"/>
    <n v="0"/>
    <n v="0"/>
    <n v="0"/>
    <n v="0"/>
    <n v="0"/>
    <n v="0"/>
    <s v="na"/>
    <s v="na"/>
    <s v="na"/>
    <s v="na"/>
    <s v="na"/>
    <x v="1"/>
    <n v="0"/>
    <s v="na"/>
    <s v="na"/>
    <s v="na"/>
    <n v="3982601000"/>
    <n v="106308000"/>
    <n v="-3876293000"/>
    <n v="4088909000"/>
    <n v="12024019000"/>
    <n v="1023983000"/>
    <n v="-11000036000"/>
    <n v="13048002000"/>
    <n v="0.33122045133162215"/>
    <n v="0.1038181297931704"/>
    <n v="4.8123605281646343E-3"/>
    <n v="4.9492876763245332E-4"/>
    <n v="0.31337433884513505"/>
    <n v="7.41366111559182E-2"/>
    <s v="na"/>
    <s v="na"/>
    <s v="na"/>
    <s v="na"/>
    <s v="na"/>
    <s v="na"/>
    <s v="na"/>
    <s v="na"/>
    <n v="0"/>
    <n v="0"/>
    <n v="0"/>
    <n v="0"/>
    <n v="0"/>
    <n v="0"/>
  </r>
  <r>
    <n v="115"/>
    <s v="MDG"/>
    <s v="Madagascar"/>
    <x v="3"/>
    <x v="0"/>
    <n v="0"/>
    <n v="0"/>
    <x v="0"/>
    <n v="2017"/>
    <n v="0"/>
    <s v="na"/>
    <n v="14191911512.040983"/>
    <n v="2"/>
    <n v="290000000"/>
    <n v="4"/>
    <n v="1790000000"/>
    <n v="6"/>
    <n v="2080000000"/>
    <n v="2.0434174758907738E-2"/>
    <n v="0.12612818213256846"/>
    <n v="0.14656235689147618"/>
    <n v="2.1599398196077847E-4"/>
    <n v="2.2511758935533366E-3"/>
    <n v="9.7067896193351786E-4"/>
    <n v="122352941.17647059"/>
    <n v="8.621315111263305E-3"/>
    <n v="2"/>
    <n v="0"/>
    <n v="0"/>
    <n v="0"/>
    <n v="0"/>
    <n v="0"/>
    <x v="0"/>
    <n v="0"/>
    <n v="0"/>
    <n v="0"/>
    <n v="0"/>
    <n v="874580000"/>
    <n v="167226000"/>
    <n v="-707354000"/>
    <n v="1041806000"/>
    <n v="3896887000"/>
    <n v="2564400000"/>
    <n v="-1332487000"/>
    <n v="6461287000"/>
    <n v="0.22443042356629792"/>
    <n v="6.5210575573233509E-2"/>
    <n v="1.5596470016820414E-3"/>
    <n v="1.2394691432540024E-3"/>
    <n v="0.16123815580394432"/>
    <n v="7.3408434030615977E-2"/>
    <n v="111"/>
    <n v="804675543.67270756"/>
    <n v="101"/>
    <n v="529686978.48534048"/>
    <n v="9"/>
    <n v="268092218.5773001"/>
    <n v="1"/>
    <n v="6896346.61006705"/>
    <n v="5.6699588564231726E-2"/>
    <n v="3.7323159606507762E-2"/>
    <n v="1.8890493951420145E-2"/>
    <n v="4.8593500630383121E-4"/>
    <n v="47333855.510159269"/>
    <n v="3.3352699155430429E-3"/>
  </r>
  <r>
    <n v="116"/>
    <s v="MWI"/>
    <s v="Malawi"/>
    <x v="3"/>
    <x v="0"/>
    <n v="0"/>
    <n v="0"/>
    <x v="1"/>
    <s v="na"/>
    <n v="1"/>
    <n v="2008"/>
    <n v="10862613621.905966"/>
    <n v="3"/>
    <n v="810000000"/>
    <n v="0"/>
    <n v="0"/>
    <n v="3"/>
    <n v="810000000"/>
    <n v="7.4567689526075273E-2"/>
    <n v="0"/>
    <n v="7.4567689526075273E-2"/>
    <n v="6.032935358214847E-4"/>
    <n v="0"/>
    <n v="3.7800478806064878E-4"/>
    <n v="47647058.823529415"/>
    <n v="4.3863346780044273E-3"/>
    <n v="0"/>
    <s v="na"/>
    <s v="na"/>
    <s v="na"/>
    <s v="na"/>
    <s v="na"/>
    <x v="1"/>
    <n v="0"/>
    <s v="na"/>
    <s v="na"/>
    <s v="na"/>
    <n v="541249000"/>
    <n v="35293000"/>
    <n v="-505956000"/>
    <n v="576542000"/>
    <n v="2941148000"/>
    <n v="912983000"/>
    <n v="-2028165000"/>
    <n v="3854131000"/>
    <n v="0.18402644137595253"/>
    <n v="3.8656798647948541E-2"/>
    <n v="1.1771325829317432E-3"/>
    <n v="4.412783718668963E-4"/>
    <n v="0.14959065999572926"/>
    <n v="5.3075808462645042E-2"/>
    <n v="155"/>
    <n v="1346157401.5601292"/>
    <n v="144"/>
    <n v="1208006927.5556164"/>
    <n v="6"/>
    <n v="161598.31997793919"/>
    <n v="5"/>
    <n v="137988875.68453479"/>
    <n v="0.12392573725032585"/>
    <n v="0.11120775990038925"/>
    <n v="1.4876559693889303E-5"/>
    <n v="1.27031007902427E-2"/>
    <n v="79185729.503537014"/>
    <n v="7.2897492500191684E-3"/>
  </r>
  <r>
    <n v="117"/>
    <s v="MYS"/>
    <s v="Malaysia"/>
    <x v="5"/>
    <x v="1"/>
    <n v="3"/>
    <n v="1"/>
    <x v="0"/>
    <n v="2017"/>
    <n v="0"/>
    <s v="na"/>
    <n v="364681367531.68378"/>
    <n v="30"/>
    <n v="13210000000"/>
    <n v="61"/>
    <n v="30610000000"/>
    <n v="91"/>
    <n v="43820000000"/>
    <n v="3.6223402608723372E-2"/>
    <n v="8.3936287195535378E-2"/>
    <n v="0.12015968980425874"/>
    <n v="9.8388982817306323E-3"/>
    <n v="3.849636541992605E-2"/>
    <n v="2.0449592361503247E-2"/>
    <n v="2577647058.8235292"/>
    <n v="7.0682170473093378E-3"/>
    <n v="1"/>
    <n v="0"/>
    <n v="0"/>
    <n v="0"/>
    <n v="0"/>
    <n v="0"/>
    <x v="0"/>
    <n v="0"/>
    <n v="0"/>
    <n v="0"/>
    <n v="0"/>
    <n v="42395009000"/>
    <n v="33706910000"/>
    <n v="-8688099000"/>
    <n v="76101919000"/>
    <n v="204988314000"/>
    <n v="238161125000"/>
    <n v="33172811000"/>
    <n v="443149439000"/>
    <n v="0.20681671151263775"/>
    <n v="0.14152985715028008"/>
    <n v="8.204225816913778E-2"/>
    <n v="0.1151120595695521"/>
    <n v="0.17172969725907744"/>
    <n v="0.2086805792001101"/>
    <n v="39"/>
    <n v="26661440552.418114"/>
    <n v="12"/>
    <n v="3803445.9413302299"/>
    <n v="22"/>
    <n v="26032408950.268303"/>
    <n v="5"/>
    <n v="625228156.20847774"/>
    <n v="7.3108864137682458E-2"/>
    <n v="1.0429504438555621E-5"/>
    <n v="7.1383984124186409E-2"/>
    <n v="1.7144505090574925E-3"/>
    <n v="1568320032.4951832"/>
    <n v="4.3005214198636741E-3"/>
  </r>
  <r>
    <n v="118"/>
    <s v="MDV"/>
    <s v="Maldives"/>
    <x v="0"/>
    <x v="1"/>
    <n v="0"/>
    <n v="0"/>
    <x v="0"/>
    <n v="2017"/>
    <n v="0"/>
    <s v="na"/>
    <n v="5642179170.4589777"/>
    <n v="0"/>
    <n v="0"/>
    <n v="6"/>
    <n v="1230000000"/>
    <n v="6"/>
    <n v="1230000000"/>
    <n v="0"/>
    <n v="0.218000875697101"/>
    <n v="0.218000875697101"/>
    <n v="0"/>
    <n v="1.5468974017154211E-3"/>
    <n v="5.7400727075876293E-4"/>
    <n v="72352941.176470593"/>
    <n v="1.2823580923358883E-2"/>
    <n v="1"/>
    <n v="3"/>
    <n v="67300000"/>
    <n v="0"/>
    <n v="0"/>
    <n v="0"/>
    <x v="0"/>
    <n v="3"/>
    <n v="67300000"/>
    <n v="1.1928015393833249E-2"/>
    <n v="1.6883996906189452E-3"/>
    <n v="469397"/>
    <n v="4"/>
    <n v="-469393"/>
    <n v="469401"/>
    <n v="2887083000"/>
    <n v="158016000"/>
    <n v="-2729067000"/>
    <n v="3045099000"/>
    <n v="1.6258521144005904E-4"/>
    <n v="2.5313892264074525E-8"/>
    <n v="1.1554942046195318E-3"/>
    <n v="7.6374963399011253E-5"/>
    <n v="1.5414966804034943E-4"/>
    <n v="8.3194982969995863E-5"/>
    <n v="77"/>
    <n v="1817080883.9023614"/>
    <n v="63"/>
    <n v="384920213.52288961"/>
    <n v="10"/>
    <n v="1185724060.2961195"/>
    <n v="4"/>
    <n v="246436610.0833523"/>
    <n v="0.32205302756355864"/>
    <n v="6.8221905383337431E-2"/>
    <n v="0.21015356380461481"/>
    <n v="4.3677558375606364E-2"/>
    <n v="106887110.81778596"/>
    <n v="1.8944295739032859E-2"/>
  </r>
  <r>
    <n v="119"/>
    <s v="MLI"/>
    <s v="Mali"/>
    <x v="3"/>
    <x v="0"/>
    <n v="0"/>
    <n v="0"/>
    <x v="0"/>
    <n v="2019"/>
    <n v="0"/>
    <s v="na"/>
    <n v="17281815733.959595"/>
    <n v="3"/>
    <n v="690000000"/>
    <n v="4"/>
    <n v="1820000000"/>
    <n v="7"/>
    <n v="2510000000"/>
    <n v="3.9926360205549294E-2"/>
    <n v="0.10531300807840538"/>
    <n v="0.14523936828395467"/>
    <n v="5.139167156997833E-4"/>
    <n v="2.2889050984732247E-3"/>
    <n v="1.1713481704101584E-3"/>
    <n v="147647058.82352942"/>
    <n v="8.5434922519973342E-3"/>
    <n v="0"/>
    <s v="na"/>
    <s v="na"/>
    <s v="na"/>
    <s v="na"/>
    <s v="na"/>
    <x v="1"/>
    <n v="0"/>
    <s v="na"/>
    <s v="na"/>
    <s v="na"/>
    <n v="795952"/>
    <n v="32895"/>
    <n v="-763057"/>
    <n v="828847"/>
    <n v="5049220000"/>
    <n v="3642251000"/>
    <n v="-1406969000"/>
    <n v="8691471000"/>
    <n v="1.5763860556680041E-4"/>
    <n v="9.0315027712258163E-6"/>
    <n v="2.0208440311030311E-3"/>
    <n v="1.7604343029504108E-3"/>
    <n v="9.5363258992637722E-5"/>
    <n v="4.7960643300418714E-5"/>
    <n v="149"/>
    <n v="3652028013.9940505"/>
    <n v="130"/>
    <n v="2855610033.669302"/>
    <n v="6"/>
    <n v="646014104.18274343"/>
    <n v="13"/>
    <n v="150403876.14200509"/>
    <n v="0.21132200864852649"/>
    <n v="0.16523784755197288"/>
    <n v="3.7381147567341247E-2"/>
    <n v="8.7030135292123431E-3"/>
    <n v="214825177.29376769"/>
    <n v="1.2430706391089794E-2"/>
  </r>
  <r>
    <n v="120"/>
    <s v="MLT"/>
    <s v="Malta"/>
    <x v="2"/>
    <x v="3"/>
    <n v="0"/>
    <n v="0"/>
    <x v="0"/>
    <n v="2018"/>
    <n v="0"/>
    <s v="na"/>
    <n v="15215714309.097391"/>
    <n v="0"/>
    <n v="0"/>
    <n v="1"/>
    <n v="440000000"/>
    <n v="1"/>
    <n v="440000000"/>
    <n v="0"/>
    <n v="2.8917472493350277E-2"/>
    <n v="2.8917472493350277E-2"/>
    <n v="0"/>
    <n v="5.53361672158362E-4"/>
    <n v="2.0533593425516725E-4"/>
    <n v="25882352.94117647"/>
    <n v="1.7010277937264868E-3"/>
    <n v="2"/>
    <n v="0"/>
    <n v="0"/>
    <n v="0"/>
    <n v="0"/>
    <n v="0"/>
    <x v="0"/>
    <n v="0"/>
    <n v="0"/>
    <n v="0"/>
    <n v="0"/>
    <n v="286007000"/>
    <n v="40737000"/>
    <n v="-245270000"/>
    <n v="326744000"/>
    <n v="7066686000"/>
    <n v="3007798000"/>
    <n v="-4058888000"/>
    <n v="10074484000"/>
    <n v="4.0472577952381072E-2"/>
    <n v="1.3543795161776156E-2"/>
    <n v="2.8282923348119816E-3"/>
    <n v="1.4537797575031597E-3"/>
    <n v="3.2432827328923247E-2"/>
    <n v="2.1474115073561915E-2"/>
    <s v="na"/>
    <s v="na"/>
    <s v="na"/>
    <s v="na"/>
    <s v="na"/>
    <s v="na"/>
    <s v="na"/>
    <s v="na"/>
    <n v="0"/>
    <n v="0"/>
    <n v="0"/>
    <n v="0"/>
    <n v="0"/>
    <n v="0"/>
  </r>
  <r>
    <n v="121"/>
    <s v="MHL"/>
    <s v="Marshall Islands"/>
    <x v="5"/>
    <x v="1"/>
    <n v="0"/>
    <n v="0"/>
    <x v="1"/>
    <s v="na"/>
    <n v="2"/>
    <s v="na"/>
    <n v="239462200"/>
    <n v="0"/>
    <n v="0"/>
    <n v="0"/>
    <n v="0"/>
    <n v="0"/>
    <n v="0"/>
    <n v="0"/>
    <n v="0"/>
    <n v="0"/>
    <n v="0"/>
    <n v="0"/>
    <n v="0"/>
    <n v="0"/>
    <n v="0"/>
    <n v="0"/>
    <s v="na"/>
    <s v="na"/>
    <s v="na"/>
    <s v="na"/>
    <s v="na"/>
    <x v="1"/>
    <n v="0"/>
    <s v="na"/>
    <s v="na"/>
    <s v="na"/>
    <n v="2384715000"/>
    <n v="45069000"/>
    <n v="-2339646000"/>
    <n v="2429784000"/>
    <n v="11958628000"/>
    <n v="1255808000"/>
    <n v="-10702820000"/>
    <n v="13214436000"/>
    <n v="0.19941376218074514"/>
    <n v="3.5888447915604936E-2"/>
    <n v="4.7861891567373928E-3"/>
    <n v="6.0697834419416719E-4"/>
    <n v="0.18387345475811454"/>
    <n v="10.146837371409767"/>
    <n v="41"/>
    <n v="3430241540.1422386"/>
    <n v="0"/>
    <n v="0"/>
    <n v="41"/>
    <n v="3430241540.1422386"/>
    <n v="0"/>
    <n v="0"/>
    <n v="14.324772511662545"/>
    <n v="0"/>
    <n v="14.324772511662545"/>
    <n v="0"/>
    <n v="201778914.12601402"/>
    <n v="0.84263367715662019"/>
  </r>
  <r>
    <n v="122"/>
    <s v="MRT"/>
    <s v="Mauritania"/>
    <x v="3"/>
    <x v="2"/>
    <n v="0"/>
    <n v="0"/>
    <x v="0"/>
    <n v="2018"/>
    <n v="0"/>
    <s v="na"/>
    <n v="7600650037.8463011"/>
    <n v="6"/>
    <n v="1010000000"/>
    <n v="0"/>
    <n v="0"/>
    <n v="6"/>
    <n v="1010000000"/>
    <n v="0.13288337115521118"/>
    <n v="0"/>
    <n v="0.13288337115521118"/>
    <n v="7.5225490269098712E-4"/>
    <n v="0"/>
    <n v="4.7133930363117932E-4"/>
    <n v="59411764.705882356"/>
    <n v="7.8166688914830113E-3"/>
    <n v="0"/>
    <s v="na"/>
    <s v="na"/>
    <s v="na"/>
    <s v="na"/>
    <s v="na"/>
    <x v="1"/>
    <n v="0"/>
    <s v="na"/>
    <s v="na"/>
    <s v="na"/>
    <n v="377888000"/>
    <n v="875593000"/>
    <n v="497705000"/>
    <n v="1253481000"/>
    <n v="3519825000"/>
    <n v="2890635000"/>
    <n v="-629190000"/>
    <n v="6410460000"/>
    <n v="0.10735988294872614"/>
    <n v="0.30290680075485144"/>
    <n v="1.408735872427271E-3"/>
    <n v="1.3971505564303671E-3"/>
    <n v="0.19553682575041417"/>
    <n v="0.1649176049099062"/>
    <n v="99"/>
    <n v="2573750430.3313603"/>
    <n v="88"/>
    <n v="1273043490.1578119"/>
    <n v="7"/>
    <n v="389471132.71857762"/>
    <n v="4"/>
    <n v="911235807.45497096"/>
    <n v="0.33862240959862044"/>
    <n v="0.16749139663303561"/>
    <n v="5.1241818894339868E-2"/>
    <n v="0.11988919407124501"/>
    <n v="151397084.13713884"/>
    <n v="1.9918965270507086E-2"/>
  </r>
  <r>
    <n v="123"/>
    <s v="MUS"/>
    <s v="Mauritius"/>
    <x v="3"/>
    <x v="1"/>
    <n v="0"/>
    <n v="1"/>
    <x v="1"/>
    <s v="na"/>
    <n v="0"/>
    <s v="na"/>
    <n v="14046337854.8466"/>
    <n v="4"/>
    <n v="1470000000"/>
    <n v="0"/>
    <n v="0"/>
    <n v="4"/>
    <n v="1470000000"/>
    <n v="0.10465361257794221"/>
    <n v="0"/>
    <n v="0.10465361257794221"/>
    <n v="1.0948660464908425E-3"/>
    <n v="0"/>
    <n v="6.8600868944339961E-4"/>
    <n v="86470588.235294119"/>
    <n v="6.1560948575260128E-3"/>
    <n v="0"/>
    <s v="na"/>
    <s v="na"/>
    <s v="na"/>
    <s v="na"/>
    <s v="na"/>
    <x v="1"/>
    <n v="0"/>
    <s v="na"/>
    <s v="na"/>
    <s v="na"/>
    <n v="934919000"/>
    <n v="31982000"/>
    <n v="-902937000"/>
    <n v="966901000"/>
    <n v="5600488000"/>
    <n v="1873604000"/>
    <n v="-3726884000"/>
    <n v="7474092000"/>
    <n v="0.1669352742118187"/>
    <n v="1.7069775683655673E-2"/>
    <n v="2.2414774452418694E-3"/>
    <n v="9.0558194691829348E-4"/>
    <n v="0.12936701876294807"/>
    <n v="6.8836518813078174E-2"/>
    <n v="95"/>
    <n v="2169146515.9355683"/>
    <n v="85"/>
    <n v="636904511.15150201"/>
    <n v="5"/>
    <n v="474251128.33628535"/>
    <n v="5"/>
    <n v="1057990876.4477811"/>
    <n v="0.15442790415205043"/>
    <n v="4.5343100652512222E-2"/>
    <n v="3.3763329149358888E-2"/>
    <n v="7.5321474350179329E-2"/>
    <n v="127596853.87856284"/>
    <n v="9.0839943618853183E-3"/>
  </r>
  <r>
    <n v="124"/>
    <s v="MEX"/>
    <s v="Mexico"/>
    <x v="4"/>
    <x v="1"/>
    <n v="3"/>
    <n v="0"/>
    <x v="1"/>
    <s v="na"/>
    <n v="0"/>
    <s v="na"/>
    <n v="1268870527160.0325"/>
    <n v="15"/>
    <n v="3600000000"/>
    <n v="0"/>
    <n v="0"/>
    <n v="15"/>
    <n v="3600000000"/>
    <n v="2.837168901745608E-3"/>
    <n v="0"/>
    <n v="2.837168901745608E-3"/>
    <n v="2.681304603651043E-3"/>
    <n v="0"/>
    <n v="1.68002128026955E-3"/>
    <n v="211764705.88235295"/>
    <n v="1.6689228833797695E-4"/>
    <n v="0"/>
    <s v="na"/>
    <s v="na"/>
    <s v="na"/>
    <s v="na"/>
    <s v="na"/>
    <x v="1"/>
    <n v="0"/>
    <s v="na"/>
    <s v="na"/>
    <s v="na"/>
    <n v="83052434000"/>
    <n v="6930326000"/>
    <n v="-76122108000"/>
    <n v="89982760000"/>
    <n v="455289486000"/>
    <n v="460703804000"/>
    <n v="5414318000"/>
    <n v="915993290000"/>
    <n v="0.18241676242003094"/>
    <n v="1.5042910303384428E-2"/>
    <n v="0.18222003402645695"/>
    <n v="0.22267514788556383"/>
    <n v="9.8235173753292451E-2"/>
    <n v="7.0915635657010728E-2"/>
    <n v="59"/>
    <n v="6218525621.0088673"/>
    <n v="17"/>
    <n v="3157034942.0911288"/>
    <n v="36"/>
    <n v="2963256979.8272028"/>
    <n v="6"/>
    <n v="98233699.090534985"/>
    <n v="4.9008354185096255E-3"/>
    <n v="2.4880670442847769E-3"/>
    <n v="2.3353501530684311E-3"/>
    <n v="7.7418221156417137E-5"/>
    <n v="365795624.7652275"/>
    <n v="2.882844363829192E-4"/>
  </r>
  <r>
    <n v="125"/>
    <s v="FSM"/>
    <s v="Micronesia"/>
    <x v="5"/>
    <x v="2"/>
    <n v="0"/>
    <n v="0"/>
    <x v="0"/>
    <n v="2018"/>
    <n v="0"/>
    <s v="na"/>
    <n v="408060600"/>
    <n v="0"/>
    <n v="0"/>
    <n v="0"/>
    <n v="0"/>
    <n v="0"/>
    <n v="0"/>
    <n v="0"/>
    <n v="0"/>
    <n v="0"/>
    <n v="0"/>
    <n v="0"/>
    <n v="0"/>
    <n v="0"/>
    <n v="0"/>
    <n v="0"/>
    <s v="na"/>
    <s v="na"/>
    <s v="na"/>
    <s v="na"/>
    <s v="na"/>
    <x v="1"/>
    <n v="0"/>
    <s v="na"/>
    <s v="na"/>
    <s v="na"/>
    <n v="18739000"/>
    <n v="12575000"/>
    <n v="-6164000"/>
    <n v="31314000"/>
    <n v="129962000"/>
    <n v="143091000"/>
    <n v="13129000"/>
    <n v="273053000"/>
    <n v="0.14418830119573414"/>
    <n v="8.7881138576150847E-2"/>
    <n v="5.2014555113505077E-5"/>
    <n v="6.9161160184588383E-5"/>
    <n v="0.1146810326200408"/>
    <n v="7.6738602060576297E-2"/>
    <n v="142"/>
    <n v="221465776.44672751"/>
    <n v="129"/>
    <n v="191438044.71543893"/>
    <n v="12"/>
    <n v="3437802.311718151"/>
    <n v="1"/>
    <n v="26589929.419570401"/>
    <n v="0.54272766458395516"/>
    <n v="0.46914121264204123"/>
    <n v="8.4247347372379267E-3"/>
    <n v="6.5161717204675978E-2"/>
    <n v="13027398.614513382"/>
    <n v="3.1925156740232656E-2"/>
  </r>
  <r>
    <n v="126"/>
    <s v="MDA"/>
    <s v="Moldova"/>
    <x v="1"/>
    <x v="1"/>
    <n v="0"/>
    <n v="0"/>
    <x v="0"/>
    <n v="2013"/>
    <n v="0"/>
    <s v="na"/>
    <n v="11968699005.980051"/>
    <n v="0"/>
    <n v="0"/>
    <n v="2"/>
    <n v="560000000"/>
    <n v="2"/>
    <n v="560000000"/>
    <n v="0"/>
    <n v="4.6788711097187852E-2"/>
    <n v="4.6788711097187852E-2"/>
    <n v="0"/>
    <n v="7.0427849183791536E-4"/>
    <n v="2.6133664359748556E-4"/>
    <n v="32941176.470588237"/>
    <n v="2.7522771233639914E-3"/>
    <n v="0"/>
    <s v="na"/>
    <s v="na"/>
    <s v="na"/>
    <s v="na"/>
    <s v="na"/>
    <x v="1"/>
    <n v="0"/>
    <s v="na"/>
    <s v="na"/>
    <s v="na"/>
    <n v="602293000"/>
    <n v="17422000"/>
    <n v="-584871000"/>
    <n v="619715000"/>
    <n v="5842487000"/>
    <n v="2779165000"/>
    <n v="-3063322000"/>
    <n v="8621652000"/>
    <n v="0.10308846215661241"/>
    <n v="6.2687893665903244E-3"/>
    <n v="2.3383324514968757E-3"/>
    <n v="1.3432729923223796E-3"/>
    <n v="7.1878916012847655E-2"/>
    <n v="5.1777975174274585E-2"/>
    <n v="43"/>
    <n v="1495043161.0185857"/>
    <n v="37"/>
    <n v="177013256.82251224"/>
    <n v="4"/>
    <n v="1303715014.15573"/>
    <n v="2"/>
    <n v="14314890.04034332"/>
    <n v="0.12491275453343768"/>
    <n v="1.4789682381858646E-2"/>
    <n v="0.1089270449114261"/>
    <n v="1.1960272401529202E-3"/>
    <n v="87943715.354034454"/>
    <n v="7.3478090902022166E-3"/>
  </r>
  <r>
    <n v="127"/>
    <s v="MNG"/>
    <s v="Mongolia"/>
    <x v="5"/>
    <x v="2"/>
    <n v="2"/>
    <n v="0"/>
    <x v="0"/>
    <n v="2013"/>
    <n v="0"/>
    <s v="na"/>
    <n v="13996719329.423601"/>
    <n v="6"/>
    <n v="2230000000"/>
    <n v="14"/>
    <n v="5630000000"/>
    <n v="20"/>
    <n v="7860000000"/>
    <n v="0.15932304903136424"/>
    <n v="0.40223711481909447"/>
    <n v="0.5615601638504587"/>
    <n v="1.6609192405949518E-3"/>
    <n v="7.0805141232990415E-3"/>
    <n v="3.6680464619218509E-3"/>
    <n v="462352941.17647058"/>
    <n v="3.3032950814732863E-2"/>
    <n v="1"/>
    <n v="2"/>
    <n v="121000000"/>
    <n v="0"/>
    <n v="0"/>
    <n v="0"/>
    <x v="0"/>
    <n v="2"/>
    <n v="121000000"/>
    <n v="8.6448829295045163E-3"/>
    <n v="3.0356071703550131E-3"/>
    <n v="2036805"/>
    <n v="6772663"/>
    <n v="4735858"/>
    <n v="8809468"/>
    <n v="6127356000"/>
    <n v="7619754000"/>
    <n v="1492398000"/>
    <n v="13747110000"/>
    <n v="3.3241172864772344E-4"/>
    <n v="8.8882961313449223E-4"/>
    <n v="2.4523452729418292E-3"/>
    <n v="3.6829082678935653E-3"/>
    <n v="6.4082327121845969E-4"/>
    <n v="6.293952027373248E-4"/>
    <n v="139"/>
    <n v="5225733735.4564066"/>
    <n v="80"/>
    <n v="804804606.9130677"/>
    <n v="50"/>
    <n v="4326680144.5949039"/>
    <n v="9"/>
    <n v="94248983.948433891"/>
    <n v="0.3733541848246526"/>
    <n v="5.7499517420573319E-2"/>
    <n v="0.30912101920193902"/>
    <n v="6.7336482021401771E-3"/>
    <n v="307396102.08567095"/>
    <n v="2.1962010872038387E-2"/>
  </r>
  <r>
    <n v="128"/>
    <s v="MNE"/>
    <s v="Montenegro"/>
    <x v="1"/>
    <x v="1"/>
    <n v="0"/>
    <n v="0"/>
    <x v="0"/>
    <n v="2017"/>
    <n v="0"/>
    <s v="na"/>
    <n v="5542674764.8902826"/>
    <n v="0"/>
    <n v="0"/>
    <n v="2"/>
    <n v="1220000000"/>
    <n v="2"/>
    <n v="1220000000"/>
    <n v="0"/>
    <n v="0.22011033512700612"/>
    <n v="0.22011033512700612"/>
    <n v="0"/>
    <n v="1.5343210000754585E-3"/>
    <n v="5.6934054498023639E-4"/>
    <n v="71764705.882352948"/>
    <n v="1.2947666772176833E-2"/>
    <n v="0"/>
    <s v="na"/>
    <s v="na"/>
    <s v="na"/>
    <s v="na"/>
    <s v="na"/>
    <x v="1"/>
    <n v="0"/>
    <s v="na"/>
    <s v="na"/>
    <s v="na"/>
    <n v="221954000"/>
    <n v="17413000"/>
    <n v="-204541000"/>
    <n v="239367000"/>
    <n v="2600771000"/>
    <n v="415484000"/>
    <n v="-2185287000"/>
    <n v="3016255000"/>
    <n v="8.5341616005407628E-2"/>
    <n v="4.1910157791876464E-2"/>
    <n v="1.0409038527962459E-3"/>
    <n v="2.008187480563664E-4"/>
    <n v="7.9359006450051478E-2"/>
    <n v="4.3186189006841048E-2"/>
    <n v="20"/>
    <n v="1035055873.7648617"/>
    <n v="16"/>
    <n v="22913447.661233313"/>
    <n v="4"/>
    <n v="1012142426.1036284"/>
    <n v="0"/>
    <n v="0"/>
    <n v="0.18674302889308186"/>
    <n v="4.1340054455976877E-3"/>
    <n v="0.18260902344748417"/>
    <n v="0"/>
    <n v="60885639.633227162"/>
    <n v="1.0984884052534227E-2"/>
  </r>
  <r>
    <n v="129"/>
    <s v="MAR"/>
    <s v="Morocco"/>
    <x v="2"/>
    <x v="2"/>
    <n v="0"/>
    <n v="0"/>
    <x v="0"/>
    <n v="2017"/>
    <n v="0"/>
    <s v="na"/>
    <n v="119700325461.93758"/>
    <n v="4"/>
    <n v="1040000000"/>
    <n v="4"/>
    <n v="1260000000"/>
    <n v="8"/>
    <n v="2300000000"/>
    <n v="8.6883640122657826E-3"/>
    <n v="1.0526287168706622E-2"/>
    <n v="1.9214651180972403E-2"/>
    <n v="7.7459910772141247E-4"/>
    <n v="1.5846266066353095E-3"/>
    <n v="1.0733469290611015E-3"/>
    <n v="135294117.64705881"/>
    <n v="1.1302735988807295E-3"/>
    <n v="3"/>
    <n v="0"/>
    <n v="0"/>
    <n v="0"/>
    <n v="0"/>
    <n v="0"/>
    <x v="0"/>
    <n v="0"/>
    <n v="0"/>
    <n v="0"/>
    <n v="0"/>
    <n v="5181673000"/>
    <n v="283450000"/>
    <n v="-4898223000"/>
    <n v="5465123000"/>
    <n v="51067504000"/>
    <n v="29592492000"/>
    <n v="-21475012000"/>
    <n v="80659996000"/>
    <n v="0.10146712868520068"/>
    <n v="9.5784430726550511E-3"/>
    <n v="2.0438693628269347E-2"/>
    <n v="1.4303143310712417E-2"/>
    <n v="6.7755061629311261E-2"/>
    <n v="4.5656709611351931E-2"/>
    <n v="59"/>
    <n v="992214985.20459378"/>
    <n v="44"/>
    <n v="165057422.02168748"/>
    <n v="10"/>
    <n v="656287159.22629499"/>
    <n v="5"/>
    <n v="170870403.95661148"/>
    <n v="8.2891586248869404E-3"/>
    <n v="1.3789220821640339E-3"/>
    <n v="5.4827516691671975E-3"/>
    <n v="1.4274848735557116E-3"/>
    <n v="58365587.364976108"/>
    <n v="4.8759756616982011E-4"/>
  </r>
  <r>
    <n v="130"/>
    <s v="MOZ"/>
    <s v="Mozambique"/>
    <x v="3"/>
    <x v="0"/>
    <n v="0"/>
    <n v="0"/>
    <x v="0"/>
    <n v="2018"/>
    <n v="0"/>
    <s v="na"/>
    <n v="15291448211.603004"/>
    <n v="9"/>
    <n v="7360000000"/>
    <n v="7"/>
    <n v="3050000000"/>
    <n v="16"/>
    <n v="10410000000"/>
    <n v="0.48131477791719574"/>
    <n v="0.19945789030535965"/>
    <n v="0.68077266822255533"/>
    <n v="5.4817783007976885E-3"/>
    <n v="3.8358025001886458E-3"/>
    <n v="4.8580615354461157E-3"/>
    <n v="612352941.17647064"/>
    <n v="4.0045451071915025E-2"/>
    <n v="0"/>
    <s v="na"/>
    <s v="na"/>
    <s v="na"/>
    <s v="na"/>
    <s v="na"/>
    <x v="1"/>
    <n v="0"/>
    <s v="na"/>
    <s v="na"/>
    <s v="na"/>
    <n v="861515000"/>
    <n v="323799000"/>
    <n v="-537716000"/>
    <n v="1185314000"/>
    <n v="7638740000"/>
    <n v="4722313000"/>
    <n v="-2916427000"/>
    <n v="12361053000"/>
    <n v="0.11278234368495328"/>
    <n v="6.8567881883305912E-2"/>
    <n v="3.0572449079556779E-3"/>
    <n v="2.2824681205300414E-3"/>
    <n v="9.5891021582061017E-2"/>
    <n v="7.7514829439149863E-2"/>
    <n v="117"/>
    <n v="9474383767.6672211"/>
    <n v="85"/>
    <n v="1791185758.9066896"/>
    <n v="17"/>
    <n v="3154804544.1743064"/>
    <n v="15"/>
    <n v="4528393464.5862246"/>
    <n v="0.61958708139090113"/>
    <n v="0.11713643692345341"/>
    <n v="0.2063116913792685"/>
    <n v="0.29613895308817922"/>
    <n v="557316692.21571887"/>
    <n v="3.6446298905347126E-2"/>
  </r>
  <r>
    <n v="131"/>
    <s v="MMR"/>
    <s v="Myanmar"/>
    <x v="5"/>
    <x v="2"/>
    <n v="4"/>
    <n v="1"/>
    <x v="0"/>
    <n v="2016"/>
    <n v="0"/>
    <s v="na"/>
    <n v="79844294296.064682"/>
    <n v="7"/>
    <n v="4180000000"/>
    <n v="16"/>
    <n v="5700000000"/>
    <n v="23"/>
    <n v="9880000000"/>
    <n v="5.2351893605577543E-2"/>
    <n v="7.1388945825787559E-2"/>
    <n v="0.1237408394313651"/>
    <n v="3.1132925675726002E-3"/>
    <n v="7.1685489347787807E-3"/>
    <n v="4.61072506918421E-3"/>
    <n v="581176470.58823526"/>
    <n v="7.2788729077273582E-3"/>
    <n v="1"/>
    <n v="1"/>
    <n v="20000000"/>
    <n v="0"/>
    <n v="0"/>
    <n v="0"/>
    <x v="0"/>
    <n v="1"/>
    <n v="20000000"/>
    <n v="2.5048752921328965E-4"/>
    <n v="5.0175325129834928E-4"/>
    <n v="6447069000"/>
    <n v="5753615000"/>
    <n v="-693454000"/>
    <n v="12200684000"/>
    <n v="18610892000"/>
    <n v="18105886000"/>
    <n v="-505006000"/>
    <n v="36716778000"/>
    <n v="0.34641375598762275"/>
    <n v="0.31777594313804913"/>
    <n v="7.4486178086324521E-3"/>
    <n v="8.7512427890635777E-3"/>
    <n v="0.33229179314154417"/>
    <n v="0.15280595949360579"/>
    <n v="280"/>
    <n v="17089617367.982758"/>
    <n v="182"/>
    <n v="3050070955.9996686"/>
    <n v="81"/>
    <n v="7760284650.3226576"/>
    <n v="17"/>
    <n v="6279261761.6604366"/>
    <n v="0.21403680148532617"/>
    <n v="3.8200236884678669E-2"/>
    <n v="9.7192726402557009E-2"/>
    <n v="7.8643838198090565E-2"/>
    <n v="1005271609.8813387"/>
    <n v="1.2590400087372128E-2"/>
  </r>
  <r>
    <n v="132"/>
    <s v="NAM"/>
    <s v="Namibia"/>
    <x v="3"/>
    <x v="1"/>
    <n v="0"/>
    <n v="0"/>
    <x v="0"/>
    <n v="2018"/>
    <n v="0"/>
    <s v="na"/>
    <n v="12565772084.744125"/>
    <n v="0"/>
    <n v="0"/>
    <n v="7"/>
    <n v="3250000000"/>
    <n v="7"/>
    <n v="3250000000"/>
    <n v="0"/>
    <n v="0.25863910136853158"/>
    <n v="0.25863910136853158"/>
    <n v="0"/>
    <n v="4.0873305329879013E-3"/>
    <n v="1.5166858780211216E-3"/>
    <n v="191176470.58823529"/>
    <n v="1.5214064786384209E-2"/>
    <n v="0"/>
    <s v="na"/>
    <s v="na"/>
    <s v="na"/>
    <s v="na"/>
    <s v="na"/>
    <x v="1"/>
    <n v="0"/>
    <s v="na"/>
    <s v="na"/>
    <s v="na"/>
    <n v="309760000"/>
    <n v="1645972000"/>
    <n v="1336212000"/>
    <n v="1955732000"/>
    <n v="7715202000"/>
    <n v="6439325000"/>
    <n v="-1275877000"/>
    <n v="14154527000"/>
    <n v="4.0149305228819675E-2"/>
    <n v="0.25561250596918156"/>
    <n v="3.0878472141150845E-3"/>
    <n v="3.112363375793199E-3"/>
    <n v="0.13817007096033657"/>
    <n v="0.15563962061467107"/>
    <n v="140"/>
    <n v="3212928697.5196543"/>
    <n v="117"/>
    <n v="350831970.32019562"/>
    <n v="22"/>
    <n v="2862096727.1994586"/>
    <n v="1"/>
    <n v="0"/>
    <n v="0.25568892033466151"/>
    <n v="2.7919650933835916E-2"/>
    <n v="0.22776926940082559"/>
    <n v="0"/>
    <n v="188995805.73645025"/>
    <n v="1.5040524725568325E-2"/>
  </r>
  <r>
    <n v="133"/>
    <s v="NRU"/>
    <s v="Nauru"/>
    <x v="5"/>
    <x v="3"/>
    <n v="0"/>
    <n v="0"/>
    <x v="1"/>
    <s v="na"/>
    <n v="2"/>
    <s v="na"/>
    <n v="118223430.12444571"/>
    <n v="0"/>
    <n v="0"/>
    <n v="0"/>
    <n v="0"/>
    <n v="0"/>
    <n v="0"/>
    <n v="0"/>
    <n v="0"/>
    <n v="0"/>
    <n v="0"/>
    <n v="0"/>
    <n v="0"/>
    <n v="0"/>
    <n v="0"/>
    <n v="0"/>
    <s v="na"/>
    <s v="na"/>
    <s v="na"/>
    <s v="na"/>
    <s v="na"/>
    <x v="1"/>
    <n v="0"/>
    <s v="na"/>
    <s v="na"/>
    <s v="na"/>
    <n v="1222000"/>
    <n v="23000"/>
    <n v="-1199000"/>
    <n v="1245000"/>
    <n v="96779000"/>
    <n v="34450000"/>
    <n v="-62329000"/>
    <n v="131229000"/>
    <n v="1.2626706206925057E-2"/>
    <n v="6.6763425253991288E-4"/>
    <n v="3.8733757785582768E-5"/>
    <n v="1.665095616327421E-5"/>
    <n v="9.4872322428731452E-3"/>
    <n v="1.0530907441016335E-2"/>
    <n v="13"/>
    <n v="142252708.66030189"/>
    <n v="12"/>
    <n v="142252708.66030189"/>
    <n v="0"/>
    <n v="0"/>
    <n v="1"/>
    <n v="0"/>
    <n v="1.2032530989040178"/>
    <n v="1.2032530989040178"/>
    <n v="0"/>
    <n v="0"/>
    <n v="8367806.3917824645"/>
    <n v="7.0779594053177505E-2"/>
  </r>
  <r>
    <n v="134"/>
    <s v="NPL"/>
    <s v="Nepal"/>
    <x v="0"/>
    <x v="2"/>
    <n v="1"/>
    <n v="0"/>
    <x v="0"/>
    <n v="2017"/>
    <n v="0"/>
    <s v="na"/>
    <n v="34186180694.928478"/>
    <n v="3"/>
    <n v="450000000"/>
    <n v="13"/>
    <n v="2480000000"/>
    <n v="16"/>
    <n v="2930000000"/>
    <n v="1.3163213639327587E-2"/>
    <n v="7.2543932945627596E-2"/>
    <n v="8.5707146584955179E-2"/>
    <n v="3.3516307545638038E-4"/>
    <n v="3.1189476067107679E-3"/>
    <n v="1.3673506531082728E-3"/>
    <n v="172352941.17647058"/>
    <n v="5.0415968579385394E-3"/>
    <n v="1"/>
    <n v="2"/>
    <n v="202300000"/>
    <n v="3"/>
    <n v="362000000"/>
    <n v="0"/>
    <x v="0"/>
    <n v="5"/>
    <n v="564300000"/>
    <n v="1.6506669903716794E-2"/>
    <n v="1.4156967985382924E-2"/>
    <n v="1939889"/>
    <n v="18116"/>
    <n v="-1921773"/>
    <n v="1958005"/>
    <n v="12325259000"/>
    <n v="959629000"/>
    <n v="-11365630000"/>
    <n v="13284888000"/>
    <n v="1.5739133757757139E-4"/>
    <n v="1.8878128943581321E-5"/>
    <n v="4.9329254977895426E-3"/>
    <n v="4.6382410484779873E-4"/>
    <n v="1.4738588688139486E-4"/>
    <n v="5.7274751381936916E-5"/>
    <n v="157"/>
    <n v="4542336114.3011894"/>
    <n v="142"/>
    <n v="2330204591.3633966"/>
    <n v="12"/>
    <n v="1759332002.6515505"/>
    <n v="3"/>
    <n v="452799520.28624201"/>
    <n v="0.13287053487595488"/>
    <n v="6.8162179687685398E-2"/>
    <n v="5.1463251140907572E-2"/>
    <n v="1.3245104047361888E-2"/>
    <n v="267196242.01771703"/>
    <n v="7.8159138162326395E-3"/>
  </r>
  <r>
    <n v="135"/>
    <s v="NLD"/>
    <s v="Netherlands"/>
    <x v="1"/>
    <x v="3"/>
    <n v="0"/>
    <n v="0"/>
    <x v="1"/>
    <s v="na"/>
    <n v="0"/>
    <s v="na"/>
    <n v="910194347568.62598"/>
    <n v="23"/>
    <n v="20330000000"/>
    <n v="0"/>
    <n v="0"/>
    <n v="23"/>
    <n v="20330000000"/>
    <n v="2.2335889092595335E-2"/>
    <n v="0"/>
    <n v="2.2335889092595335E-2"/>
    <n v="1.5141922942284919E-2"/>
    <n v="0"/>
    <n v="9.4874535077444314E-3"/>
    <n v="1195882352.9411764"/>
    <n v="1.313875828976196E-3"/>
    <n v="2"/>
    <n v="0"/>
    <n v="0"/>
    <n v="0"/>
    <n v="0"/>
    <n v="0"/>
    <x v="0"/>
    <n v="0"/>
    <n v="0"/>
    <n v="0"/>
    <n v="0"/>
    <n v="48168518000"/>
    <n v="14317292000"/>
    <n v="-33851226000"/>
    <n v="62485810000"/>
    <n v="514857688000"/>
    <n v="576784455000"/>
    <n v="61926767000"/>
    <n v="1091642143000"/>
    <n v="9.3556955878650497E-2"/>
    <n v="2.4822603792260662E-2"/>
    <n v="0.20606095311004605"/>
    <n v="0.27878120974928899"/>
    <n v="5.7240195791891484E-2"/>
    <n v="6.8651063552434069E-2"/>
    <s v="na"/>
    <s v="na"/>
    <s v="na"/>
    <s v="na"/>
    <s v="na"/>
    <s v="na"/>
    <s v="na"/>
    <s v="na"/>
    <n v="0"/>
    <n v="0"/>
    <n v="0"/>
    <n v="0"/>
    <n v="0"/>
    <n v="0"/>
  </r>
  <r>
    <n v="136"/>
    <s v="NCL"/>
    <s v="New Caledonia"/>
    <x v="5"/>
    <x v="3"/>
    <n v="0"/>
    <n v="0"/>
    <x v="1"/>
    <s v="na"/>
    <n v="0"/>
    <s v="na"/>
    <n v="2682347064.3641982"/>
    <n v="0"/>
    <n v="0"/>
    <n v="0"/>
    <n v="0"/>
    <n v="0"/>
    <n v="0"/>
    <n v="0"/>
    <n v="0"/>
    <n v="0"/>
    <n v="0"/>
    <n v="0"/>
    <n v="0"/>
    <n v="0"/>
    <n v="0"/>
    <n v="0"/>
    <s v="na"/>
    <s v="na"/>
    <s v="na"/>
    <s v="na"/>
    <s v="na"/>
    <x v="1"/>
    <n v="0"/>
    <s v="na"/>
    <s v="na"/>
    <s v="na"/>
    <n v="155403000"/>
    <n v="1040695000"/>
    <n v="885292000"/>
    <n v="1196098000"/>
    <n v="2551690000"/>
    <n v="1811254000"/>
    <n v="-740436000"/>
    <n v="4362944000"/>
    <n v="6.0901990445547852E-2"/>
    <n v="0.5745715399386282"/>
    <n v="1.021260215582861E-3"/>
    <n v="8.754458912788118E-4"/>
    <n v="0.27414929002068328"/>
    <n v="0.44591470503221903"/>
    <n v="0"/>
    <s v="na"/>
    <s v="na"/>
    <s v="na"/>
    <s v="na"/>
    <s v="na"/>
    <s v="na"/>
    <s v="na"/>
    <n v="0"/>
    <n v="0"/>
    <n v="0"/>
    <n v="0"/>
    <n v="0"/>
    <n v="0"/>
  </r>
  <r>
    <n v="137"/>
    <s v="NZL"/>
    <s v="New Zealand"/>
    <x v="5"/>
    <x v="3"/>
    <n v="0"/>
    <n v="1"/>
    <x v="0"/>
    <n v="2017"/>
    <n v="0"/>
    <s v="na"/>
    <n v="212891048340.60776"/>
    <n v="5"/>
    <n v="1350000000"/>
    <n v="10"/>
    <n v="2740000000"/>
    <n v="15"/>
    <n v="4090000000"/>
    <n v="6.3412717938243872E-3"/>
    <n v="1.2870433122280608E-2"/>
    <n v="1.9211704916104994E-2"/>
    <n v="1.0054892263691411E-3"/>
    <n v="3.4459340493498002E-3"/>
    <n v="1.9086908434173498E-3"/>
    <n v="240588235.29411766"/>
    <n v="1.1301002891826468E-3"/>
    <n v="1"/>
    <n v="0"/>
    <n v="0"/>
    <n v="0"/>
    <n v="0"/>
    <n v="0"/>
    <x v="0"/>
    <n v="0"/>
    <n v="0"/>
    <n v="0"/>
    <n v="0"/>
    <n v="8556490000"/>
    <n v="11014410000"/>
    <n v="2457920000"/>
    <n v="19570900000"/>
    <n v="42320991000"/>
    <n v="38183311000"/>
    <n v="-4137680000"/>
    <n v="80504302000"/>
    <n v="0.20218075706213967"/>
    <n v="0.28846136470459566"/>
    <n v="1.6938085893012208E-2"/>
    <n v="1.8455403124228331E-2"/>
    <n v="0.24310377847881967"/>
    <n v="9.192918233315385E-2"/>
    <s v="na"/>
    <s v="na"/>
    <s v="na"/>
    <s v="na"/>
    <s v="na"/>
    <s v="na"/>
    <s v="na"/>
    <s v="na"/>
    <n v="0"/>
    <n v="0"/>
    <n v="0"/>
    <n v="0"/>
    <n v="0"/>
    <n v="0"/>
  </r>
  <r>
    <n v="138"/>
    <s v="NIC"/>
    <s v="Nicaragua"/>
    <x v="4"/>
    <x v="2"/>
    <n v="0"/>
    <n v="0"/>
    <x v="1"/>
    <s v="na"/>
    <n v="2"/>
    <s v="na"/>
    <n v="12611218627.063225"/>
    <n v="2"/>
    <n v="530000000"/>
    <n v="0"/>
    <n v="0"/>
    <n v="2"/>
    <n v="530000000"/>
    <n v="4.2026073425024839E-2"/>
    <n v="0"/>
    <n v="4.2026073425024839E-2"/>
    <n v="3.9474762220418133E-4"/>
    <n v="0"/>
    <n v="2.47336466261906E-4"/>
    <n v="31176470.588235293"/>
    <n v="2.4721219661779314E-3"/>
    <n v="0"/>
    <s v="na"/>
    <s v="na"/>
    <s v="na"/>
    <s v="na"/>
    <s v="na"/>
    <x v="1"/>
    <n v="0"/>
    <s v="na"/>
    <s v="na"/>
    <s v="na"/>
    <n v="893851000"/>
    <n v="28553000"/>
    <n v="-865298000"/>
    <n v="922404000"/>
    <n v="6985509000"/>
    <n v="5272553000"/>
    <n v="-1712956000"/>
    <n v="12258062000"/>
    <n v="0.12795789111430533"/>
    <n v="5.4154031263412622E-3"/>
    <n v="2.7958029491419478E-3"/>
    <n v="2.5484194157195912E-3"/>
    <n v="7.524876281421973E-2"/>
    <n v="7.3141543833087949E-2"/>
    <n v="1"/>
    <n v="4858309.3510989398"/>
    <n v="0"/>
    <n v="0"/>
    <n v="0"/>
    <n v="0"/>
    <n v="1"/>
    <n v="4858309.3510989398"/>
    <n v="3.8523710473729964E-4"/>
    <n v="0"/>
    <n v="0"/>
    <n v="3.8523710473729964E-4"/>
    <n v="285782.90300582"/>
    <n v="2.2661006161017628E-5"/>
  </r>
  <r>
    <n v="139"/>
    <s v="NER"/>
    <s v="Niger"/>
    <x v="3"/>
    <x v="0"/>
    <n v="0"/>
    <n v="0"/>
    <x v="0"/>
    <s v="na"/>
    <n v="0"/>
    <s v="na"/>
    <n v="12911689659.350994"/>
    <n v="5"/>
    <n v="5740000000"/>
    <n v="4"/>
    <n v="1730000000"/>
    <n v="9"/>
    <n v="7470000000"/>
    <n v="0.44455839254492435"/>
    <n v="0.13398711134193714"/>
    <n v="0.57854550388686155"/>
    <n v="4.2751912291547189E-3"/>
    <n v="2.1757174837135598E-3"/>
    <n v="3.4860441565593165E-3"/>
    <n v="439411764.70588237"/>
    <n v="3.4032088463933033E-2"/>
    <n v="0"/>
    <s v="na"/>
    <s v="na"/>
    <s v="na"/>
    <s v="na"/>
    <s v="na"/>
    <x v="1"/>
    <n v="0"/>
    <s v="na"/>
    <s v="na"/>
    <s v="na"/>
    <n v="565338000"/>
    <n v="280000"/>
    <n v="-565058000"/>
    <n v="565618000"/>
    <n v="2772522000"/>
    <n v="854318000"/>
    <n v="-1918204000"/>
    <n v="3626840000"/>
    <n v="0.2039074892823213"/>
    <n v="3.2774681090647745E-4"/>
    <n v="1.10964357560214E-3"/>
    <n v="4.1292341269945132E-4"/>
    <n v="0.15595339193347377"/>
    <n v="4.3806660082661153E-2"/>
    <n v="115"/>
    <n v="3214830315.2802434"/>
    <n v="107"/>
    <n v="1892117308.0012741"/>
    <n v="4"/>
    <n v="1309496212.231102"/>
    <n v="4"/>
    <n v="13216795.047867401"/>
    <n v="0.24898602739820164"/>
    <n v="0.146542966716285"/>
    <n v="0.10141943051448185"/>
    <n v="1.023630167434782E-3"/>
    <n v="189107665.60472021"/>
    <n v="1.4646236905776567E-2"/>
  </r>
  <r>
    <n v="140"/>
    <s v="NGA"/>
    <s v="Nigeria"/>
    <x v="3"/>
    <x v="2"/>
    <n v="2"/>
    <n v="0"/>
    <x v="0"/>
    <n v="2018"/>
    <n v="0"/>
    <s v="na"/>
    <n v="448120428858.76923"/>
    <n v="19"/>
    <n v="13670000000"/>
    <n v="33"/>
    <n v="26480000000"/>
    <n v="52"/>
    <n v="40150000000"/>
    <n v="3.0505192621575999E-2"/>
    <n v="5.9091258275006033E-2"/>
    <n v="8.9596450896582039E-2"/>
    <n v="1.0181509425530489E-2"/>
    <n v="3.3302311542621428E-2"/>
    <n v="1.873690400078401E-2"/>
    <n v="2361764705.8823528"/>
    <n v="5.2703794645048256E-3"/>
    <n v="0"/>
    <s v="na"/>
    <s v="na"/>
    <s v="na"/>
    <s v="na"/>
    <s v="na"/>
    <x v="1"/>
    <n v="0"/>
    <s v="na"/>
    <s v="na"/>
    <s v="na"/>
    <n v="12064658000"/>
    <n v="1665243000"/>
    <n v="-10399415000"/>
    <n v="13729901000"/>
    <n v="47387304000"/>
    <n v="53624701000"/>
    <n v="6237397000"/>
    <n v="101012005000"/>
    <n v="0.25459684307003411"/>
    <n v="3.1053655665138347E-2"/>
    <n v="1.8965771037598833E-2"/>
    <n v="2.5918796679816742E-2"/>
    <n v="0.13592345781078199"/>
    <n v="3.0638864277993338E-2"/>
    <n v="104"/>
    <n v="61819759640.81562"/>
    <n v="52"/>
    <n v="5425238555.5450525"/>
    <n v="39"/>
    <n v="43009874223.82708"/>
    <n v="13"/>
    <n v="13384646861.443499"/>
    <n v="0.13795345103603587"/>
    <n v="1.2106653047176487E-2"/>
    <n v="9.5978383162223971E-2"/>
    <n v="2.986841482663545E-2"/>
    <n v="3636456449.4597425"/>
    <n v="8.1149088844726987E-3"/>
  </r>
  <r>
    <n v="141"/>
    <s v="NIU"/>
    <s v="Niue"/>
    <x v="5"/>
    <x v="1"/>
    <n v="0"/>
    <n v="0"/>
    <x v="0"/>
    <n v="2018"/>
    <n v="0"/>
    <s v="na"/>
    <s v="na"/>
    <n v="0"/>
    <n v="0"/>
    <n v="0"/>
    <n v="0"/>
    <n v="0"/>
    <n v="0"/>
    <n v="0"/>
    <n v="0"/>
    <n v="0"/>
    <n v="0"/>
    <n v="0"/>
    <n v="0"/>
    <n v="0"/>
    <n v="0"/>
    <n v="0"/>
    <s v="na"/>
    <s v="na"/>
    <s v="na"/>
    <s v="na"/>
    <s v="na"/>
    <x v="1"/>
    <n v="0"/>
    <s v="na"/>
    <s v="na"/>
    <s v="na"/>
    <s v="na"/>
    <s v="na"/>
    <s v="na"/>
    <s v="na"/>
    <n v="0"/>
    <n v="64147000"/>
    <n v="64147000"/>
    <n v="64147000"/>
    <s v="na"/>
    <s v="na"/>
    <s v="na"/>
    <s v="na"/>
    <s v="na"/>
    <s v="na"/>
    <n v="23"/>
    <n v="23290162.04071331"/>
    <n v="22"/>
    <n v="23290162.04071331"/>
    <n v="0"/>
    <n v="0"/>
    <n v="1"/>
    <n v="0"/>
    <n v="0"/>
    <n v="0"/>
    <n v="0"/>
    <n v="0"/>
    <n v="1370009.5318066652"/>
    <n v="0"/>
  </r>
  <r>
    <n v="142"/>
    <s v="MKD"/>
    <s v="North Macedonia"/>
    <x v="1"/>
    <x v="1"/>
    <n v="0"/>
    <n v="0"/>
    <x v="0"/>
    <n v="2013"/>
    <n v="1"/>
    <n v="2001"/>
    <n v="12547086168.489635"/>
    <n v="0"/>
    <n v="0"/>
    <n v="3"/>
    <n v="650000000"/>
    <n v="3"/>
    <n v="650000000"/>
    <n v="0"/>
    <n v="5.1804856623395949E-2"/>
    <n v="5.1804856623395949E-2"/>
    <n v="0"/>
    <n v="8.1746610659758025E-4"/>
    <n v="3.0333717560422434E-4"/>
    <n v="38235294.117647059"/>
    <n v="3.0473445072585854E-3"/>
    <n v="0"/>
    <s v="na"/>
    <s v="na"/>
    <s v="na"/>
    <s v="na"/>
    <s v="na"/>
    <x v="1"/>
    <n v="0"/>
    <s v="na"/>
    <s v="na"/>
    <s v="na"/>
    <n v="545143000"/>
    <n v="166041000"/>
    <n v="-379102000"/>
    <n v="711184000"/>
    <n v="9445513000"/>
    <n v="7195141000"/>
    <n v="-2250372000"/>
    <n v="16640654000"/>
    <n v="5.7714493643701514E-2"/>
    <n v="2.3076823650849929E-2"/>
    <n v="3.7803677729938649E-3"/>
    <n v="3.4776771372881554E-3"/>
    <n v="4.2737743360327062E-2"/>
    <n v="5.6681207927466497E-2"/>
    <n v="35"/>
    <n v="2913525344.0071635"/>
    <n v="27"/>
    <n v="56559763.830491133"/>
    <n v="7"/>
    <n v="964003282.90331233"/>
    <n v="1"/>
    <n v="1892962297.27336"/>
    <n v="0.23220732725372534"/>
    <n v="4.5078007013718913E-3"/>
    <n v="7.6830849008137081E-2"/>
    <n v="0.15086867754421637"/>
    <n v="171383843.76512727"/>
    <n v="1.3659254544336785E-2"/>
  </r>
  <r>
    <n v="143"/>
    <s v="MNP"/>
    <s v="Northern Mariana Islands"/>
    <x v="5"/>
    <x v="3"/>
    <n v="0"/>
    <n v="0"/>
    <x v="1"/>
    <s v="na"/>
    <n v="0"/>
    <s v="na"/>
    <n v="1182000000"/>
    <n v="0"/>
    <n v="0"/>
    <n v="0"/>
    <n v="0"/>
    <n v="0"/>
    <n v="0"/>
    <n v="0"/>
    <n v="0"/>
    <n v="0"/>
    <n v="0"/>
    <n v="0"/>
    <n v="0"/>
    <n v="0"/>
    <n v="0"/>
    <n v="0"/>
    <s v="na"/>
    <s v="na"/>
    <s v="na"/>
    <s v="na"/>
    <s v="na"/>
    <x v="1"/>
    <n v="0"/>
    <s v="na"/>
    <s v="na"/>
    <s v="na"/>
    <s v="na"/>
    <s v="na"/>
    <s v="na"/>
    <s v="na"/>
    <n v="170556000"/>
    <n v="4890000"/>
    <n v="-165666000"/>
    <n v="175446000"/>
    <s v="na"/>
    <s v="na"/>
    <s v="na"/>
    <s v="na"/>
    <s v="na"/>
    <s v="na"/>
    <n v="0"/>
    <s v="na"/>
    <s v="na"/>
    <s v="na"/>
    <s v="na"/>
    <s v="na"/>
    <s v="na"/>
    <s v="na"/>
    <n v="0"/>
    <n v="0"/>
    <n v="0"/>
    <n v="0"/>
    <n v="0"/>
    <n v="0"/>
  </r>
  <r>
    <n v="144"/>
    <s v="NOR"/>
    <s v="Norway"/>
    <x v="1"/>
    <x v="3"/>
    <n v="0"/>
    <n v="0"/>
    <x v="1"/>
    <s v="na"/>
    <n v="0"/>
    <s v="na"/>
    <n v="405509999999.99994"/>
    <n v="11"/>
    <n v="7470000000"/>
    <n v="0"/>
    <n v="0"/>
    <n v="11"/>
    <n v="7470000000"/>
    <n v="1.8421247318191909E-2"/>
    <n v="0"/>
    <n v="1.8421247318191909E-2"/>
    <n v="5.5637070525759143E-3"/>
    <n v="0"/>
    <n v="3.4860441565593165E-3"/>
    <n v="439411764.70588237"/>
    <n v="1.0836027834230536E-3"/>
    <n v="2"/>
    <n v="0"/>
    <n v="0"/>
    <n v="0"/>
    <n v="0"/>
    <n v="0"/>
    <x v="0"/>
    <n v="0"/>
    <n v="0"/>
    <n v="0"/>
    <n v="0"/>
    <n v="8749234000"/>
    <n v="4248228000"/>
    <n v="-4501006000"/>
    <n v="12997462000"/>
    <n v="85927067000"/>
    <n v="102793716000"/>
    <n v="16866649000"/>
    <n v="188720783000"/>
    <n v="0.10182162973164206"/>
    <n v="4.1327701393731112E-2"/>
    <n v="3.4390500009336147E-2"/>
    <n v="4.9683995906416797E-2"/>
    <n v="6.8871386571133508E-2"/>
    <n v="3.2052136815368309E-2"/>
    <s v="na"/>
    <s v="na"/>
    <s v="na"/>
    <s v="na"/>
    <s v="na"/>
    <s v="na"/>
    <s v="na"/>
    <s v="na"/>
    <n v="0"/>
    <n v="0"/>
    <n v="0"/>
    <n v="0"/>
    <n v="0"/>
    <n v="0"/>
  </r>
  <r>
    <n v="145"/>
    <s v="OMN"/>
    <s v="Oman"/>
    <x v="2"/>
    <x v="3"/>
    <n v="0"/>
    <n v="0"/>
    <x v="0"/>
    <n v="2018"/>
    <n v="0"/>
    <s v="na"/>
    <n v="76331518668.577118"/>
    <n v="3"/>
    <n v="1030000000"/>
    <n v="9"/>
    <n v="5590000000"/>
    <n v="12"/>
    <n v="6620000000"/>
    <n v="1.3493770567727655E-2"/>
    <n v="7.3233182013201545E-2"/>
    <n v="8.6726952580929204E-2"/>
    <n v="7.6715103937793731E-4"/>
    <n v="7.030208516739191E-3"/>
    <n v="3.0893724653845616E-3"/>
    <n v="389411764.70588237"/>
    <n v="5.1015854459370126E-3"/>
    <n v="1"/>
    <n v="3"/>
    <n v="477100000"/>
    <n v="1"/>
    <n v="46000000"/>
    <n v="0"/>
    <x v="0"/>
    <n v="4"/>
    <n v="523100000"/>
    <n v="6.8530013436682883E-3"/>
    <n v="1.3123356287708325E-2"/>
    <n v="3020370000"/>
    <n v="19460465000"/>
    <n v="16440095000"/>
    <n v="22480835000"/>
    <n v="31690640000"/>
    <n v="42022781000"/>
    <n v="10332141000"/>
    <n v="73713421000"/>
    <n v="9.5307952127189607E-2"/>
    <n v="0.46309322079374043"/>
    <n v="1.2683511648499167E-2"/>
    <n v="2.031116064702097E-2"/>
    <n v="0.30497614538877527"/>
    <n v="0.29451575695237064"/>
    <n v="10"/>
    <n v="5408010964.3148966"/>
    <n v="0"/>
    <n v="0"/>
    <n v="10"/>
    <n v="5408010964.3148966"/>
    <n v="0"/>
    <n v="0"/>
    <n v="7.0848989495360004E-2"/>
    <n v="0"/>
    <n v="7.0848989495360004E-2"/>
    <n v="0"/>
    <n v="318118292.01852334"/>
    <n v="4.1675876173741183E-3"/>
  </r>
  <r>
    <n v="146"/>
    <s v="PAK"/>
    <s v="Pakistan"/>
    <x v="0"/>
    <x v="2"/>
    <n v="4"/>
    <n v="1"/>
    <x v="0"/>
    <n v="2013"/>
    <n v="0"/>
    <s v="na"/>
    <n v="278221906022.84106"/>
    <n v="29"/>
    <n v="12980000000"/>
    <n v="70"/>
    <n v="51990000000"/>
    <n v="99"/>
    <n v="64970000000"/>
    <n v="4.6653407654156417E-2"/>
    <n v="0.18686522834665578"/>
    <n v="0.23351863600081219"/>
    <n v="9.6675927098307055E-3"/>
    <n v="6.5384712126166464E-2"/>
    <n v="3.0319717383086853E-2"/>
    <n v="3821764705.8823528"/>
    <n v="1.3736390352988952E-2"/>
    <n v="1"/>
    <n v="7"/>
    <n v="1511810000"/>
    <n v="4"/>
    <n v="996000000"/>
    <n v="0"/>
    <x v="0"/>
    <n v="11"/>
    <n v="2507810000"/>
    <n v="9.0137043335261936E-3"/>
    <n v="6.2915091056925665E-2"/>
    <n v="12423997000"/>
    <n v="2042893000"/>
    <n v="-10381104000"/>
    <n v="14466890000"/>
    <n v="50134812000"/>
    <n v="23818817000"/>
    <n v="-26315995000"/>
    <n v="73953629000"/>
    <n v="0.24781177996638343"/>
    <n v="8.5768029537319171E-2"/>
    <n v="2.0065403286185314E-2"/>
    <n v="1.1512513141597985E-2"/>
    <n v="0.19562109656579529"/>
    <n v="5.1997666922791903E-2"/>
    <n v="280"/>
    <n v="46113985133.683899"/>
    <n v="169"/>
    <n v="6115792498.4730616"/>
    <n v="85"/>
    <n v="36075387988.240799"/>
    <n v="26"/>
    <n v="3922804646.9700336"/>
    <n v="0.16574534260396484"/>
    <n v="2.1981707285015063E-2"/>
    <n v="0.12966408182567454"/>
    <n v="1.4099553493275201E-2"/>
    <n v="2712587360.8049355"/>
    <n v="9.7497260355273434E-3"/>
  </r>
  <r>
    <n v="147"/>
    <s v="PLW"/>
    <s v="Palau"/>
    <x v="5"/>
    <x v="3"/>
    <n v="0"/>
    <n v="0"/>
    <x v="1"/>
    <s v="na"/>
    <n v="2"/>
    <s v="na"/>
    <n v="268354900"/>
    <n v="0"/>
    <n v="0"/>
    <n v="0"/>
    <n v="0"/>
    <n v="0"/>
    <n v="0"/>
    <n v="0"/>
    <n v="0"/>
    <n v="0"/>
    <n v="0"/>
    <n v="0"/>
    <n v="0"/>
    <n v="0"/>
    <n v="0"/>
    <n v="0"/>
    <s v="na"/>
    <s v="na"/>
    <s v="na"/>
    <s v="na"/>
    <s v="na"/>
    <x v="1"/>
    <n v="0"/>
    <s v="na"/>
    <s v="na"/>
    <s v="na"/>
    <n v="18675000"/>
    <n v="59000"/>
    <n v="-18616000"/>
    <n v="18734000"/>
    <n v="110948000"/>
    <n v="22999000"/>
    <n v="-87949000"/>
    <n v="133947000"/>
    <n v="0.16832209683815841"/>
    <n v="2.5653289273446672E-3"/>
    <n v="4.4404601812323307E-5"/>
    <n v="1.1116265335243645E-5"/>
    <n v="0.13986128842004675"/>
    <n v="6.9810538208916625E-2"/>
    <n v="1"/>
    <n v="52148600.5662295"/>
    <n v="0"/>
    <n v="0"/>
    <n v="1"/>
    <n v="52148600.5662295"/>
    <n v="0"/>
    <n v="0"/>
    <n v="0.194326992226449"/>
    <n v="0"/>
    <n v="0.194326992226449"/>
    <n v="0"/>
    <n v="3067564.7391899708"/>
    <n v="1.1430999542732296E-2"/>
  </r>
  <r>
    <n v="148"/>
    <s v="PSE"/>
    <s v="Palestine"/>
    <x v="2"/>
    <x v="2"/>
    <n v="0"/>
    <n v="0"/>
    <x v="1"/>
    <s v="na"/>
    <n v="0"/>
    <s v="na"/>
    <s v="na"/>
    <n v="0"/>
    <n v="0"/>
    <n v="0"/>
    <n v="0"/>
    <n v="0"/>
    <n v="0"/>
    <n v="0"/>
    <n v="0"/>
    <n v="0"/>
    <n v="0"/>
    <n v="0"/>
    <n v="0"/>
    <n v="0"/>
    <n v="0"/>
    <n v="0"/>
    <s v="na"/>
    <s v="na"/>
    <s v="na"/>
    <s v="na"/>
    <s v="na"/>
    <x v="1"/>
    <n v="0"/>
    <s v="na"/>
    <s v="na"/>
    <s v="na"/>
    <n v="447273"/>
    <n v="197"/>
    <n v="-447076"/>
    <n v="447470"/>
    <n v="6613454000"/>
    <n v="1103808000"/>
    <n v="-5509646000"/>
    <n v="7717262000"/>
    <n v="6.763077205950174E-5"/>
    <n v="1.7847306777990375E-7"/>
    <n v="2.6468957662519089E-3"/>
    <n v="5.3351113557826939E-4"/>
    <n v="5.7982999670090246E-5"/>
    <s v="na"/>
    <n v="30"/>
    <n v="104933428.34413904"/>
    <n v="28"/>
    <n v="97805103.913600281"/>
    <n v="1"/>
    <n v="0"/>
    <n v="1"/>
    <n v="7128324.4305387596"/>
    <n v="0"/>
    <n v="0"/>
    <n v="0"/>
    <n v="0"/>
    <n v="6172554.6084787669"/>
    <n v="0"/>
  </r>
  <r>
    <n v="149"/>
    <s v="PAN"/>
    <s v="Panama"/>
    <x v="4"/>
    <x v="1"/>
    <n v="0"/>
    <n v="0"/>
    <x v="0"/>
    <n v="2017"/>
    <n v="1"/>
    <n v="2017"/>
    <n v="66787899999.999992"/>
    <n v="0"/>
    <n v="0"/>
    <n v="7"/>
    <n v="2390000000"/>
    <n v="7"/>
    <n v="2390000000"/>
    <n v="0"/>
    <n v="3.5784925113680775E-2"/>
    <n v="3.5784925113680775E-2"/>
    <n v="0"/>
    <n v="3.0057599919511031E-3"/>
    <n v="1.1153474610678402E-3"/>
    <n v="140588235.29411766"/>
    <n v="2.1049955949223988E-3"/>
    <n v="0"/>
    <s v="na"/>
    <s v="na"/>
    <s v="na"/>
    <s v="na"/>
    <s v="na"/>
    <x v="1"/>
    <n v="0"/>
    <s v="na"/>
    <s v="na"/>
    <s v="na"/>
    <n v="4634116000"/>
    <n v="534157000"/>
    <n v="-4099959000"/>
    <n v="5168273000"/>
    <n v="21490941000"/>
    <n v="11473935000"/>
    <n v="-10017006000"/>
    <n v="32964876000"/>
    <n v="0.21563113499776487"/>
    <n v="4.6553950323058306E-2"/>
    <n v="8.6012968028007109E-3"/>
    <n v="5.5457761598042875E-3"/>
    <n v="0.15678120554738323"/>
    <n v="7.7383373335589242E-2"/>
    <n v="8"/>
    <n v="97687391.995888039"/>
    <n v="3"/>
    <n v="14798489.4873379"/>
    <n v="2"/>
    <n v="0"/>
    <n v="3"/>
    <n v="82888902.508550152"/>
    <n v="1.4626510490057039E-3"/>
    <n v="2.2157440924685314E-4"/>
    <n v="0"/>
    <n v="1.241076639758851E-3"/>
    <n v="5746317.1762287086"/>
    <n v="8.6038297000335531E-5"/>
  </r>
  <r>
    <n v="150"/>
    <s v="PNG"/>
    <s v="Papua New Guinea"/>
    <x v="5"/>
    <x v="2"/>
    <n v="0"/>
    <n v="0"/>
    <x v="0"/>
    <n v="2016"/>
    <n v="0"/>
    <s v="na"/>
    <n v="24829107011.07011"/>
    <n v="5"/>
    <n v="2290000000"/>
    <n v="11"/>
    <n v="3350000000"/>
    <n v="16"/>
    <n v="5640000000"/>
    <n v="9.2230461569922692E-2"/>
    <n v="0.13492229094290001"/>
    <n v="0.22715275251282271"/>
    <n v="1.7056076506558025E-3"/>
    <n v="4.2130945493875291E-3"/>
    <n v="2.632033339088962E-3"/>
    <n v="331764705.88235295"/>
    <n v="1.3361926618401337E-2"/>
    <n v="3"/>
    <n v="0"/>
    <n v="0"/>
    <n v="0"/>
    <n v="0"/>
    <n v="0"/>
    <x v="0"/>
    <n v="0"/>
    <n v="0"/>
    <n v="0"/>
    <n v="0"/>
    <n v="801931000"/>
    <n v="3064927000"/>
    <n v="2262996000"/>
    <n v="3866858000"/>
    <n v="4289754000"/>
    <n v="11801523000"/>
    <n v="7511769000"/>
    <n v="16091277000"/>
    <n v="0.18694102272531246"/>
    <n v="0.25970605658269702"/>
    <n v="1.7168837495296998E-3"/>
    <n v="5.7041115278047118E-3"/>
    <n v="0.24030771454621036"/>
    <n v="0.1557389074957852"/>
    <n v="145"/>
    <n v="10985457319.344872"/>
    <n v="124"/>
    <n v="1238557865.0704238"/>
    <n v="16"/>
    <n v="5311957729.7807856"/>
    <n v="5"/>
    <n v="4434941724.4936609"/>
    <n v="0.44244270703924155"/>
    <n v="4.9883302871835469E-2"/>
    <n v="0.21394074814742381"/>
    <n v="0.17861865601998222"/>
    <n v="646203371.72616887"/>
    <n v="2.6026041590543621E-2"/>
  </r>
  <r>
    <n v="151"/>
    <s v="PRY"/>
    <s v="Paraguay"/>
    <x v="4"/>
    <x v="1"/>
    <n v="0"/>
    <n v="0"/>
    <x v="1"/>
    <s v="na"/>
    <n v="2"/>
    <s v="na"/>
    <n v="37906944074.612778"/>
    <n v="0"/>
    <n v="0"/>
    <n v="0"/>
    <n v="0"/>
    <n v="0"/>
    <n v="0"/>
    <n v="0"/>
    <n v="0"/>
    <n v="0"/>
    <n v="0"/>
    <n v="0"/>
    <n v="0"/>
    <n v="0"/>
    <n v="0"/>
    <n v="0"/>
    <s v="na"/>
    <s v="na"/>
    <s v="na"/>
    <s v="na"/>
    <s v="na"/>
    <x v="1"/>
    <n v="0"/>
    <s v="na"/>
    <s v="na"/>
    <s v="na"/>
    <n v="1923749000"/>
    <n v="10749000"/>
    <n v="-1913000000"/>
    <n v="1934498000"/>
    <n v="12187407000"/>
    <n v="7652036000"/>
    <n v="-4535371000"/>
    <n v="19839443000"/>
    <n v="0.15784727629101089"/>
    <n v="1.4047241805971639E-3"/>
    <n v="4.8777531362414984E-3"/>
    <n v="3.6985113496602654E-3"/>
    <n v="9.7507677004843335E-2"/>
    <n v="5.1032813307036837E-2"/>
    <n v="3"/>
    <n v="63904893.787608638"/>
    <n v="0"/>
    <n v="0"/>
    <n v="0"/>
    <n v="0"/>
    <n v="3"/>
    <n v="63904893.787608638"/>
    <n v="1.6858360743040571E-3"/>
    <n v="0"/>
    <n v="0"/>
    <n v="1.6858360743040571E-3"/>
    <n v="3759111.3992710966"/>
    <n v="9.9166827900238645E-5"/>
  </r>
  <r>
    <n v="152"/>
    <s v="PER"/>
    <s v="Peru"/>
    <x v="4"/>
    <x v="1"/>
    <n v="3"/>
    <n v="1"/>
    <x v="0"/>
    <n v="2019"/>
    <n v="0"/>
    <s v="na"/>
    <n v="228470919605.66925"/>
    <n v="8"/>
    <n v="5790000000"/>
    <n v="15"/>
    <n v="21480000000"/>
    <n v="23"/>
    <n v="27270000000"/>
    <n v="2.534239372780258E-2"/>
    <n v="9.4016341497961911E-2"/>
    <n v="0.11935873522576448"/>
    <n v="4.3124315708720946E-3"/>
    <n v="2.7014110722640039E-2"/>
    <n v="1.2726161198041841E-2"/>
    <n v="1604117647.0588236"/>
    <n v="7.0211020721037938E-3"/>
    <n v="3"/>
    <n v="0"/>
    <n v="0"/>
    <n v="0"/>
    <n v="0"/>
    <n v="0"/>
    <x v="0"/>
    <n v="0"/>
    <n v="0"/>
    <n v="0"/>
    <n v="0"/>
    <n v="10255204000"/>
    <n v="13159187000"/>
    <n v="2903983000"/>
    <n v="23414391000"/>
    <n v="42364042000"/>
    <n v="45135222000"/>
    <n v="2771180000"/>
    <n v="87499264000"/>
    <n v="0.24207331302334181"/>
    <n v="0.29155028859722903"/>
    <n v="1.6955316149642543E-2"/>
    <n v="2.1815518227624082E-2"/>
    <n v="0.26759529085867512"/>
    <n v="0.10248302515003752"/>
    <n v="97"/>
    <n v="11259526051.707972"/>
    <n v="69"/>
    <n v="184206605.39112389"/>
    <n v="25"/>
    <n v="10913683461.076916"/>
    <n v="3"/>
    <n v="161635985.2399314"/>
    <n v="4.9282097131404808E-2"/>
    <n v="8.0625843196611795E-4"/>
    <n v="4.7768370171194882E-2"/>
    <n v="7.0746852824380454E-4"/>
    <n v="662325061.86517477"/>
    <n v="2.898946890082636E-3"/>
  </r>
  <r>
    <n v="153"/>
    <s v="PHL"/>
    <s v="Philippines"/>
    <x v="5"/>
    <x v="2"/>
    <n v="0"/>
    <n v="1"/>
    <x v="0"/>
    <n v="2017"/>
    <n v="0"/>
    <s v="na"/>
    <n v="376823278560.84857"/>
    <n v="6"/>
    <n v="3820000000"/>
    <n v="23"/>
    <n v="13860000000"/>
    <n v="29"/>
    <n v="17680000000"/>
    <n v="1.0137377962925279E-2"/>
    <n v="3.6781167163912137E-2"/>
    <n v="4.6918545126837415E-2"/>
    <n v="2.8451621072074955E-3"/>
    <n v="1.7430892672988405E-2"/>
    <n v="8.2507711764349019E-3"/>
    <n v="1040000000"/>
    <n v="2.7599144192257305E-3"/>
    <n v="1"/>
    <n v="3"/>
    <n v="1257600000"/>
    <n v="0"/>
    <n v="0"/>
    <n v="0"/>
    <x v="0"/>
    <n v="3"/>
    <n v="1257600000"/>
    <n v="3.3373734361714217E-3"/>
    <n v="3.1550244441640202E-2"/>
    <n v="25749016000"/>
    <n v="9628984000"/>
    <n v="-16120032000"/>
    <n v="35378000000"/>
    <n v="112908749000"/>
    <n v="70334023000"/>
    <n v="-42574726000"/>
    <n v="183242772000"/>
    <n v="0.22805155692584991"/>
    <n v="0.13690364334768679"/>
    <n v="4.5189350330538246E-2"/>
    <n v="3.3995028556160239E-2"/>
    <n v="0.19306627821587419"/>
    <n v="9.3884858003238356E-2"/>
    <n v="92"/>
    <n v="31484642653.510399"/>
    <n v="55"/>
    <n v="10910181587.909098"/>
    <n v="32"/>
    <n v="17148159172.128071"/>
    <n v="5"/>
    <n v="3426301893.4732318"/>
    <n v="8.3552806964993093E-2"/>
    <n v="2.8953045654655188E-2"/>
    <n v="4.5507165156090601E-2"/>
    <n v="9.0925961542473021E-3"/>
    <n v="1852037803.1476705"/>
    <n v="4.91487099794077E-3"/>
  </r>
  <r>
    <n v="154"/>
    <s v="POL"/>
    <s v="Poland"/>
    <x v="1"/>
    <x v="3"/>
    <n v="2"/>
    <n v="0"/>
    <x v="0"/>
    <n v="2015"/>
    <n v="0"/>
    <s v="na"/>
    <n v="595862086928.21094"/>
    <n v="2"/>
    <n v="660000000"/>
    <n v="11"/>
    <n v="2150000000"/>
    <n v="13"/>
    <n v="2810000000"/>
    <n v="1.1076388554983132E-3"/>
    <n v="3.6082174838202629E-3"/>
    <n v="4.7158563393185759E-3"/>
    <n v="4.9157251066935794E-4"/>
    <n v="2.7039263525919966E-3"/>
    <n v="1.3113499437659543E-3"/>
    <n v="165294117.64705881"/>
    <n v="2.7740331407756329E-4"/>
    <n v="2"/>
    <n v="0"/>
    <n v="0"/>
    <n v="0"/>
    <n v="0"/>
    <n v="0"/>
    <x v="0"/>
    <n v="0"/>
    <n v="0"/>
    <n v="0"/>
    <n v="0"/>
    <n v="30414556000"/>
    <n v="2701584000"/>
    <n v="-27712972000"/>
    <n v="33116140000"/>
    <n v="246653880000"/>
    <n v="251864773000"/>
    <n v="5210893000"/>
    <n v="498518653000"/>
    <n v="0.12330864610765499"/>
    <n v="1.0726327337566973E-2"/>
    <n v="9.8718024001014676E-2"/>
    <n v="0.12173553829596546"/>
    <n v="6.6429089063594182E-2"/>
    <n v="5.5576853648669565E-2"/>
    <s v="na"/>
    <s v="na"/>
    <s v="na"/>
    <s v="na"/>
    <s v="na"/>
    <s v="na"/>
    <s v="na"/>
    <s v="na"/>
    <n v="0"/>
    <n v="0"/>
    <n v="0"/>
    <n v="0"/>
    <n v="0"/>
    <n v="0"/>
  </r>
  <r>
    <n v="155"/>
    <s v="PRT"/>
    <s v="Portugal"/>
    <x v="1"/>
    <x v="3"/>
    <n v="3"/>
    <n v="0"/>
    <x v="0"/>
    <n v="2018"/>
    <n v="0"/>
    <s v="na"/>
    <n v="239510770948.27414"/>
    <n v="4"/>
    <n v="4590000000"/>
    <n v="8"/>
    <n v="4630000000"/>
    <n v="12"/>
    <n v="9220000000"/>
    <n v="1.9164065072427485E-2"/>
    <n v="1.9331072175455176E-2"/>
    <n v="3.8495137247882658E-2"/>
    <n v="3.4186633696550802E-3"/>
    <n v="5.8228739593027641E-3"/>
    <n v="4.3027211678014592E-3"/>
    <n v="542352941.17647064"/>
    <n v="2.264419838110745E-3"/>
    <n v="2"/>
    <n v="0"/>
    <n v="0"/>
    <n v="0"/>
    <n v="0"/>
    <n v="0"/>
    <x v="0"/>
    <n v="0"/>
    <n v="0"/>
    <n v="0"/>
    <n v="0"/>
    <n v="3306270000"/>
    <n v="673894000"/>
    <n v="-2632376000"/>
    <n v="3980164000"/>
    <n v="89541380000"/>
    <n v="67064074000"/>
    <n v="-22477306000"/>
    <n v="156605454000"/>
    <n v="3.6924492340859615E-2"/>
    <n v="1.0048509728174284E-2"/>
    <n v="3.5837052715019017E-2"/>
    <n v="3.2414541547302694E-2"/>
    <n v="2.5415232345611667E-2"/>
    <n v="1.6617891480377619E-2"/>
    <s v="na"/>
    <s v="na"/>
    <s v="na"/>
    <s v="na"/>
    <s v="na"/>
    <s v="na"/>
    <s v="na"/>
    <s v="na"/>
    <n v="0"/>
    <n v="0"/>
    <n v="0"/>
    <n v="0"/>
    <n v="0"/>
    <n v="0"/>
  </r>
  <r>
    <n v="156"/>
    <s v="PRI"/>
    <s v="Puerto Rico"/>
    <x v="4"/>
    <x v="3"/>
    <n v="0"/>
    <n v="0"/>
    <x v="1"/>
    <s v="na"/>
    <n v="0"/>
    <s v="na"/>
    <n v="104914600000"/>
    <n v="0"/>
    <n v="0"/>
    <n v="0"/>
    <n v="0"/>
    <n v="0"/>
    <n v="0"/>
    <n v="0"/>
    <n v="0"/>
    <n v="0"/>
    <n v="0"/>
    <n v="0"/>
    <n v="0"/>
    <n v="0"/>
    <n v="0"/>
    <n v="0"/>
    <s v="na"/>
    <s v="na"/>
    <s v="na"/>
    <s v="na"/>
    <s v="na"/>
    <x v="1"/>
    <n v="0"/>
    <s v="na"/>
    <s v="na"/>
    <s v="na"/>
    <s v="na"/>
    <s v="na"/>
    <s v="na"/>
    <s v="na"/>
    <s v="na"/>
    <s v="na"/>
    <s v="na"/>
    <s v="na"/>
    <s v="na"/>
    <s v="na"/>
    <s v="na"/>
    <s v="na"/>
    <s v="na"/>
    <s v="na"/>
    <n v="0"/>
    <s v="na"/>
    <s v="na"/>
    <s v="na"/>
    <s v="na"/>
    <s v="na"/>
    <s v="na"/>
    <s v="na"/>
    <n v="0"/>
    <n v="0"/>
    <n v="0"/>
    <n v="0"/>
    <n v="0"/>
    <n v="0"/>
  </r>
  <r>
    <n v="157"/>
    <s v="QAT"/>
    <s v="Qatar"/>
    <x v="2"/>
    <x v="3"/>
    <n v="0"/>
    <n v="0"/>
    <x v="0"/>
    <n v="2019"/>
    <n v="0"/>
    <s v="na"/>
    <n v="175837550996.18515"/>
    <n v="10"/>
    <n v="3970000000"/>
    <n v="10"/>
    <n v="3830000000"/>
    <n v="20"/>
    <n v="7800000000"/>
    <n v="2.2577657488451544E-2"/>
    <n v="2.1781468055609425E-2"/>
    <n v="4.4359125544060969E-2"/>
    <n v="2.9568831323596224E-3"/>
    <n v="4.8167618281057421E-3"/>
    <n v="3.6400461072506919E-3"/>
    <n v="458823529.41176468"/>
    <n v="2.6093603261212331E-3"/>
    <n v="1"/>
    <n v="0"/>
    <n v="0"/>
    <n v="0"/>
    <n v="0"/>
    <n v="0"/>
    <x v="0"/>
    <n v="0"/>
    <n v="0"/>
    <n v="0"/>
    <n v="0"/>
    <n v="3485373000"/>
    <n v="9018816000"/>
    <n v="5533443000"/>
    <n v="12504189000"/>
    <n v="29178065000"/>
    <n v="72934956000"/>
    <n v="43756891000"/>
    <n v="102113021000"/>
    <n v="0.11945182108546266"/>
    <n v="0.12365560349415992"/>
    <n v="1.167790638838994E-2"/>
    <n v="3.5252155446337689E-2"/>
    <n v="0.12245440275437547"/>
    <n v="7.111216534329054E-2"/>
    <s v="na"/>
    <s v="na"/>
    <s v="na"/>
    <s v="na"/>
    <s v="na"/>
    <s v="na"/>
    <s v="na"/>
    <s v="na"/>
    <n v="0"/>
    <n v="0"/>
    <n v="0"/>
    <n v="0"/>
    <n v="0"/>
    <n v="0"/>
  </r>
  <r>
    <n v="158"/>
    <s v="ROU"/>
    <s v="Romania"/>
    <x v="1"/>
    <x v="1"/>
    <n v="1"/>
    <n v="0"/>
    <x v="0"/>
    <n v="2015"/>
    <n v="0"/>
    <s v="na"/>
    <n v="249696854574.19949"/>
    <n v="1"/>
    <n v="1300000000"/>
    <n v="2"/>
    <n v="810000000"/>
    <n v="3"/>
    <n v="2110000000"/>
    <n v="5.2063130799819271E-3"/>
    <n v="3.2439335344502779E-3"/>
    <n v="8.4502466144322046E-3"/>
    <n v="9.6824888465176558E-4"/>
    <n v="1.0186885328369846E-3"/>
    <n v="9.8467913926909736E-4"/>
    <n v="124117647.05882353"/>
    <n v="4.9707333026071797E-4"/>
    <n v="2"/>
    <n v="0"/>
    <n v="0"/>
    <n v="0"/>
    <n v="0"/>
    <n v="0"/>
    <x v="0"/>
    <n v="0"/>
    <n v="0"/>
    <n v="0"/>
    <n v="0"/>
    <n v="5094577000"/>
    <n v="849940000"/>
    <n v="-4244637000"/>
    <n v="5944517000"/>
    <n v="96644319000"/>
    <n v="77298748000"/>
    <n v="-19345571000"/>
    <n v="173943067000"/>
    <n v="5.2714707421136674E-2"/>
    <n v="1.0995520910636224E-2"/>
    <n v="3.867985455004283E-2"/>
    <n v="3.7361337138577068E-2"/>
    <n v="3.417507292774135E-2"/>
    <n v="2.3806935854826867E-2"/>
    <n v="28"/>
    <n v="3053090379.3344493"/>
    <n v="0"/>
    <n v="0"/>
    <n v="28"/>
    <n v="3053090379.3344493"/>
    <n v="0"/>
    <n v="0"/>
    <n v="1.2227187981766098E-2"/>
    <n v="0"/>
    <n v="1.2227187981766098E-2"/>
    <n v="0"/>
    <n v="179593551.72555584"/>
    <n v="7.1924635186859404E-4"/>
  </r>
  <r>
    <n v="159"/>
    <s v="RUS"/>
    <s v="Russia"/>
    <x v="1"/>
    <x v="1"/>
    <n v="4"/>
    <n v="0"/>
    <x v="0"/>
    <s v="na"/>
    <n v="0"/>
    <s v="na"/>
    <n v="1687448525466.6135"/>
    <n v="32"/>
    <n v="20910000000"/>
    <n v="51"/>
    <n v="37190000000"/>
    <n v="83"/>
    <n v="58100000000"/>
    <n v="1.239148909399649E-2"/>
    <n v="2.2039190789370132E-2"/>
    <n v="3.4430679883366622E-2"/>
    <n v="1.5573910906206476E-2"/>
    <n v="4.6771637699021554E-2"/>
    <n v="2.7113676773239129E-2"/>
    <n v="3417647058.8235292"/>
    <n v="2.0253341107862718E-3"/>
    <n v="1"/>
    <n v="2"/>
    <n v="800000000"/>
    <n v="1"/>
    <n v="300000000"/>
    <n v="0"/>
    <x v="0"/>
    <n v="3"/>
    <n v="1100000000"/>
    <n v="6.5187173617389479E-4"/>
    <n v="2.7596428821409211E-2"/>
    <n v="54126998000"/>
    <n v="56791577000"/>
    <n v="2664579000"/>
    <n v="110918575000"/>
    <n v="243780553000"/>
    <n v="422777167000"/>
    <n v="178996614000"/>
    <n v="666557720000"/>
    <n v="0.22203164827507796"/>
    <n v="0.13432981114611614"/>
    <n v="9.7568035345864529E-2"/>
    <n v="0.20434380477649519"/>
    <n v="0.16640505641431924"/>
    <n v="6.5731530962894871E-2"/>
    <n v="146"/>
    <n v="182518866954.12195"/>
    <n v="0"/>
    <n v="0"/>
    <n v="146"/>
    <n v="182518866954.12195"/>
    <n v="0"/>
    <n v="0"/>
    <n v="0.10816262789625053"/>
    <n v="0"/>
    <n v="0.10816262789625053"/>
    <n v="0"/>
    <n v="10736403938.477762"/>
    <n v="6.3625075233088545E-3"/>
  </r>
  <r>
    <n v="160"/>
    <s v="RWA"/>
    <s v="Rwanda"/>
    <x v="3"/>
    <x v="0"/>
    <n v="0"/>
    <n v="0"/>
    <x v="0"/>
    <n v="2018"/>
    <n v="0"/>
    <s v="na"/>
    <n v="10355974217.373478"/>
    <n v="1"/>
    <n v="120000000"/>
    <n v="6"/>
    <n v="1050000000"/>
    <n v="7"/>
    <n v="1170000000"/>
    <n v="1.1587514364286903E-2"/>
    <n v="0.10139075068751041"/>
    <n v="0.11297826505179731"/>
    <n v="8.9376820121701432E-5"/>
    <n v="1.3205221721960913E-3"/>
    <n v="5.4600691608760381E-4"/>
    <n v="68823529.411764711"/>
    <n v="6.6457802971645477E-3"/>
    <n v="2"/>
    <n v="1"/>
    <n v="100000000"/>
    <n v="1"/>
    <n v="100000000"/>
    <n v="0"/>
    <x v="0"/>
    <n v="2"/>
    <n v="200000000"/>
    <n v="1.9312523940478173E-2"/>
    <n v="5.0175325129834924E-3"/>
    <n v="635332"/>
    <n v="6583"/>
    <n v="-628749"/>
    <n v="641915"/>
    <n v="3195163000"/>
    <n v="1161751000"/>
    <n v="-2033412000"/>
    <n v="4356914000"/>
    <n v="1.9884181182618852E-4"/>
    <n v="5.6664465965598478E-6"/>
    <n v="1.2787967402789449E-3"/>
    <n v="5.6151712550478895E-4"/>
    <n v="1.4733249267715636E-4"/>
    <n v="6.1984994026260224E-5"/>
    <n v="104"/>
    <n v="838191857.3194195"/>
    <n v="97"/>
    <n v="811643265.86835873"/>
    <n v="5"/>
    <n v="145250.687988369"/>
    <n v="2"/>
    <n v="26403340.763072379"/>
    <n v="8.0938001555975775E-2"/>
    <n v="7.8374400016052836E-2"/>
    <n v="1.4025786945731509E-5"/>
    <n v="2.5495757529771929E-3"/>
    <n v="49305403.371730559"/>
    <n v="4.7610589150573982E-3"/>
  </r>
  <r>
    <n v="161"/>
    <s v="KNA"/>
    <s v="Saint Kitts and Nevis"/>
    <x v="4"/>
    <x v="3"/>
    <n v="0"/>
    <n v="0"/>
    <x v="1"/>
    <s v="na"/>
    <n v="2"/>
    <s v="na"/>
    <n v="1044711111.111111"/>
    <n v="0"/>
    <n v="0"/>
    <n v="0"/>
    <n v="0"/>
    <n v="0"/>
    <n v="0"/>
    <n v="0"/>
    <n v="0"/>
    <n v="0"/>
    <n v="0"/>
    <n v="0"/>
    <n v="0"/>
    <n v="0"/>
    <n v="0"/>
    <n v="0"/>
    <s v="na"/>
    <s v="na"/>
    <s v="na"/>
    <s v="na"/>
    <s v="na"/>
    <x v="1"/>
    <n v="0"/>
    <s v="na"/>
    <s v="na"/>
    <s v="na"/>
    <n v="9707000"/>
    <n v="363000"/>
    <n v="-9344000"/>
    <n v="10070000"/>
    <n v="335410000"/>
    <n v="78935000"/>
    <n v="-256475000"/>
    <n v="414345000"/>
    <n v="2.8940699442473392E-2"/>
    <n v="4.5987204662063727E-3"/>
    <n v="1.342407929288618E-4"/>
    <n v="3.8152198105894038E-5"/>
    <n v="2.4303418648710617E-2"/>
    <n v="9.6390283331915256E-3"/>
    <n v="0"/>
    <s v="na"/>
    <s v="na"/>
    <s v="na"/>
    <s v="na"/>
    <s v="na"/>
    <s v="na"/>
    <s v="na"/>
    <n v="0"/>
    <n v="0"/>
    <n v="0"/>
    <n v="0"/>
    <n v="0"/>
    <n v="0"/>
  </r>
  <r>
    <n v="162"/>
    <s v="LCA"/>
    <s v="Saint Lucia"/>
    <x v="4"/>
    <x v="1"/>
    <n v="0"/>
    <n v="0"/>
    <x v="1"/>
    <s v="na"/>
    <n v="2"/>
    <s v="na"/>
    <n v="2122450629.6296294"/>
    <n v="0"/>
    <n v="0"/>
    <n v="0"/>
    <n v="0"/>
    <n v="0"/>
    <n v="0"/>
    <n v="0"/>
    <n v="0"/>
    <n v="0"/>
    <n v="0"/>
    <n v="0"/>
    <n v="0"/>
    <n v="0"/>
    <n v="0"/>
    <n v="0"/>
    <s v="na"/>
    <s v="na"/>
    <s v="na"/>
    <s v="na"/>
    <s v="na"/>
    <x v="1"/>
    <n v="0"/>
    <s v="na"/>
    <s v="na"/>
    <s v="na"/>
    <n v="33795"/>
    <n v="144"/>
    <n v="-33651"/>
    <n v="33939"/>
    <n v="623793000"/>
    <n v="97256000"/>
    <n v="-526537000"/>
    <n v="721049000"/>
    <n v="5.4176625899937962E-5"/>
    <n v="1.4806284445175618E-6"/>
    <n v="2.4966001891259503E-4"/>
    <n v="4.7007413428603681E-5"/>
    <n v="4.7068923193846745E-5"/>
    <n v="1.5990477953271593E-5"/>
    <n v="15"/>
    <n v="71734350.612044483"/>
    <n v="13"/>
    <n v="71732153.988873303"/>
    <n v="2"/>
    <n v="2196.6231711774899"/>
    <n v="0"/>
    <n v="0"/>
    <n v="3.3797888917002618E-2"/>
    <n v="3.3796853970351558E-2"/>
    <n v="1.0349466510609971E-6"/>
    <n v="0"/>
    <n v="4219667.6830614405"/>
    <n v="1.9881111127648603E-3"/>
  </r>
  <r>
    <n v="163"/>
    <s v="VCT"/>
    <s v="Saint Vincent and the Grenadines"/>
    <x v="4"/>
    <x v="1"/>
    <n v="0"/>
    <n v="0"/>
    <x v="1"/>
    <s v="na"/>
    <n v="2"/>
    <s v="na"/>
    <n v="824718518.51851845"/>
    <n v="0"/>
    <n v="0"/>
    <n v="0"/>
    <n v="0"/>
    <n v="0"/>
    <n v="0"/>
    <n v="0"/>
    <n v="0"/>
    <n v="0"/>
    <n v="0"/>
    <n v="0"/>
    <n v="0"/>
    <n v="0"/>
    <n v="0"/>
    <n v="0"/>
    <s v="na"/>
    <s v="na"/>
    <s v="na"/>
    <s v="na"/>
    <s v="na"/>
    <x v="1"/>
    <n v="0"/>
    <s v="na"/>
    <s v="na"/>
    <s v="na"/>
    <n v="21046000"/>
    <n v="2000"/>
    <n v="-21044000"/>
    <n v="21048000"/>
    <n v="335082000"/>
    <n v="40335000"/>
    <n v="-294747000"/>
    <n v="375417000"/>
    <n v="6.280850657451012E-2"/>
    <n v="4.9584727903805629E-5"/>
    <n v="1.341095178324703E-4"/>
    <n v="1.9495393812646307E-5"/>
    <n v="5.6065654991649283E-2"/>
    <n v="2.5521434922801945E-2"/>
    <n v="0"/>
    <s v="na"/>
    <s v="na"/>
    <s v="na"/>
    <s v="na"/>
    <s v="na"/>
    <s v="na"/>
    <s v="na"/>
    <n v="0"/>
    <n v="0"/>
    <n v="0"/>
    <n v="0"/>
    <n v="0"/>
    <n v="0"/>
  </r>
  <r>
    <n v="164"/>
    <s v="WSM"/>
    <s v="Samoa"/>
    <x v="5"/>
    <x v="2"/>
    <n v="0"/>
    <n v="0"/>
    <x v="0"/>
    <n v="2018"/>
    <n v="0"/>
    <s v="na"/>
    <n v="852250190.9854852"/>
    <n v="0"/>
    <n v="0"/>
    <n v="1"/>
    <n v="110000000"/>
    <n v="1"/>
    <n v="110000000"/>
    <n v="0"/>
    <n v="0.12907007961218916"/>
    <n v="0.12907007961218916"/>
    <n v="0"/>
    <n v="1.383404180395905E-4"/>
    <n v="5.1333983563791811E-5"/>
    <n v="6470588.2352941176"/>
    <n v="7.592357624246422E-3"/>
    <n v="1"/>
    <n v="0"/>
    <n v="0"/>
    <n v="0"/>
    <n v="0"/>
    <n v="0"/>
    <x v="0"/>
    <n v="0"/>
    <n v="0"/>
    <n v="0"/>
    <n v="0"/>
    <n v="47731000"/>
    <n v="670000"/>
    <n v="-47061000"/>
    <n v="48401000"/>
    <n v="391086000"/>
    <n v="49335000"/>
    <n v="-341751000"/>
    <n v="440421000"/>
    <n v="0.12204732462936541"/>
    <n v="1.358062227627445E-2"/>
    <n v="1.565239400834109E-4"/>
    <n v="2.3845425901745521E-5"/>
    <n v="0.1098971211636139"/>
    <n v="5.6792008393723344E-2"/>
    <n v="123"/>
    <n v="478225047.55540532"/>
    <n v="117"/>
    <n v="478225047.55540532"/>
    <n v="6"/>
    <n v="0"/>
    <n v="0"/>
    <n v="0"/>
    <n v="0.56113222691381015"/>
    <n v="0.56113222691381015"/>
    <n v="0"/>
    <n v="0"/>
    <n v="28130885.150317959"/>
    <n v="3.3007778053753538E-2"/>
  </r>
  <r>
    <n v="165"/>
    <s v="SMR"/>
    <s v="San Marino"/>
    <x v="1"/>
    <x v="3"/>
    <n v="0"/>
    <n v="0"/>
    <x v="1"/>
    <s v="na"/>
    <n v="0"/>
    <s v="na"/>
    <n v="1616369645.9963503"/>
    <n v="0"/>
    <n v="0"/>
    <n v="0"/>
    <n v="0"/>
    <n v="0"/>
    <n v="0"/>
    <n v="0"/>
    <n v="0"/>
    <n v="0"/>
    <n v="0"/>
    <n v="0"/>
    <n v="0"/>
    <n v="0"/>
    <n v="0"/>
    <n v="0"/>
    <s v="na"/>
    <s v="na"/>
    <s v="na"/>
    <s v="na"/>
    <s v="na"/>
    <x v="1"/>
    <n v="0"/>
    <s v="na"/>
    <s v="na"/>
    <s v="na"/>
    <s v="na"/>
    <s v="na"/>
    <s v="na"/>
    <s v="na"/>
    <s v="na"/>
    <s v="na"/>
    <s v="na"/>
    <s v="na"/>
    <s v="na"/>
    <s v="na"/>
    <s v="na"/>
    <s v="na"/>
    <s v="na"/>
    <s v="na"/>
    <s v="na"/>
    <s v="na"/>
    <s v="na"/>
    <s v="na"/>
    <s v="na"/>
    <s v="na"/>
    <s v="na"/>
    <s v="na"/>
    <n v="0"/>
    <n v="0"/>
    <n v="0"/>
    <n v="0"/>
    <n v="0"/>
    <n v="0"/>
  </r>
  <r>
    <n v="166"/>
    <s v="STP"/>
    <s v="Sao Tome and Principe"/>
    <x v="3"/>
    <x v="2"/>
    <n v="0"/>
    <n v="0"/>
    <x v="1"/>
    <s v="na"/>
    <n v="1"/>
    <n v="2016"/>
    <n v="427425039.68433946"/>
    <n v="3"/>
    <n v="950000000"/>
    <n v="0"/>
    <n v="0"/>
    <n v="3"/>
    <n v="950000000"/>
    <n v="2.2226119478203499"/>
    <n v="0"/>
    <n v="2.2226119478203499"/>
    <n v="7.0756649263013641E-4"/>
    <n v="0"/>
    <n v="4.4333894896002015E-4"/>
    <n v="55882352.941176474"/>
    <n v="0.13074187928354999"/>
    <n v="0"/>
    <s v="na"/>
    <s v="na"/>
    <s v="na"/>
    <s v="na"/>
    <s v="na"/>
    <x v="1"/>
    <n v="0"/>
    <s v="na"/>
    <s v="na"/>
    <s v="na"/>
    <n v="8980000"/>
    <n v="14000"/>
    <n v="-8966000"/>
    <n v="8994000"/>
    <n v="147896000"/>
    <n v="9860000"/>
    <n v="-138036000"/>
    <n v="157756000"/>
    <n v="6.071834261913777E-2"/>
    <n v="1.4198782961460446E-3"/>
    <n v="5.9192261146080758E-5"/>
    <n v="4.7657018220575822E-6"/>
    <n v="5.7012094627145717E-2"/>
    <n v="2.1042286167048656E-2"/>
    <n v="22"/>
    <n v="228583110.16083306"/>
    <n v="18"/>
    <n v="228583110.16083306"/>
    <n v="3"/>
    <n v="0"/>
    <n v="1"/>
    <n v="0"/>
    <n v="0.53479110706673971"/>
    <n v="0.53479110706673971"/>
    <n v="0"/>
    <n v="0"/>
    <n v="13446065.303578416"/>
    <n v="3.1458300415690574E-2"/>
  </r>
  <r>
    <n v="167"/>
    <s v="SAU"/>
    <s v="Saudi Arabia"/>
    <x v="2"/>
    <x v="3"/>
    <n v="0"/>
    <n v="0"/>
    <x v="0"/>
    <n v="2018"/>
    <n v="0"/>
    <s v="na"/>
    <n v="792966838160"/>
    <n v="29"/>
    <n v="16650000000"/>
    <n v="48"/>
    <n v="26150000000"/>
    <n v="77"/>
    <n v="42800000000"/>
    <n v="2.0997094958768583E-2"/>
    <n v="3.2977419409717629E-2"/>
    <n v="5.3974514368486208E-2"/>
    <n v="1.2401033791886075E-2"/>
    <n v="3.2887290288502652E-2"/>
    <n v="1.9973586332093538E-2"/>
    <n v="2517647058.8235292"/>
    <n v="3.1749714334403652E-3"/>
    <n v="1"/>
    <n v="0"/>
    <n v="0"/>
    <n v="0"/>
    <n v="0"/>
    <n v="0"/>
    <x v="0"/>
    <n v="0"/>
    <n v="0"/>
    <n v="0"/>
    <n v="0"/>
    <n v="27066620000"/>
    <n v="9339878000"/>
    <n v="-17726742000"/>
    <n v="36406498000"/>
    <n v="144334893000"/>
    <n v="251800458000"/>
    <n v="107465565000"/>
    <n v="396135351000"/>
    <n v="0.18752651862221562"/>
    <n v="3.7092378918548274E-2"/>
    <n v="5.7767003022039971E-2"/>
    <n v="0.12170445248331986"/>
    <n v="9.1904188576191981E-2"/>
    <n v="4.5911753490823937E-2"/>
    <s v="na"/>
    <s v="na"/>
    <s v="na"/>
    <s v="na"/>
    <s v="na"/>
    <s v="na"/>
    <s v="na"/>
    <s v="na"/>
    <n v="0"/>
    <n v="0"/>
    <n v="0"/>
    <n v="0"/>
    <n v="0"/>
    <n v="0"/>
  </r>
  <r>
    <n v="168"/>
    <s v="SEN"/>
    <s v="Senegal"/>
    <x v="3"/>
    <x v="2"/>
    <n v="0"/>
    <n v="0"/>
    <x v="0"/>
    <n v="2018"/>
    <n v="1"/>
    <n v="2005"/>
    <n v="23306213742.360191"/>
    <n v="2"/>
    <n v="490000000"/>
    <n v="6"/>
    <n v="4180000000"/>
    <n v="8"/>
    <n v="4670000000"/>
    <n v="2.1024436033099655E-2"/>
    <n v="0.17935131146603381"/>
    <n v="0.20037574749913345"/>
    <n v="3.6495534883028088E-4"/>
    <n v="5.2569358855044396E-3"/>
    <n v="2.1793609385718886E-3"/>
    <n v="274705882.35294116"/>
    <n v="1.1786808676419614E-2"/>
    <n v="3"/>
    <n v="0"/>
    <n v="0"/>
    <n v="0"/>
    <n v="0"/>
    <n v="0"/>
    <x v="0"/>
    <n v="0"/>
    <n v="0"/>
    <n v="0"/>
    <n v="0"/>
    <n v="871078000"/>
    <n v="276314000"/>
    <n v="-594764000"/>
    <n v="1147392000"/>
    <n v="8146866000"/>
    <n v="4175809000"/>
    <n v="-3971057000"/>
    <n v="12322675000"/>
    <n v="0.10692185191213406"/>
    <n v="6.617017205528318E-2"/>
    <n v="3.2606116446295122E-3"/>
    <n v="2.0183225719943663E-3"/>
    <n v="9.3112250383946674E-2"/>
    <n v="4.9231162671204656E-2"/>
    <n v="83"/>
    <n v="4271792281.2145119"/>
    <n v="67"/>
    <n v="2574765569.3663158"/>
    <n v="8"/>
    <n v="1365681223.5220661"/>
    <n v="8"/>
    <n v="331345488.32612902"/>
    <n v="0.18328984400629258"/>
    <n v="0.11047549798646841"/>
    <n v="5.8597301072540721E-2"/>
    <n v="1.4217044947283404E-2"/>
    <n v="251281898.89497128"/>
    <n v="1.0781755529781917E-2"/>
  </r>
  <r>
    <n v="169"/>
    <s v="SRB"/>
    <s v="Serbia"/>
    <x v="1"/>
    <x v="1"/>
    <n v="2"/>
    <n v="0"/>
    <x v="0"/>
    <n v="2015"/>
    <n v="0"/>
    <s v="na"/>
    <n v="51475016532.129341"/>
    <n v="3"/>
    <n v="930000000"/>
    <n v="24"/>
    <n v="9730000000"/>
    <n v="27"/>
    <n v="10660000000"/>
    <n v="1.8067017024064842E-2"/>
    <n v="0.18902373725177518"/>
    <n v="0.20709075427584001"/>
    <n v="6.9267035594318611E-4"/>
    <n v="1.2236838795683779E-2"/>
    <n v="4.9747296799092788E-3"/>
    <n v="627058823.52941179"/>
    <n v="1.2181809075049413E-2"/>
    <n v="2"/>
    <n v="0"/>
    <n v="0"/>
    <n v="0"/>
    <n v="0"/>
    <n v="0"/>
    <x v="0"/>
    <n v="0"/>
    <n v="0"/>
    <n v="0"/>
    <n v="0"/>
    <n v="2506052000"/>
    <n v="318351000"/>
    <n v="-2187701000"/>
    <n v="2824403000"/>
    <n v="26548364000"/>
    <n v="19557555000"/>
    <n v="-6990809000"/>
    <n v="46105919000"/>
    <n v="9.439572246335029E-2"/>
    <n v="1.6277648202957885E-2"/>
    <n v="1.0625423912000385E-2"/>
    <n v="9.4528879815914176E-3"/>
    <n v="6.1259011017652638E-2"/>
    <n v="5.4869394713784742E-2"/>
    <n v="66"/>
    <n v="4251444743.7936091"/>
    <n v="38"/>
    <n v="1195786657.3237548"/>
    <n v="24"/>
    <n v="2571020557.8682885"/>
    <n v="4"/>
    <n v="484637528.60156596"/>
    <n v="8.2592392003215193E-2"/>
    <n v="2.3230427844105235E-2"/>
    <n v="4.9946959342179631E-2"/>
    <n v="9.4150048169303266E-3"/>
    <n v="250084984.92903584"/>
    <n v="4.8583760001891293E-3"/>
  </r>
  <r>
    <n v="170"/>
    <s v="SYC"/>
    <s v="Seychelles"/>
    <x v="3"/>
    <x v="3"/>
    <n v="0"/>
    <n v="0"/>
    <x v="0"/>
    <n v="2018"/>
    <n v="0"/>
    <s v="na"/>
    <n v="1581380268.6428902"/>
    <n v="0"/>
    <n v="0"/>
    <n v="0"/>
    <n v="0"/>
    <n v="0"/>
    <n v="0"/>
    <n v="0"/>
    <n v="0"/>
    <n v="0"/>
    <n v="0"/>
    <n v="0"/>
    <n v="0"/>
    <n v="0"/>
    <n v="0"/>
    <n v="0"/>
    <s v="na"/>
    <s v="na"/>
    <s v="na"/>
    <s v="na"/>
    <s v="na"/>
    <x v="1"/>
    <n v="0"/>
    <s v="na"/>
    <s v="na"/>
    <s v="na"/>
    <n v="69050000"/>
    <n v="2769000"/>
    <n v="-66281000"/>
    <n v="71819000"/>
    <n v="1474528000"/>
    <n v="844891000"/>
    <n v="-629637000"/>
    <n v="2319419000"/>
    <n v="4.6828544456259905E-2"/>
    <n v="3.2773458351432316E-3"/>
    <n v="5.9014879674371286E-4"/>
    <n v="4.0836699575456925E-4"/>
    <n v="3.0964219918867612E-2"/>
    <n v="4.5415388963739672E-2"/>
    <n v="101"/>
    <n v="260039333.35075414"/>
    <n v="97"/>
    <n v="219442020.71796975"/>
    <n v="3"/>
    <n v="0"/>
    <n v="1"/>
    <n v="40597312.632784396"/>
    <n v="0.16443820534950448"/>
    <n v="0.13876613049326245"/>
    <n v="0"/>
    <n v="2.5672074856242021E-2"/>
    <n v="15296431.373573773"/>
    <n v="9.6728356087943806E-3"/>
  </r>
  <r>
    <n v="171"/>
    <s v="SLE"/>
    <s v="Sierra Leone"/>
    <x v="3"/>
    <x v="0"/>
    <n v="0"/>
    <n v="0"/>
    <x v="0"/>
    <n v="2018"/>
    <n v="0"/>
    <s v="na"/>
    <n v="4121733705.2916489"/>
    <n v="5"/>
    <n v="4050000000"/>
    <n v="4"/>
    <n v="1940000000"/>
    <n v="9"/>
    <n v="5990000000"/>
    <n v="0.98259623002826357"/>
    <n v="0.47067572500119292"/>
    <n v="1.4532719550294564"/>
    <n v="3.0164676791074236E-3"/>
    <n v="2.4398219181527782E-3"/>
    <n v="2.7953687413373902E-3"/>
    <n v="352352941.17647058"/>
    <n v="8.5486585589968023E-2"/>
    <n v="0"/>
    <s v="na"/>
    <s v="na"/>
    <s v="na"/>
    <s v="na"/>
    <s v="na"/>
    <x v="1"/>
    <n v="0"/>
    <s v="na"/>
    <s v="na"/>
    <s v="na"/>
    <n v="313687000"/>
    <n v="197455000"/>
    <n v="-116232000"/>
    <n v="511142000"/>
    <n v="1184904000"/>
    <n v="760200000"/>
    <n v="-424704000"/>
    <n v="1945104000"/>
    <n v="0.26473621491698907"/>
    <n v="0.25974085766903449"/>
    <n v="4.7423288663003512E-4"/>
    <n v="3.6743271045924683E-4"/>
    <n v="0.26278389227516885"/>
    <n v="0.12401140795286585"/>
    <n v="166"/>
    <n v="3394795029.1822715"/>
    <n v="150"/>
    <n v="497214732.22004497"/>
    <n v="12"/>
    <n v="2773640094.1698499"/>
    <n v="4"/>
    <n v="123940202.79237621"/>
    <n v="0.82363278947979968"/>
    <n v="0.12063242503553796"/>
    <n v="0.67293044444111905"/>
    <n v="3.0069920003142549E-2"/>
    <n v="199693825.24601597"/>
    <n v="4.8448987616458807E-2"/>
  </r>
  <r>
    <n v="172"/>
    <s v="SGP"/>
    <s v="Singapore"/>
    <x v="5"/>
    <x v="3"/>
    <n v="0"/>
    <n v="0"/>
    <x v="0"/>
    <n v="2018"/>
    <n v="0"/>
    <s v="na"/>
    <n v="374386306993.1095"/>
    <n v="20"/>
    <n v="11970000000"/>
    <n v="84"/>
    <n v="38730000000"/>
    <n v="104"/>
    <n v="50700000000"/>
    <n v="3.1972323176393057E-2"/>
    <n v="0.10344929629253993"/>
    <n v="0.135421619468933"/>
    <n v="8.9153378071397185E-3"/>
    <n v="4.8708403551575824E-2"/>
    <n v="2.3660299697129496E-2"/>
    <n v="2982352941.1764708"/>
    <n v="7.9659776158195889E-3"/>
    <n v="1"/>
    <n v="2"/>
    <n v="134000000"/>
    <n v="0"/>
    <n v="0"/>
    <n v="0"/>
    <x v="0"/>
    <n v="2"/>
    <n v="134000000"/>
    <n v="3.5791907315260398E-4"/>
    <n v="3.36174678369894E-3"/>
    <n v="49037427000"/>
    <n v="51626378000"/>
    <n v="2588951000"/>
    <n v="100663805000"/>
    <n v="359008256000"/>
    <n v="390386234000"/>
    <n v="31377978000"/>
    <n v="749394490000"/>
    <n v="0.13659136295740229"/>
    <n v="0.13224436085008059"/>
    <n v="0.14368549820651683"/>
    <n v="0.18868807167139937"/>
    <n v="0.13432685500529901"/>
    <n v="0.26887683422100345"/>
    <s v="na"/>
    <s v="na"/>
    <s v="na"/>
    <s v="na"/>
    <s v="na"/>
    <s v="na"/>
    <s v="na"/>
    <s v="na"/>
    <n v="0"/>
    <n v="0"/>
    <n v="0"/>
    <n v="0"/>
    <n v="0"/>
    <n v="0"/>
  </r>
  <r>
    <n v="173"/>
    <s v="SXM"/>
    <s v="Sint Maarten (Dutch part)"/>
    <x v="4"/>
    <x v="3"/>
    <n v="0"/>
    <n v="0"/>
    <x v="1"/>
    <s v="na"/>
    <n v="0"/>
    <s v="na"/>
    <n v="1185474860.3351955"/>
    <n v="0"/>
    <n v="0"/>
    <n v="0"/>
    <n v="0"/>
    <n v="0"/>
    <n v="0"/>
    <n v="0"/>
    <n v="0"/>
    <n v="0"/>
    <n v="0"/>
    <n v="0"/>
    <n v="0"/>
    <n v="0"/>
    <n v="0"/>
    <n v="0"/>
    <s v="na"/>
    <s v="na"/>
    <s v="na"/>
    <s v="na"/>
    <s v="na"/>
    <x v="1"/>
    <n v="0"/>
    <s v="na"/>
    <s v="na"/>
    <s v="na"/>
    <n v="6583000"/>
    <n v="7000"/>
    <n v="-6576000"/>
    <n v="6590000"/>
    <n v="138306000"/>
    <n v="18520000"/>
    <n v="-119786000"/>
    <n v="156826000"/>
    <n v="4.7597356586120632E-2"/>
    <n v="3.7796976241900648E-4"/>
    <n v="5.5354065492439589E-5"/>
    <n v="8.9513993655686027E-6"/>
    <n v="4.2021093441138586E-2"/>
    <n v="5.5589538171536288E-3"/>
    <n v="1"/>
    <n v="105275"/>
    <n v="0"/>
    <n v="0"/>
    <n v="1"/>
    <n v="105275"/>
    <n v="0"/>
    <n v="0"/>
    <n v="8.8804076343072569E-5"/>
    <n v="0"/>
    <n v="8.8804076343072569E-5"/>
    <n v="0"/>
    <n v="6192.6470588235297"/>
    <n v="5.223769196651328E-6"/>
  </r>
  <r>
    <n v="174"/>
    <s v="SVK"/>
    <s v="Slovakia"/>
    <x v="1"/>
    <x v="3"/>
    <n v="0"/>
    <n v="0"/>
    <x v="0"/>
    <n v="2015"/>
    <n v="0"/>
    <s v="na"/>
    <n v="105119160234.11748"/>
    <n v="0"/>
    <n v="0"/>
    <n v="0"/>
    <n v="0"/>
    <n v="0"/>
    <n v="0"/>
    <n v="0"/>
    <n v="0"/>
    <n v="0"/>
    <n v="0"/>
    <n v="0"/>
    <n v="0"/>
    <n v="0"/>
    <n v="0"/>
    <n v="0"/>
    <s v="na"/>
    <s v="na"/>
    <s v="na"/>
    <s v="na"/>
    <s v="na"/>
    <x v="1"/>
    <n v="0"/>
    <s v="na"/>
    <s v="na"/>
    <s v="na"/>
    <n v="5784117000"/>
    <n v="1898518000"/>
    <n v="-3885599000"/>
    <n v="7682635000"/>
    <n v="90908109000"/>
    <n v="89909085000"/>
    <n v="-999024000"/>
    <n v="180817194000"/>
    <n v="6.3625974224147591E-2"/>
    <n v="2.1115975098623237E-2"/>
    <n v="3.6384057230921557E-2"/>
    <n v="4.3456378316838747E-2"/>
    <n v="4.2488409592286891E-2"/>
    <n v="7.3085011171032208E-2"/>
    <s v="na"/>
    <s v="na"/>
    <s v="na"/>
    <s v="na"/>
    <s v="na"/>
    <s v="na"/>
    <s v="na"/>
    <s v="na"/>
    <n v="0"/>
    <n v="0"/>
    <n v="0"/>
    <n v="0"/>
    <n v="0"/>
    <n v="0"/>
  </r>
  <r>
    <n v="175"/>
    <s v="SVN"/>
    <s v="Slovenia"/>
    <x v="1"/>
    <x v="3"/>
    <n v="0"/>
    <n v="0"/>
    <x v="0"/>
    <n v="2017"/>
    <n v="0"/>
    <s v="na"/>
    <n v="54178877605.999916"/>
    <n v="0"/>
    <n v="0"/>
    <n v="3"/>
    <n v="2180000000"/>
    <n v="3"/>
    <n v="2180000000"/>
    <n v="0"/>
    <n v="4.0237083090820268E-2"/>
    <n v="4.0237083090820268E-2"/>
    <n v="0"/>
    <n v="2.7416555575118847E-3"/>
    <n v="1.017346219718783E-3"/>
    <n v="128235294.11764705"/>
    <n v="2.3668872406364862E-3"/>
    <n v="0"/>
    <s v="na"/>
    <s v="na"/>
    <s v="na"/>
    <s v="na"/>
    <s v="na"/>
    <x v="1"/>
    <n v="0"/>
    <s v="na"/>
    <s v="na"/>
    <s v="na"/>
    <n v="2335422000"/>
    <n v="297361000"/>
    <n v="-2038061000"/>
    <n v="2632783000"/>
    <n v="38162054000"/>
    <n v="37574594000"/>
    <n v="-587460000"/>
    <n v="75736648000"/>
    <n v="6.1197492147566271E-2"/>
    <n v="7.9138845785000373E-3"/>
    <n v="1.5273558894350326E-2"/>
    <n v="1.8161187737208307E-2"/>
    <n v="3.4762338570885787E-2"/>
    <n v="4.8594269876650942E-2"/>
    <s v="na"/>
    <s v="na"/>
    <s v="na"/>
    <s v="na"/>
    <s v="na"/>
    <s v="na"/>
    <s v="na"/>
    <s v="na"/>
    <n v="0"/>
    <n v="0"/>
    <n v="0"/>
    <n v="0"/>
    <n v="0"/>
    <n v="0"/>
  </r>
  <r>
    <n v="176"/>
    <s v="SLB"/>
    <s v="Solomon Islands"/>
    <x v="5"/>
    <x v="2"/>
    <n v="0"/>
    <n v="0"/>
    <x v="0"/>
    <n v="2019"/>
    <n v="1"/>
    <n v="2019"/>
    <n v="1570215577.3607066"/>
    <n v="0"/>
    <n v="0"/>
    <n v="1"/>
    <n v="200000000"/>
    <n v="1"/>
    <n v="200000000"/>
    <n v="0"/>
    <n v="0.12737104565996574"/>
    <n v="0.12737104565996574"/>
    <n v="0"/>
    <n v="2.5152803279925549E-4"/>
    <n v="9.3334515570530561E-5"/>
    <n v="11764705.882352941"/>
    <n v="7.4924144505862187E-3"/>
    <n v="0"/>
    <s v="na"/>
    <s v="na"/>
    <s v="na"/>
    <s v="na"/>
    <s v="na"/>
    <x v="1"/>
    <n v="0"/>
    <s v="na"/>
    <s v="na"/>
    <s v="na"/>
    <n v="98567000"/>
    <n v="461733000"/>
    <n v="363166000"/>
    <n v="560300000"/>
    <n v="421615000"/>
    <n v="705780000"/>
    <n v="284165000"/>
    <n v="1127395000"/>
    <n v="0.23378437674181421"/>
    <n v="0.65421661140865428"/>
    <n v="1.6874252977162898E-4"/>
    <n v="3.4112951642716028E-4"/>
    <n v="0.49698641558637391"/>
    <n v="0.35682998441639396"/>
    <n v="0"/>
    <s v="na"/>
    <s v="na"/>
    <s v="na"/>
    <s v="na"/>
    <s v="na"/>
    <s v="na"/>
    <s v="na"/>
    <n v="0"/>
    <n v="0"/>
    <n v="0"/>
    <n v="0"/>
    <n v="0"/>
    <n v="0"/>
  </r>
  <r>
    <n v="177"/>
    <s v="SOM"/>
    <s v="Somalia"/>
    <x v="3"/>
    <x v="0"/>
    <n v="0"/>
    <n v="0"/>
    <x v="0"/>
    <n v="2015"/>
    <n v="0"/>
    <s v="na"/>
    <n v="4942319040.6982193"/>
    <n v="0"/>
    <n v="0"/>
    <n v="0"/>
    <n v="0"/>
    <n v="0"/>
    <n v="0"/>
    <n v="0"/>
    <n v="0"/>
    <n v="0"/>
    <n v="0"/>
    <n v="0"/>
    <n v="0"/>
    <n v="0"/>
    <n v="0"/>
    <n v="0"/>
    <s v="na"/>
    <s v="na"/>
    <s v="na"/>
    <s v="na"/>
    <s v="na"/>
    <x v="1"/>
    <n v="0"/>
    <s v="na"/>
    <s v="na"/>
    <s v="na"/>
    <n v="732058000"/>
    <n v="18638000"/>
    <n v="-713420000"/>
    <n v="750696000"/>
    <n v="3893775000"/>
    <n v="417976000"/>
    <n v="-3475799000"/>
    <n v="4311751000"/>
    <n v="0.1880072680111203"/>
    <n v="4.4591076999636339E-2"/>
    <n v="1.5584014891821319E-3"/>
    <n v="2.0202322360814812E-4"/>
    <n v="0.17410467348415992"/>
    <n v="0.15189144889641654"/>
    <n v="50"/>
    <n v="57178560.804101512"/>
    <n v="46"/>
    <n v="57178560.804101512"/>
    <n v="0"/>
    <n v="0"/>
    <n v="4"/>
    <n v="0"/>
    <n v="1.1569176399430435E-2"/>
    <n v="1.1569176399430435E-2"/>
    <n v="0"/>
    <n v="0"/>
    <n v="3363444.7531824419"/>
    <n v="6.8053978820179037E-4"/>
  </r>
  <r>
    <n v="178"/>
    <s v="ZAF"/>
    <s v="South Africa"/>
    <x v="3"/>
    <x v="1"/>
    <n v="3"/>
    <n v="0"/>
    <x v="0"/>
    <n v="2015"/>
    <n v="0"/>
    <s v="na"/>
    <n v="351431649241.43854"/>
    <n v="12"/>
    <n v="9470000000"/>
    <n v="9"/>
    <n v="4910000000"/>
    <n v="21"/>
    <n v="14380000000"/>
    <n v="2.6946918470322448E-2"/>
    <n v="1.3971422353672991E-2"/>
    <n v="4.0918340823995439E-2"/>
    <n v="7.053320721270938E-3"/>
    <n v="6.1750132052217216E-3"/>
    <n v="6.7107516695211469E-3"/>
    <n v="845882352.94117641"/>
    <n v="2.4069612249409079E-3"/>
    <n v="3"/>
    <n v="0"/>
    <n v="0"/>
    <n v="0"/>
    <n v="0"/>
    <n v="0"/>
    <x v="0"/>
    <n v="0"/>
    <n v="0"/>
    <n v="0"/>
    <n v="0"/>
    <n v="16289345000"/>
    <n v="9659694000"/>
    <n v="-6629651000"/>
    <n v="25949039000"/>
    <n v="88216179000"/>
    <n v="90419473000"/>
    <n v="2203294000"/>
    <n v="178635652000"/>
    <n v="0.1846525794321697"/>
    <n v="0.10683200951635717"/>
    <n v="3.5306668907052287E-2"/>
    <n v="4.3703067669937763E-2"/>
    <n v="0.1452623746126557"/>
    <n v="7.3838082187562576E-2"/>
    <n v="105"/>
    <n v="17600242592.929501"/>
    <n v="23"/>
    <n v="14242439.259523757"/>
    <n v="70"/>
    <n v="6556835451.6622343"/>
    <n v="12"/>
    <n v="11029164702.007742"/>
    <n v="5.0081552503650241E-2"/>
    <n v="4.0526911250782078E-5"/>
    <n v="1.8657498451875618E-2"/>
    <n v="3.1383527140523844E-2"/>
    <n v="1035308387.8193824"/>
    <n v="2.9459736766853086E-3"/>
  </r>
  <r>
    <n v="179"/>
    <s v="SSD"/>
    <s v="South Sudan"/>
    <x v="3"/>
    <x v="0"/>
    <n v="0"/>
    <n v="0"/>
    <x v="0"/>
    <n v="2018"/>
    <n v="0"/>
    <s v="na"/>
    <s v="na"/>
    <n v="5"/>
    <n v="2110000000"/>
    <n v="4"/>
    <n v="2790000000"/>
    <n v="9"/>
    <n v="4900000000"/>
    <n v="0"/>
    <n v="0"/>
    <n v="0"/>
    <n v="1.5715424204732502E-3"/>
    <n v="3.5088160575496141E-3"/>
    <n v="2.2866956314779988E-3"/>
    <n v="288235294.11764705"/>
    <n v="0"/>
    <n v="0"/>
    <s v="na"/>
    <s v="na"/>
    <s v="na"/>
    <s v="na"/>
    <s v="na"/>
    <x v="1"/>
    <n v="0"/>
    <s v="na"/>
    <s v="na"/>
    <s v="na"/>
    <n v="122630000"/>
    <n v="1510938000"/>
    <n v="1388308000"/>
    <n v="1633568000"/>
    <n v="610004000"/>
    <n v="1640256000"/>
    <n v="1030252000"/>
    <n v="2250260000"/>
    <n v="0.20103146864610724"/>
    <n v="0.92115986772796443"/>
    <n v="2.4414126188777147E-4"/>
    <n v="7.9279624825972432E-4"/>
    <n v="0.72594633509016737"/>
    <s v="na"/>
    <n v="120"/>
    <n v="4487661719.8055677"/>
    <n v="102"/>
    <n v="239328309.42801467"/>
    <n v="15"/>
    <n v="4198778654.9963436"/>
    <n v="3"/>
    <n v="49554755.381209098"/>
    <n v="0"/>
    <n v="0"/>
    <n v="0"/>
    <n v="0"/>
    <n v="263980101.1650334"/>
    <n v="0"/>
  </r>
  <r>
    <n v="180"/>
    <s v="ESP"/>
    <s v="Spain"/>
    <x v="1"/>
    <x v="3"/>
    <n v="3"/>
    <n v="0"/>
    <x v="1"/>
    <s v="na"/>
    <n v="0"/>
    <s v="na"/>
    <n v="1393046093137.2527"/>
    <n v="17"/>
    <n v="8510000000"/>
    <n v="0"/>
    <n v="0"/>
    <n v="17"/>
    <n v="8510000000"/>
    <n v="6.1089148750525478E-3"/>
    <n v="0"/>
    <n v="6.1089148750525478E-3"/>
    <n v="6.3383061602973268E-3"/>
    <n v="0"/>
    <n v="3.9713836375260755E-3"/>
    <n v="500588235.29411763"/>
    <n v="3.5934793382662046E-4"/>
    <n v="2"/>
    <n v="0"/>
    <n v="0"/>
    <n v="0"/>
    <n v="0"/>
    <n v="0"/>
    <x v="0"/>
    <n v="0"/>
    <n v="0"/>
    <n v="0"/>
    <n v="0"/>
    <n v="32639038000"/>
    <n v="7613577000"/>
    <n v="-25025461000"/>
    <n v="40252615000"/>
    <n v="375485170000"/>
    <n v="337215114000"/>
    <n v="-38270056000"/>
    <n v="712700284000"/>
    <n v="8.692497229650907E-2"/>
    <n v="2.257780474216823E-2"/>
    <n v="0.1502800362357368"/>
    <n v="0.16298850742547216"/>
    <n v="5.6479021972720304E-2"/>
    <n v="2.8895393482169601E-2"/>
    <s v="na"/>
    <s v="na"/>
    <s v="na"/>
    <s v="na"/>
    <s v="na"/>
    <s v="na"/>
    <s v="na"/>
    <s v="na"/>
    <n v="0"/>
    <n v="0"/>
    <n v="0"/>
    <n v="0"/>
    <n v="0"/>
    <n v="0"/>
  </r>
  <r>
    <n v="181"/>
    <s v="LKA"/>
    <s v="Sri Lanka"/>
    <x v="0"/>
    <x v="2"/>
    <n v="2"/>
    <n v="1"/>
    <x v="0"/>
    <n v="2017"/>
    <n v="0"/>
    <s v="na"/>
    <n v="83975584254.403229"/>
    <n v="21"/>
    <n v="5960000000"/>
    <n v="21"/>
    <n v="8860000000"/>
    <n v="42"/>
    <n v="14820000000"/>
    <n v="7.0973010225737002E-2"/>
    <n v="0.1055068574832265"/>
    <n v="0.17647986770896351"/>
    <n v="4.4390487327111714E-3"/>
    <n v="1.1142691853007017E-2"/>
    <n v="6.9160876037763141E-3"/>
    <n v="871764705.88235295"/>
    <n v="1.0381168688762559E-2"/>
    <n v="1"/>
    <n v="3"/>
    <n v="460000000"/>
    <n v="2"/>
    <n v="102000000"/>
    <n v="0"/>
    <x v="0"/>
    <n v="5"/>
    <n v="562000000"/>
    <n v="6.6924214340376171E-3"/>
    <n v="1.4099266361483615E-2"/>
    <n v="4032819000"/>
    <n v="256587000"/>
    <n v="-3776232000"/>
    <n v="4289406000"/>
    <n v="19474314000"/>
    <n v="11974156000"/>
    <n v="-7500158000"/>
    <n v="31448470000"/>
    <n v="0.20708400819664302"/>
    <n v="2.1428399630003151E-2"/>
    <n v="7.7941842911828348E-3"/>
    <n v="5.7875514266533187E-3"/>
    <n v="0.13639474352806352"/>
    <n v="5.1079204010123773E-2"/>
    <n v="174"/>
    <n v="15644917570.613316"/>
    <n v="117"/>
    <n v="6130186630.0136003"/>
    <n v="47"/>
    <n v="8665415491.7066727"/>
    <n v="10"/>
    <n v="849315448.89303958"/>
    <n v="0.18630317025502541"/>
    <n v="7.2999630600273743E-2"/>
    <n v="0.10318970172871771"/>
    <n v="1.0113837926033912E-2"/>
    <n v="920289268.85960674"/>
    <n v="1.0959010015001493E-2"/>
  </r>
  <r>
    <n v="182"/>
    <s v="MAF"/>
    <s v="St. Martin (French part)"/>
    <x v="4"/>
    <x v="3"/>
    <n v="0"/>
    <n v="0"/>
    <x v="1"/>
    <s v="na"/>
    <n v="0"/>
    <s v="na"/>
    <s v="na"/>
    <n v="0"/>
    <n v="0"/>
    <n v="0"/>
    <n v="0"/>
    <n v="0"/>
    <n v="0"/>
    <n v="0"/>
    <n v="0"/>
    <n v="0"/>
    <n v="0"/>
    <n v="0"/>
    <n v="0"/>
    <n v="0"/>
    <n v="0"/>
    <n v="0"/>
    <s v="na"/>
    <s v="na"/>
    <s v="na"/>
    <s v="na"/>
    <s v="na"/>
    <x v="1"/>
    <n v="0"/>
    <s v="na"/>
    <s v="na"/>
    <s v="na"/>
    <s v="na"/>
    <s v="na"/>
    <s v="na"/>
    <s v="na"/>
    <s v="na"/>
    <s v="na"/>
    <s v="na"/>
    <s v="na"/>
    <s v="na"/>
    <s v="na"/>
    <s v="na"/>
    <s v="na"/>
    <s v="na"/>
    <s v="na"/>
    <n v="0"/>
    <s v="na"/>
    <s v="na"/>
    <s v="na"/>
    <s v="na"/>
    <s v="na"/>
    <s v="na"/>
    <s v="na"/>
    <n v="0"/>
    <n v="0"/>
    <n v="0"/>
    <n v="0"/>
    <n v="0"/>
    <n v="0"/>
  </r>
  <r>
    <n v="183"/>
    <s v="SDN"/>
    <s v="Sudan"/>
    <x v="3"/>
    <x v="0"/>
    <n v="0"/>
    <n v="0"/>
    <x v="0"/>
    <n v="2018"/>
    <n v="0"/>
    <s v="na"/>
    <n v="32250448249.459461"/>
    <n v="18"/>
    <n v="5390000000"/>
    <n v="1"/>
    <n v="1450000000"/>
    <n v="19"/>
    <n v="6840000000"/>
    <n v="0.16712945997860168"/>
    <n v="4.4960615393130322E-2"/>
    <n v="0.21209007537173202"/>
    <n v="4.0145088371330894E-3"/>
    <n v="1.8235782377946021E-3"/>
    <n v="3.1920404325121452E-3"/>
    <n v="402352941.17647058"/>
    <n v="1.2475886786572471E-2"/>
    <n v="2"/>
    <n v="0"/>
    <n v="0"/>
    <n v="0"/>
    <n v="0"/>
    <n v="0"/>
    <x v="0"/>
    <n v="0"/>
    <n v="0"/>
    <n v="0"/>
    <n v="0"/>
    <n v="2292123000"/>
    <n v="740420000"/>
    <n v="-1551703000"/>
    <n v="3032543000"/>
    <n v="8154317000"/>
    <n v="4193398000"/>
    <n v="-3960919000"/>
    <n v="12347715000"/>
    <n v="0.28109319272233346"/>
    <n v="0.17656802430868712"/>
    <n v="3.2635937505539419E-3"/>
    <n v="2.0268239847071627E-3"/>
    <n v="0.24559548062131334"/>
    <n v="9.4031034128365248E-2"/>
    <n v="285"/>
    <n v="20177493061.799458"/>
    <n v="210"/>
    <n v="3907103924.7161674"/>
    <n v="46"/>
    <n v="12873324230.182573"/>
    <n v="29"/>
    <n v="3397064906.9007163"/>
    <n v="0.62565000355111799"/>
    <n v="0.12114882542079561"/>
    <n v="0.39916729623745117"/>
    <n v="0.10533388189287116"/>
    <n v="1186911356.5764387"/>
    <n v="3.6802941385359882E-2"/>
  </r>
  <r>
    <n v="184"/>
    <s v="SUR"/>
    <s v="Suriname"/>
    <x v="4"/>
    <x v="1"/>
    <n v="0"/>
    <n v="0"/>
    <x v="0"/>
    <n v="2018"/>
    <n v="0"/>
    <s v="na"/>
    <n v="4221373022.257978"/>
    <n v="0"/>
    <n v="0"/>
    <n v="0"/>
    <n v="0"/>
    <n v="0"/>
    <n v="0"/>
    <n v="0"/>
    <n v="0"/>
    <n v="0"/>
    <n v="0"/>
    <n v="0"/>
    <n v="0"/>
    <n v="0"/>
    <n v="0"/>
    <n v="0"/>
    <s v="na"/>
    <s v="na"/>
    <s v="na"/>
    <s v="na"/>
    <s v="na"/>
    <x v="1"/>
    <n v="0"/>
    <s v="na"/>
    <s v="na"/>
    <s v="na"/>
    <n v="127267000"/>
    <n v="24583000"/>
    <n v="-102684000"/>
    <n v="151850000"/>
    <n v="1711450000"/>
    <n v="1460966000"/>
    <n v="-250484000"/>
    <n v="3172416000"/>
    <n v="7.43620906249087E-2"/>
    <n v="1.6826538057696072E-2"/>
    <n v="6.8497184060731817E-4"/>
    <n v="7.0613877567588012E-4"/>
    <n v="4.7865727571667779E-2"/>
    <n v="3.5971708541117427E-2"/>
    <n v="63"/>
    <n v="1010006165.5037841"/>
    <n v="53"/>
    <n v="478905440.44215947"/>
    <n v="8"/>
    <n v="482517631.5506351"/>
    <n v="2"/>
    <n v="48583093.510989398"/>
    <n v="0.23926010806871079"/>
    <n v="0.11344779007139172"/>
    <n v="0.11430348112011678"/>
    <n v="1.1508836877202265E-2"/>
    <n v="59412127.382575534"/>
    <n v="1.4074124004041811E-2"/>
  </r>
  <r>
    <n v="185"/>
    <s v="SWE"/>
    <s v="Sweden"/>
    <x v="1"/>
    <x v="3"/>
    <n v="0"/>
    <n v="0"/>
    <x v="1"/>
    <s v="na"/>
    <n v="0"/>
    <s v="na"/>
    <n v="533879529188.45374"/>
    <n v="16"/>
    <n v="15340000000"/>
    <n v="0"/>
    <n v="0"/>
    <n v="16"/>
    <n v="15340000000"/>
    <n v="2.8733073963930062E-2"/>
    <n v="0"/>
    <n v="2.8733073963930062E-2"/>
    <n v="1.1425336838890833E-2"/>
    <n v="0"/>
    <n v="7.1587573442596936E-3"/>
    <n v="902352941.17647064"/>
    <n v="1.6901808214076508E-3"/>
    <n v="2"/>
    <n v="0"/>
    <n v="0"/>
    <n v="0"/>
    <n v="0"/>
    <n v="0"/>
    <x v="0"/>
    <n v="0"/>
    <n v="0"/>
    <n v="0"/>
    <n v="0"/>
    <n v="9665818000"/>
    <n v="7538779000"/>
    <n v="-2127039000"/>
    <n v="17204597000"/>
    <n v="158959381000"/>
    <n v="160567911000"/>
    <n v="1608530000"/>
    <n v="319527292000"/>
    <n v="6.0806842220906737E-2"/>
    <n v="4.6950719811008811E-2"/>
    <n v="6.3620146533857225E-2"/>
    <n v="7.7608396147736292E-2"/>
    <n v="5.3843904513796587E-2"/>
    <n v="3.2225616565880653E-2"/>
    <s v="na"/>
    <s v="na"/>
    <s v="na"/>
    <s v="na"/>
    <s v="na"/>
    <s v="na"/>
    <s v="na"/>
    <s v="na"/>
    <n v="0"/>
    <n v="0"/>
    <n v="0"/>
    <n v="0"/>
    <n v="0"/>
    <n v="0"/>
  </r>
  <r>
    <n v="186"/>
    <s v="CHE"/>
    <s v="Switzerland"/>
    <x v="1"/>
    <x v="3"/>
    <n v="0"/>
    <n v="1"/>
    <x v="1"/>
    <s v="na"/>
    <n v="0"/>
    <s v="na"/>
    <n v="731767398052.87915"/>
    <n v="18"/>
    <n v="61210000000"/>
    <n v="0"/>
    <n v="0"/>
    <n v="18"/>
    <n v="61210000000"/>
    <n v="8.3646798371819278E-2"/>
    <n v="0"/>
    <n v="8.3646798371819278E-2"/>
    <n v="4.5589626330411206E-2"/>
    <n v="0"/>
    <n v="2.856502849036088E-2"/>
    <n v="3600588235.2941175"/>
    <n v="4.9203999042246628E-3"/>
    <n v="2"/>
    <n v="0"/>
    <n v="0"/>
    <n v="0"/>
    <n v="0"/>
    <n v="0"/>
    <x v="0"/>
    <n v="0"/>
    <n v="0"/>
    <n v="0"/>
    <n v="0"/>
    <n v="15152336000"/>
    <n v="21559003000"/>
    <n v="6406667000"/>
    <n v="36711339000"/>
    <n v="277207598000"/>
    <n v="314145207000"/>
    <n v="36937609000"/>
    <n v="591352805000"/>
    <n v="5.4660608545080355E-2"/>
    <n v="6.8627508934108933E-2"/>
    <n v="0.11094650654847847"/>
    <n v="0.1518379701207461"/>
    <n v="6.208026526567334E-2"/>
    <n v="5.016804396818339E-2"/>
    <s v="na"/>
    <s v="na"/>
    <s v="na"/>
    <s v="na"/>
    <s v="na"/>
    <s v="na"/>
    <s v="na"/>
    <s v="na"/>
    <n v="0"/>
    <n v="0"/>
    <n v="0"/>
    <n v="0"/>
    <n v="0"/>
    <n v="0"/>
  </r>
  <r>
    <n v="187"/>
    <s v="SYR"/>
    <s v="Syria"/>
    <x v="2"/>
    <x v="0"/>
    <n v="0"/>
    <n v="0"/>
    <x v="1"/>
    <s v="na"/>
    <n v="0"/>
    <s v="na"/>
    <s v="na"/>
    <n v="4"/>
    <n v="4060000000"/>
    <n v="0"/>
    <n v="0"/>
    <n v="4"/>
    <n v="4060000000"/>
    <n v="0"/>
    <n v="0"/>
    <n v="0"/>
    <n v="3.0239157474508988E-3"/>
    <n v="0"/>
    <n v="1.8946906660817703E-3"/>
    <n v="238823529.41176471"/>
    <n v="0"/>
    <n v="0"/>
    <s v="na"/>
    <s v="na"/>
    <s v="na"/>
    <s v="na"/>
    <s v="na"/>
    <x v="1"/>
    <n v="0"/>
    <s v="na"/>
    <s v="na"/>
    <s v="na"/>
    <n v="1315799000"/>
    <n v="1399000"/>
    <n v="-1314400000"/>
    <n v="1317198000"/>
    <n v="6283881000"/>
    <n v="736769000"/>
    <n v="-5547112000"/>
    <n v="7020650000"/>
    <n v="0.20939273038429596"/>
    <n v="1.898831248328852E-3"/>
    <n v="2.5149911097182825E-3"/>
    <n v="3.561076435837265E-4"/>
    <n v="0.18761767072849381"/>
    <s v="na"/>
    <n v="60"/>
    <n v="363754853.11969489"/>
    <n v="58"/>
    <n v="321470491.99145317"/>
    <n v="2"/>
    <n v="42284361.128241703"/>
    <n v="0"/>
    <n v="0"/>
    <n v="0"/>
    <n v="0"/>
    <n v="0"/>
    <n v="0"/>
    <n v="21397344.301158521"/>
    <n v="0"/>
  </r>
  <r>
    <n v="188"/>
    <s v="TWN"/>
    <s v="Taipei, Chinese"/>
    <x v="5"/>
    <x v="4"/>
    <n v="0"/>
    <n v="0"/>
    <x v="1"/>
    <s v="na"/>
    <n v="0"/>
    <s v="na"/>
    <s v="na"/>
    <n v="3"/>
    <n v="1220000000"/>
    <n v="0"/>
    <n v="0"/>
    <n v="3"/>
    <n v="1220000000"/>
    <n v="0"/>
    <n v="0"/>
    <n v="0"/>
    <n v="9.0866433790396457E-4"/>
    <n v="0"/>
    <n v="5.6934054498023639E-4"/>
    <n v="71764705.882352948"/>
    <n v="0"/>
    <n v="0"/>
    <s v="na"/>
    <s v="na"/>
    <s v="na"/>
    <s v="na"/>
    <s v="na"/>
    <x v="1"/>
    <n v="0"/>
    <s v="na"/>
    <s v="na"/>
    <s v="na"/>
    <n v="57432534000"/>
    <n v="91886693000"/>
    <n v="34454159000"/>
    <n v="149319227000"/>
    <n v="285906281000"/>
    <n v="329512433000"/>
    <n v="43606152000"/>
    <n v="615418714000"/>
    <n v="0.20087888170599513"/>
    <n v="0.27885652800238953"/>
    <n v="0.11442797133294171"/>
    <n v="0.15926551747857273"/>
    <n v="0.24263029966943775"/>
    <s v="na"/>
    <s v="na"/>
    <s v="na"/>
    <s v="na"/>
    <s v="na"/>
    <s v="na"/>
    <s v="na"/>
    <s v="na"/>
    <s v="na"/>
    <n v="0"/>
    <n v="0"/>
    <n v="0"/>
    <n v="0"/>
    <n v="0"/>
    <n v="0"/>
  </r>
  <r>
    <n v="189"/>
    <s v="TJK"/>
    <s v="Tajikistan"/>
    <x v="1"/>
    <x v="2"/>
    <n v="2"/>
    <n v="0"/>
    <x v="0"/>
    <n v="2018"/>
    <n v="0"/>
    <s v="na"/>
    <n v="8300784856.8790398"/>
    <n v="5"/>
    <n v="1610000000"/>
    <n v="2"/>
    <n v="710000000"/>
    <n v="7"/>
    <n v="2320000000"/>
    <n v="0.19395756277983259"/>
    <n v="8.5534080480547295E-2"/>
    <n v="0.2794916432603799"/>
    <n v="1.1991390032994942E-3"/>
    <n v="8.9292451643735698E-4"/>
    <n v="1.0826803806181545E-3"/>
    <n v="136470588.2352941"/>
    <n v="1.6440684897669401E-2"/>
    <n v="1"/>
    <n v="2"/>
    <n v="87500000"/>
    <n v="1"/>
    <n v="55000000"/>
    <n v="0"/>
    <x v="0"/>
    <n v="3"/>
    <n v="142500000"/>
    <n v="1.7167051364053505E-2"/>
    <n v="3.5749919155007386E-3"/>
    <n v="605468000"/>
    <n v="55419000"/>
    <n v="-550049000"/>
    <n v="660887000"/>
    <n v="3327744000"/>
    <n v="1115850000"/>
    <n v="-2211894000"/>
    <n v="4443594000"/>
    <n v="0.18194548619124548"/>
    <n v="4.9665277591074072E-2"/>
    <n v="1.3318594950188197E-3"/>
    <n v="5.3933147851348404E-4"/>
    <n v="0.14872803410932681"/>
    <n v="7.9617411051475295E-2"/>
    <n v="110"/>
    <n v="4526207246.7776613"/>
    <n v="68"/>
    <n v="1220500441.5102644"/>
    <n v="33"/>
    <n v="2663613033.5387716"/>
    <n v="9"/>
    <n v="642093771.72862554"/>
    <n v="0.54527461255988285"/>
    <n v="0.14703434224039783"/>
    <n v="0.32088688954892958"/>
    <n v="7.7353380770555522E-2"/>
    <n v="266247485.1045683"/>
    <n v="3.2074977209404873E-2"/>
  </r>
  <r>
    <n v="190"/>
    <s v="TZA"/>
    <s v="Tanzania"/>
    <x v="3"/>
    <x v="2"/>
    <n v="1"/>
    <n v="0"/>
    <x v="0"/>
    <n v="2018"/>
    <n v="0"/>
    <s v="na"/>
    <n v="61136873747.332352"/>
    <n v="6"/>
    <n v="1400000000"/>
    <n v="24"/>
    <n v="13550000000"/>
    <n v="30"/>
    <n v="14950000000"/>
    <n v="2.2899437183948053E-2"/>
    <n v="0.22163383845892579"/>
    <n v="0.24453327564287386"/>
    <n v="1.0427295680865167E-3"/>
    <n v="1.7041024222149558E-2"/>
    <n v="6.9767550388971592E-3"/>
    <n v="879411764.70588231"/>
    <n v="1.4384310331933756E-2"/>
    <n v="0"/>
    <s v="na"/>
    <s v="na"/>
    <s v="na"/>
    <s v="na"/>
    <s v="na"/>
    <x v="1"/>
    <n v="0"/>
    <s v="na"/>
    <s v="na"/>
    <s v="na"/>
    <n v="1992547000"/>
    <n v="230712000"/>
    <n v="-1761835000"/>
    <n v="2223259000"/>
    <n v="9077091000"/>
    <n v="4932713000"/>
    <n v="-4144378000"/>
    <n v="14009804000"/>
    <n v="0.21951382882467521"/>
    <n v="4.6771827187188877E-2"/>
    <n v="3.632914621887944E-3"/>
    <n v="2.3841622040352054E-3"/>
    <n v="0.15869308378618288"/>
    <n v="3.6365271295819401E-2"/>
    <n v="204"/>
    <n v="14476993314.021706"/>
    <n v="174"/>
    <n v="10042915638.938545"/>
    <n v="22"/>
    <n v="2193990114.9791784"/>
    <n v="8"/>
    <n v="2240087560.1039782"/>
    <n v="0.23679642786205429"/>
    <n v="0.16426936844111625"/>
    <n v="3.58865277286919E-2"/>
    <n v="3.6640531692246077E-2"/>
    <n v="851587842.00127685"/>
    <n v="1.392920163894437E-2"/>
  </r>
  <r>
    <n v="191"/>
    <s v="THA"/>
    <s v="Thailand"/>
    <x v="5"/>
    <x v="1"/>
    <n v="4"/>
    <n v="1"/>
    <x v="0"/>
    <n v="2014"/>
    <n v="0"/>
    <s v="na"/>
    <n v="544263968873.60052"/>
    <n v="8"/>
    <n v="1780000000"/>
    <n v="29"/>
    <n v="8360000000"/>
    <n v="37"/>
    <n v="10140000000"/>
    <n v="3.2704718698977221E-3"/>
    <n v="1.5360193726036492E-2"/>
    <n v="1.8630665595934216E-2"/>
    <n v="1.3257561651385712E-3"/>
    <n v="1.0513871771008879E-2"/>
    <n v="4.7320599394258993E-3"/>
    <n v="596470588.2352941"/>
    <n v="1.0959215056431891E-3"/>
    <n v="1"/>
    <n v="0"/>
    <n v="0"/>
    <n v="1"/>
    <n v="500000000"/>
    <n v="0"/>
    <x v="0"/>
    <n v="1"/>
    <n v="500000000"/>
    <n v="9.1867187356677591E-4"/>
    <n v="1.2543831282458732E-2"/>
    <n v="50953351000"/>
    <n v="29002027000"/>
    <n v="-21951324000"/>
    <n v="79955378000"/>
    <n v="240139196000"/>
    <n v="245380465000"/>
    <n v="5241269000"/>
    <n v="485519661000"/>
    <n v="0.21218256681429049"/>
    <n v="0.11819207775973528"/>
    <n v="9.6110658848392594E-2"/>
    <n v="0.11860143297645404"/>
    <n v="0.16468000046655165"/>
    <n v="0.14690551381799954"/>
    <n v="55"/>
    <n v="2707817429.782577"/>
    <n v="23"/>
    <n v="17890173.653132062"/>
    <n v="27"/>
    <n v="2677493910.3410997"/>
    <n v="5"/>
    <n v="12433345.7883453"/>
    <n v="4.9751914229902638E-3"/>
    <n v="3.2870398696715605E-5"/>
    <n v="4.9194766941533822E-3"/>
    <n v="2.2844330140165517E-5"/>
    <n v="159283378.22250453"/>
    <n v="2.9265831899942724E-4"/>
  </r>
  <r>
    <n v="192"/>
    <s v="TLS"/>
    <s v="Timor"/>
    <x v="5"/>
    <x v="2"/>
    <n v="0"/>
    <n v="0"/>
    <x v="0"/>
    <n v="2017"/>
    <n v="0"/>
    <s v="na"/>
    <n v="2017924900"/>
    <n v="0"/>
    <n v="0"/>
    <n v="2"/>
    <n v="780000000"/>
    <n v="2"/>
    <n v="780000000"/>
    <n v="0"/>
    <n v="0.38653569317668857"/>
    <n v="0.38653569317668857"/>
    <n v="0"/>
    <n v="9.8095932791709625E-4"/>
    <n v="3.6400461072506917E-4"/>
    <n v="45882352.941176474"/>
    <n v="2.2737393716275801E-2"/>
    <n v="1"/>
    <n v="0"/>
    <n v="0"/>
    <n v="0"/>
    <n v="0"/>
    <n v="0"/>
    <x v="0"/>
    <n v="0"/>
    <n v="0"/>
    <n v="0"/>
    <n v="0"/>
    <n v="143579000"/>
    <n v="24561000"/>
    <n v="-119018000"/>
    <n v="168140000"/>
    <n v="547133000"/>
    <n v="123273000"/>
    <n v="-423860000"/>
    <n v="670406000"/>
    <n v="0.2624206545757613"/>
    <n v="0.19924070964444768"/>
    <n v="2.1897846742061043E-4"/>
    <n v="5.9582389524391928E-5"/>
    <n v="0.25080324460103282"/>
    <n v="8.3323219808626184E-2"/>
    <n v="75"/>
    <n v="248960207.85690689"/>
    <n v="72"/>
    <n v="199802597.25105408"/>
    <n v="1"/>
    <n v="49157610.605852798"/>
    <n v="2"/>
    <n v="0"/>
    <n v="0.12337436732997689"/>
    <n v="9.9013891572998614E-2"/>
    <n v="2.4360475756978268E-2"/>
    <n v="0"/>
    <n v="14644718.109229818"/>
    <n v="7.2573157252927593E-3"/>
  </r>
  <r>
    <n v="193"/>
    <s v="TGO"/>
    <s v="Togo"/>
    <x v="3"/>
    <x v="0"/>
    <n v="0"/>
    <n v="0"/>
    <x v="0"/>
    <n v="2018"/>
    <n v="0"/>
    <s v="na"/>
    <n v="7220395247.7424049"/>
    <n v="3"/>
    <n v="730000000"/>
    <n v="0"/>
    <n v="0"/>
    <n v="3"/>
    <n v="730000000"/>
    <n v="0.10110249854095571"/>
    <n v="0"/>
    <n v="0.10110249854095571"/>
    <n v="5.4370898907368369E-4"/>
    <n v="0"/>
    <n v="3.4067098183243654E-4"/>
    <n v="42941176.470588237"/>
    <n v="5.947205796526806E-3"/>
    <n v="3"/>
    <n v="0"/>
    <n v="0"/>
    <n v="0"/>
    <n v="0"/>
    <n v="0"/>
    <x v="0"/>
    <n v="0"/>
    <n v="0"/>
    <n v="0"/>
    <n v="0"/>
    <n v="403066000"/>
    <n v="9334000"/>
    <n v="-393732000"/>
    <n v="412400000"/>
    <n v="1964438000"/>
    <n v="1025312000"/>
    <n v="-939126000"/>
    <n v="2989750000"/>
    <n v="0.20518132921476778"/>
    <n v="9.1035704253924661E-3"/>
    <n v="7.8622496282039131E-4"/>
    <n v="4.9557112237094366E-4"/>
    <n v="0.13793795467848483"/>
    <n v="5.7115986846972784E-2"/>
    <n v="120"/>
    <n v="1801457587.2364957"/>
    <n v="102"/>
    <n v="946408470.0451287"/>
    <n v="11"/>
    <n v="660375004.64250684"/>
    <n v="7"/>
    <n v="194674112.54886019"/>
    <n v="0.24949570285639916"/>
    <n v="0.13107433008477498"/>
    <n v="9.1459675264866661E-2"/>
    <n v="2.6961697506757514E-2"/>
    <n v="105968093.36685269"/>
    <n v="1.4676217815082304E-2"/>
  </r>
  <r>
    <n v="194"/>
    <s v="TON"/>
    <s v="Tonga"/>
    <x v="5"/>
    <x v="1"/>
    <n v="0"/>
    <n v="0"/>
    <x v="0"/>
    <n v="2018"/>
    <n v="0"/>
    <s v="na"/>
    <n v="512350059.42162949"/>
    <n v="0"/>
    <n v="0"/>
    <n v="0"/>
    <n v="0"/>
    <n v="0"/>
    <n v="0"/>
    <n v="0"/>
    <n v="0"/>
    <n v="0"/>
    <n v="0"/>
    <n v="0"/>
    <n v="0"/>
    <n v="0"/>
    <n v="0"/>
    <n v="1"/>
    <n v="0"/>
    <n v="0"/>
    <n v="0"/>
    <n v="0"/>
    <n v="0"/>
    <x v="0"/>
    <n v="0"/>
    <n v="0"/>
    <n v="0"/>
    <n v="0"/>
    <n v="29475000"/>
    <n v="130000"/>
    <n v="-29345000"/>
    <n v="29605000"/>
    <n v="212354000"/>
    <n v="16206000"/>
    <n v="-196148000"/>
    <n v="228560000"/>
    <n v="0.13880124697439181"/>
    <n v="8.0217203504874737E-3"/>
    <n v="8.499021896072127E-5"/>
    <n v="7.832957781771317E-6"/>
    <n v="0.12952835141757088"/>
    <n v="5.7782758985955508E-2"/>
    <n v="110"/>
    <n v="450695785.95466006"/>
    <n v="102"/>
    <n v="374120372.21634734"/>
    <n v="6"/>
    <n v="76575413.738312721"/>
    <n v="2"/>
    <n v="0"/>
    <n v="0.87966377219401837"/>
    <n v="0.73020460393559072"/>
    <n v="0.14945916825842764"/>
    <n v="0"/>
    <n v="26511516.820862357"/>
    <n v="5.1744927776118728E-2"/>
  </r>
  <r>
    <n v="195"/>
    <s v="TTO"/>
    <s v="Trinidad and Tobago"/>
    <x v="4"/>
    <x v="3"/>
    <n v="0"/>
    <n v="0"/>
    <x v="0"/>
    <n v="2018"/>
    <n v="0"/>
    <s v="na"/>
    <n v="23208326547.532684"/>
    <n v="3"/>
    <n v="1350000000"/>
    <n v="6"/>
    <n v="930000000"/>
    <n v="9"/>
    <n v="2280000000"/>
    <n v="5.8168778228584551E-2"/>
    <n v="4.0071825001913801E-2"/>
    <n v="9.8240603230498352E-2"/>
    <n v="1.0054892263691411E-3"/>
    <n v="1.1696053525165379E-3"/>
    <n v="1.0640134775040484E-3"/>
    <n v="134117647.05882353"/>
    <n v="5.7788590135587261E-3"/>
    <n v="0"/>
    <s v="na"/>
    <s v="na"/>
    <s v="na"/>
    <s v="na"/>
    <s v="na"/>
    <x v="1"/>
    <n v="0"/>
    <s v="na"/>
    <s v="na"/>
    <s v="na"/>
    <n v="363467000"/>
    <n v="682025000"/>
    <n v="318558000"/>
    <n v="1045492000"/>
    <n v="7163292000"/>
    <n v="11137532000"/>
    <n v="3974240000"/>
    <n v="18300824000"/>
    <n v="5.0740218324200663E-2"/>
    <n v="6.1236636626498579E-2"/>
    <n v="2.8669568529887971E-3"/>
    <n v="5.3831801770410385E-3"/>
    <n v="5.7128138055423078E-2"/>
    <n v="4.5048142435377268E-2"/>
    <n v="29"/>
    <n v="1142178893.3632855"/>
    <n v="9"/>
    <n v="329665259.88211739"/>
    <n v="20"/>
    <n v="812513633.48116803"/>
    <n v="0"/>
    <n v="0"/>
    <n v="4.9214185737347461E-2"/>
    <n v="1.4204611401297465E-2"/>
    <n v="3.5009574336049995E-2"/>
    <n v="0"/>
    <n v="67186993.727252096"/>
    <n v="2.8949521021969099E-3"/>
  </r>
  <r>
    <n v="196"/>
    <s v="TUN"/>
    <s v="Tunisia"/>
    <x v="2"/>
    <x v="2"/>
    <n v="0"/>
    <n v="0"/>
    <x v="0"/>
    <n v="2018"/>
    <n v="0"/>
    <s v="na"/>
    <n v="39195716330.425301"/>
    <n v="1"/>
    <n v="110000000"/>
    <n v="0"/>
    <n v="0"/>
    <n v="1"/>
    <n v="110000000"/>
    <n v="2.806429127935431E-3"/>
    <n v="0"/>
    <n v="2.806429127935431E-3"/>
    <n v="8.192875177822632E-5"/>
    <n v="0"/>
    <n v="5.1333983563791811E-5"/>
    <n v="6470588.2352941176"/>
    <n v="1.65084066349143E-4"/>
    <n v="3"/>
    <n v="0"/>
    <n v="0"/>
    <n v="0"/>
    <n v="0"/>
    <n v="0"/>
    <x v="0"/>
    <n v="0"/>
    <n v="0"/>
    <n v="0"/>
    <n v="0"/>
    <n v="2041662"/>
    <n v="46647"/>
    <n v="-1995015"/>
    <n v="2088309"/>
    <n v="21573847000"/>
    <n v="14944087000"/>
    <n v="-6629760000"/>
    <n v="36517934000"/>
    <n v="9.4635972898111307E-5"/>
    <n v="3.1214352539569666E-6"/>
    <n v="8.6344781843294676E-3"/>
    <n v="7.2230286658100428E-3"/>
    <n v="5.7185847370226364E-5"/>
    <n v="5.3279010961179199E-5"/>
    <n v="75"/>
    <n v="645134398.36919057"/>
    <n v="65"/>
    <n v="475514196.77719218"/>
    <n v="8"/>
    <n v="104491056.645374"/>
    <n v="2"/>
    <n v="65129144.946624398"/>
    <n v="1.6459308791058148E-2"/>
    <n v="1.2131789932566656E-2"/>
    <n v="2.665879499802988E-3"/>
    <n v="1.6616393586885035E-3"/>
    <n v="37949082.257011212"/>
    <n v="9.6819463476812643E-4"/>
  </r>
  <r>
    <n v="197"/>
    <s v="TUR"/>
    <s v="Turkey"/>
    <x v="1"/>
    <x v="1"/>
    <n v="2"/>
    <n v="0"/>
    <x v="0"/>
    <n v="2015"/>
    <n v="0"/>
    <s v="na"/>
    <n v="761428183369.17065"/>
    <n v="15"/>
    <n v="10000000000"/>
    <n v="13"/>
    <n v="6310000000"/>
    <n v="28"/>
    <n v="16310000000"/>
    <n v="1.313321494845641E-2"/>
    <n v="8.2870586324759951E-3"/>
    <n v="2.1420273580932403E-2"/>
    <n v="7.4480683434751194E-3"/>
    <n v="7.93570943481651E-3"/>
    <n v="7.6114297447767675E-3"/>
    <n v="959411764.70588231"/>
    <n v="1.2600160929960237E-3"/>
    <n v="1"/>
    <n v="12"/>
    <n v="2704600000"/>
    <n v="3"/>
    <n v="567000000"/>
    <n v="0"/>
    <x v="0"/>
    <n v="15"/>
    <n v="3271600000"/>
    <n v="4.2966626025369992E-3"/>
    <n v="8.2076796847383976E-2"/>
    <n v="19127972000"/>
    <n v="2726571000"/>
    <n v="-16401401000"/>
    <n v="21854543000"/>
    <n v="210346890000"/>
    <n v="180870841000"/>
    <n v="-29476049000"/>
    <n v="391217731000"/>
    <n v="9.0935368714032336E-2"/>
    <n v="1.5074685255651574E-2"/>
    <n v="8.4186915428043504E-2"/>
    <n v="8.742155137026239E-2"/>
    <n v="5.5862864252438499E-2"/>
    <n v="2.8702041081928337E-2"/>
    <n v="59"/>
    <n v="9626239800.4556942"/>
    <n v="9"/>
    <n v="2263951.8206853508"/>
    <n v="37"/>
    <n v="6908789199.9155893"/>
    <n v="13"/>
    <n v="2715186648.719419"/>
    <n v="1.2642347644477076E-2"/>
    <n v="2.9732965894009953E-6"/>
    <n v="9.0734613596065612E-3"/>
    <n v="3.5659129882811137E-3"/>
    <n v="566249400.02680552"/>
    <n v="7.4366750849865155E-4"/>
  </r>
  <r>
    <n v="198"/>
    <s v="TKM"/>
    <s v="Turkmenistan"/>
    <x v="1"/>
    <x v="1"/>
    <n v="2"/>
    <n v="0"/>
    <x v="1"/>
    <s v="na"/>
    <n v="0"/>
    <s v="na"/>
    <n v="45231428571.428574"/>
    <n v="3"/>
    <n v="6200000000"/>
    <n v="1"/>
    <n v="600000000"/>
    <n v="4"/>
    <n v="6800000000"/>
    <n v="0.13707283178573684"/>
    <n v="1.3265112753458404E-2"/>
    <n v="0.15033794453919525"/>
    <n v="4.6178023729545742E-3"/>
    <n v="7.5458409839776648E-4"/>
    <n v="3.173373529398039E-3"/>
    <n v="400000000"/>
    <n v="8.8434085023056021E-3"/>
    <n v="0"/>
    <s v="na"/>
    <s v="na"/>
    <s v="na"/>
    <s v="na"/>
    <s v="na"/>
    <x v="1"/>
    <n v="0"/>
    <s v="na"/>
    <s v="na"/>
    <s v="na"/>
    <n v="431024000"/>
    <n v="8685698000"/>
    <n v="8254674000"/>
    <n v="9116722000"/>
    <n v="3078798000"/>
    <n v="10962729000"/>
    <n v="7883931000"/>
    <n v="14041527000"/>
    <n v="0.13999749252792812"/>
    <n v="0.7922934152618385"/>
    <n v="1.2322240982313999E-3"/>
    <n v="5.2986914371220594E-3"/>
    <n v="0.64926855889676383"/>
    <n v="0.20155724211989134"/>
    <n v="38"/>
    <n v="9634636425.0091076"/>
    <n v="27"/>
    <n v="375606001.45091975"/>
    <n v="8"/>
    <n v="8985435792.6473618"/>
    <n v="3"/>
    <n v="273594630.91082501"/>
    <n v="0.21300756419387198"/>
    <n v="8.3040932668701859E-3"/>
    <n v="0.19865469821404691"/>
    <n v="6.0487727129548826E-3"/>
    <n v="566743319.11818278"/>
    <n v="1.2529856717286587E-2"/>
  </r>
  <r>
    <n v="199"/>
    <s v="TCA"/>
    <s v="Turks and Caicos Islands"/>
    <x v="4"/>
    <x v="3"/>
    <n v="0"/>
    <n v="0"/>
    <x v="1"/>
    <s v="na"/>
    <n v="0"/>
    <s v="na"/>
    <n v="1197415000"/>
    <n v="0"/>
    <n v="0"/>
    <n v="0"/>
    <n v="0"/>
    <n v="0"/>
    <n v="0"/>
    <n v="0"/>
    <n v="0"/>
    <n v="0"/>
    <n v="0"/>
    <n v="0"/>
    <n v="0"/>
    <n v="0"/>
    <n v="0"/>
    <n v="0"/>
    <s v="na"/>
    <s v="na"/>
    <s v="na"/>
    <s v="na"/>
    <s v="na"/>
    <x v="1"/>
    <n v="0"/>
    <s v="na"/>
    <s v="na"/>
    <s v="na"/>
    <n v="3023000"/>
    <n v="5000"/>
    <n v="-3018000"/>
    <n v="3028000"/>
    <n v="425717000"/>
    <n v="172506000"/>
    <n v="-253211000"/>
    <n v="598223000"/>
    <n v="7.1009614368230537E-3"/>
    <n v="2.8984499089886727E-5"/>
    <n v="1.7038426893442729E-4"/>
    <n v="8.3378515062460998E-5"/>
    <n v="5.061657609286169E-3"/>
    <n v="2.5287807485291232E-3"/>
    <n v="0"/>
    <s v="na"/>
    <s v="na"/>
    <s v="na"/>
    <s v="na"/>
    <s v="na"/>
    <s v="na"/>
    <s v="na"/>
    <n v="0"/>
    <n v="0"/>
    <n v="0"/>
    <n v="0"/>
    <n v="0"/>
    <n v="0"/>
  </r>
  <r>
    <n v="200"/>
    <s v="TUV"/>
    <s v="Tuvalu"/>
    <x v="5"/>
    <x v="1"/>
    <n v="0"/>
    <n v="0"/>
    <x v="1"/>
    <s v="na"/>
    <n v="2"/>
    <s v="na"/>
    <n v="47271463.329857491"/>
    <n v="0"/>
    <n v="0"/>
    <n v="0"/>
    <n v="0"/>
    <n v="0"/>
    <n v="0"/>
    <n v="0"/>
    <n v="0"/>
    <n v="0"/>
    <n v="0"/>
    <n v="0"/>
    <n v="0"/>
    <n v="0"/>
    <n v="0"/>
    <n v="0"/>
    <s v="na"/>
    <s v="na"/>
    <s v="na"/>
    <s v="na"/>
    <s v="na"/>
    <x v="1"/>
    <n v="0"/>
    <s v="na"/>
    <s v="na"/>
    <s v="na"/>
    <n v="21737000"/>
    <n v="26000"/>
    <n v="-21711000"/>
    <n v="21763000"/>
    <n v="90616000"/>
    <n v="20368000"/>
    <n v="-70248000"/>
    <n v="110984000"/>
    <n v="0.23988037432682971"/>
    <n v="1.2765121759622938E-3"/>
    <n v="3.6267146751861128E-5"/>
    <n v="9.8446059545303095E-6"/>
    <n v="0.19609132847978086"/>
    <n v="0.46038346323529411"/>
    <n v="0"/>
    <s v="na"/>
    <s v="na"/>
    <s v="na"/>
    <s v="na"/>
    <s v="na"/>
    <s v="na"/>
    <s v="na"/>
    <n v="0"/>
    <n v="0"/>
    <n v="0"/>
    <n v="0"/>
    <n v="0"/>
    <n v="0"/>
  </r>
  <r>
    <n v="201"/>
    <s v="UGA"/>
    <s v="Uganda"/>
    <x v="3"/>
    <x v="0"/>
    <n v="0"/>
    <n v="0"/>
    <x v="0"/>
    <n v="2018"/>
    <n v="0"/>
    <s v="na"/>
    <n v="35170037380.862961"/>
    <n v="7"/>
    <n v="5150000000"/>
    <n v="10"/>
    <n v="2640000000"/>
    <n v="17"/>
    <n v="7790000000"/>
    <n v="0.14643146221966385"/>
    <n v="7.5063895196099531E-2"/>
    <n v="0.22149535741576337"/>
    <n v="3.8357551968896866E-3"/>
    <n v="3.3201700329501724E-3"/>
    <n v="3.6353793814721653E-3"/>
    <n v="458235294.11764705"/>
    <n v="1.3029138671515493E-2"/>
    <n v="0"/>
    <s v="na"/>
    <s v="na"/>
    <s v="na"/>
    <s v="na"/>
    <s v="na"/>
    <x v="1"/>
    <n v="0"/>
    <s v="na"/>
    <s v="na"/>
    <s v="na"/>
    <n v="1256568000"/>
    <n v="40627000"/>
    <n v="-1215941000"/>
    <n v="1297195000"/>
    <n v="7696029000"/>
    <n v="3563785000"/>
    <n v="-4132244000"/>
    <n v="11259814000"/>
    <n v="0.16327485252459417"/>
    <n v="1.139995819051935E-2"/>
    <n v="3.0801736244104689E-3"/>
    <n v="1.7225087898500488E-3"/>
    <n v="0.11520572187071651"/>
    <n v="3.6883526336706184E-2"/>
    <n v="144"/>
    <n v="3764362664.242372"/>
    <n v="128"/>
    <n v="928849483.01561439"/>
    <n v="11"/>
    <n v="2465643586.7059298"/>
    <n v="5"/>
    <n v="369869594.52082771"/>
    <n v="0.10703322898060584"/>
    <n v="2.6410250093195191E-2"/>
    <n v="7.0106368099783656E-2"/>
    <n v="1.0516610787626985E-2"/>
    <n v="221433097.89661011"/>
    <n v="6.2960722929768136E-3"/>
  </r>
  <r>
    <n v="202"/>
    <s v="UKR"/>
    <s v="Ukraine"/>
    <x v="1"/>
    <x v="2"/>
    <n v="2"/>
    <n v="0"/>
    <x v="0"/>
    <n v="2017"/>
    <n v="0"/>
    <s v="na"/>
    <n v="153929501862.34137"/>
    <n v="6"/>
    <n v="6020000000"/>
    <n v="9"/>
    <n v="3130000000"/>
    <n v="15"/>
    <n v="9150000000"/>
    <n v="3.9108812327500846E-2"/>
    <n v="2.0333983818119208E-2"/>
    <n v="5.944279614562005E-2"/>
    <n v="4.4837371427720223E-3"/>
    <n v="3.9364137133083479E-3"/>
    <n v="4.2700540873517731E-3"/>
    <n v="538235294.11764705"/>
    <n v="3.4966350673894149E-3"/>
    <n v="0"/>
    <s v="na"/>
    <s v="na"/>
    <s v="na"/>
    <s v="na"/>
    <s v="na"/>
    <x v="1"/>
    <n v="0"/>
    <s v="na"/>
    <s v="na"/>
    <s v="na"/>
    <n v="9203749000"/>
    <n v="3590068000"/>
    <n v="-5613681000"/>
    <n v="12793817000"/>
    <n v="60684881000"/>
    <n v="49853049000"/>
    <n v="-10831832000"/>
    <n v="110537930000"/>
    <n v="0.15166461313485974"/>
    <n v="7.2013007669801704E-2"/>
    <n v="2.4287846349940731E-2"/>
    <n v="2.4095818098826157E-2"/>
    <n v="0.1157414201622918"/>
    <n v="8.3114782060695988E-2"/>
    <n v="70"/>
    <n v="31397707013.803066"/>
    <n v="32"/>
    <n v="1843879105.019238"/>
    <n v="29"/>
    <n v="6769559487.0643797"/>
    <n v="9"/>
    <n v="22784268421.719448"/>
    <n v="0.20397458988649186"/>
    <n v="1.197872456358764E-2"/>
    <n v="4.3978310883630183E-2"/>
    <n v="0.14801755443927403"/>
    <n v="1846923941.9884157"/>
    <n v="1.1998505287440698E-2"/>
  </r>
  <r>
    <n v="203"/>
    <s v="ARE"/>
    <s v="United Arab Emirates"/>
    <x v="2"/>
    <x v="3"/>
    <n v="2"/>
    <n v="0"/>
    <x v="0"/>
    <n v="2018"/>
    <n v="0"/>
    <s v="na"/>
    <n v="421142267937.37238"/>
    <n v="15"/>
    <n v="7630000000"/>
    <n v="58"/>
    <n v="28530000000"/>
    <n v="73"/>
    <n v="36160000000"/>
    <n v="1.8117393054298339E-2"/>
    <n v="6.7744328157160097E-2"/>
    <n v="8.5861721211458436E-2"/>
    <n v="5.6828761460715168E-3"/>
    <n v="3.5880473878813796E-2"/>
    <n v="1.6874880415151925E-2"/>
    <n v="2127058823.5294118"/>
    <n v="5.0506894830269671E-3"/>
    <n v="1"/>
    <n v="0"/>
    <n v="0"/>
    <n v="0"/>
    <n v="0"/>
    <n v="0"/>
    <x v="0"/>
    <n v="0"/>
    <n v="0"/>
    <n v="0"/>
    <n v="0"/>
    <n v="40777643"/>
    <n v="9367965"/>
    <n v="-31409678"/>
    <n v="50145608"/>
    <n v="267937296000"/>
    <n v="315942728000"/>
    <n v="48005432000"/>
    <n v="583880024000"/>
    <n v="1.5219099247758326E-4"/>
    <n v="2.9650832792707925E-5"/>
    <n v="0.10723626329046587"/>
    <n v="0.15270677834639385"/>
    <n v="8.5883410870038598E-5"/>
    <n v="1.1907047052198784E-4"/>
    <s v="na"/>
    <s v="na"/>
    <s v="na"/>
    <s v="na"/>
    <s v="na"/>
    <s v="na"/>
    <s v="na"/>
    <s v="na"/>
    <n v="0"/>
    <n v="0"/>
    <n v="0"/>
    <n v="0"/>
    <n v="0"/>
    <n v="0"/>
  </r>
  <r>
    <n v="204"/>
    <s v="GBR"/>
    <s v="United Kingdom"/>
    <x v="1"/>
    <x v="3"/>
    <n v="3"/>
    <n v="0"/>
    <x v="1"/>
    <s v="na"/>
    <n v="0"/>
    <s v="na"/>
    <n v="2830813507746.8687"/>
    <n v="128"/>
    <n v="99510000000"/>
    <n v="0"/>
    <n v="0"/>
    <n v="128"/>
    <n v="99510000000"/>
    <n v="3.5152439299755589E-2"/>
    <n v="0"/>
    <n v="3.5152439299755589E-2"/>
    <n v="7.4115728085920915E-2"/>
    <n v="0"/>
    <n v="4.643858822211748E-2"/>
    <n v="5853529411.7647057"/>
    <n v="2.0677905470444465E-3"/>
    <n v="2"/>
    <n v="0"/>
    <n v="0"/>
    <n v="0"/>
    <n v="0"/>
    <n v="0"/>
    <x v="0"/>
    <n v="0"/>
    <n v="0"/>
    <n v="0"/>
    <n v="0"/>
    <n v="65529528000"/>
    <n v="30154261000"/>
    <n v="-35375267000"/>
    <n v="95683789000"/>
    <n v="692494170000"/>
    <n v="468322416000"/>
    <n v="-224171754000"/>
    <n v="1160816586000"/>
    <n v="9.462827391023379E-2"/>
    <n v="6.4387823366541572E-2"/>
    <n v="0.27715621621124603"/>
    <n v="0.22635750418271894"/>
    <n v="8.2427999525499548E-2"/>
    <n v="3.3800809816029759E-2"/>
    <s v="na"/>
    <s v="na"/>
    <s v="na"/>
    <s v="na"/>
    <s v="na"/>
    <s v="na"/>
    <s v="na"/>
    <s v="na"/>
    <n v="0"/>
    <n v="0"/>
    <n v="0"/>
    <n v="0"/>
    <n v="0"/>
    <n v="0"/>
  </r>
  <r>
    <n v="205"/>
    <s v="USA"/>
    <s v="United States"/>
    <x v="6"/>
    <x v="3"/>
    <n v="1"/>
    <n v="0"/>
    <x v="1"/>
    <s v="na"/>
    <n v="0"/>
    <s v="na"/>
    <n v="21433224697000"/>
    <n v="298"/>
    <n v="191370000000"/>
    <n v="0"/>
    <n v="0"/>
    <n v="298"/>
    <n v="191370000000"/>
    <n v="8.9286611186783285E-3"/>
    <n v="0"/>
    <n v="8.9286611186783285E-3"/>
    <n v="0.14253368388908336"/>
    <n v="0"/>
    <n v="8.930713122366217E-2"/>
    <n v="11257058823.529411"/>
    <n v="5.2521535992225464E-4"/>
    <n v="0"/>
    <s v="na"/>
    <s v="na"/>
    <s v="na"/>
    <s v="na"/>
    <s v="na"/>
    <x v="1"/>
    <n v="0"/>
    <s v="na"/>
    <s v="na"/>
    <s v="na"/>
    <n v="470950852000"/>
    <n v="106448372000"/>
    <n v="-364502480000"/>
    <n v="577399224000"/>
    <n v="2563536173000"/>
    <n v="1642820352000"/>
    <n v="-920715821000"/>
    <n v="4206356525000"/>
    <n v="0.18371141275875416"/>
    <n v="6.479611228970214E-2"/>
    <n v="1.0260013969927548"/>
    <n v="0.79403569420280717"/>
    <n v="0.13726825592844868"/>
    <n v="2.6939447150984161E-2"/>
    <s v="na"/>
    <s v="na"/>
    <s v="na"/>
    <s v="na"/>
    <s v="na"/>
    <s v="na"/>
    <s v="na"/>
    <s v="na"/>
    <n v="0"/>
    <n v="0"/>
    <n v="0"/>
    <n v="0"/>
    <n v="0"/>
    <n v="0"/>
  </r>
  <r>
    <n v="206"/>
    <s v="URY"/>
    <s v="Uruguay"/>
    <x v="4"/>
    <x v="3"/>
    <n v="2"/>
    <n v="0"/>
    <x v="0"/>
    <n v="2018"/>
    <n v="0"/>
    <s v="na"/>
    <n v="61231149880.585663"/>
    <n v="0"/>
    <n v="0"/>
    <n v="1"/>
    <n v="180000000"/>
    <n v="1"/>
    <n v="180000000"/>
    <n v="0"/>
    <n v="2.9396802175206569E-3"/>
    <n v="2.9396802175206569E-3"/>
    <n v="0"/>
    <n v="2.2637522951932993E-4"/>
    <n v="8.40010640134775E-5"/>
    <n v="10588235.294117646"/>
    <n v="1.7292236573650922E-4"/>
    <n v="2"/>
    <n v="0"/>
    <n v="0"/>
    <n v="0"/>
    <n v="0"/>
    <n v="0"/>
    <x v="0"/>
    <n v="0"/>
    <n v="0"/>
    <n v="0"/>
    <n v="0"/>
    <n v="1309557000"/>
    <n v="2147303000"/>
    <n v="837746000"/>
    <n v="3456860000"/>
    <n v="8313649000"/>
    <n v="7816028000"/>
    <n v="-497621000"/>
    <n v="16129677000"/>
    <n v="0.15751891858797504"/>
    <n v="0.2747307200025384"/>
    <n v="3.327363029999818E-3"/>
    <n v="3.7777747343664381E-3"/>
    <n v="0.21431675290211949"/>
    <n v="5.6455905315213654E-2"/>
    <n v="49"/>
    <n v="330738828.02498108"/>
    <n v="39"/>
    <n v="153223378.70386729"/>
    <n v="3"/>
    <n v="13795146.479344809"/>
    <n v="7"/>
    <n v="163720302.84176901"/>
    <n v="5.4014799439500195E-3"/>
    <n v="2.5023763068746365E-3"/>
    <n v="2.2529621779516484E-4"/>
    <n v="2.6738074192802185E-3"/>
    <n v="19455225.177940063"/>
    <n v="3.1773411435000111E-4"/>
  </r>
  <r>
    <n v="207"/>
    <s v="UZB"/>
    <s v="Uzbekistan"/>
    <x v="1"/>
    <x v="2"/>
    <n v="2"/>
    <n v="0"/>
    <x v="0"/>
    <n v="2015"/>
    <n v="0"/>
    <s v="na"/>
    <n v="57726542784.920425"/>
    <n v="7"/>
    <n v="4010000000"/>
    <n v="16"/>
    <n v="3690000000"/>
    <n v="23"/>
    <n v="7700000000"/>
    <n v="6.9465445296812561E-2"/>
    <n v="6.392206811601954E-2"/>
    <n v="0.13338751341283211"/>
    <n v="2.986675405733523E-3"/>
    <n v="4.6406922051462638E-3"/>
    <n v="3.5933788494654268E-3"/>
    <n v="452941176.47058821"/>
    <n v="7.8463243184018882E-3"/>
    <n v="1"/>
    <n v="7"/>
    <n v="1132600000"/>
    <n v="3"/>
    <n v="801300000"/>
    <n v="0"/>
    <x v="0"/>
    <n v="10"/>
    <n v="1933900000"/>
    <n v="3.3501053531048833E-2"/>
    <n v="4.8517030634293884E-2"/>
    <n v="5052269000"/>
    <n v="1767642000"/>
    <n v="-3284627000"/>
    <n v="6819911000"/>
    <n v="21855139000"/>
    <n v="14344696000"/>
    <n v="-7510443000"/>
    <n v="36199835000"/>
    <n v="0.23117075576595508"/>
    <n v="0.12322617363240043"/>
    <n v="8.7470593868116397E-3"/>
    <n v="6.9333208787081251E-3"/>
    <n v="0.18839619020362938"/>
    <n v="0.11814168441387289"/>
    <n v="149"/>
    <n v="12695736545.016287"/>
    <n v="64"/>
    <n v="2542801902.4255037"/>
    <n v="56"/>
    <n v="8886742719.4394569"/>
    <n v="29"/>
    <n v="1266191923.151324"/>
    <n v="0.21992892580313542"/>
    <n v="4.4049093878695697E-2"/>
    <n v="0.15394552125787256"/>
    <n v="2.1934310666567133E-2"/>
    <n v="746808032.05978155"/>
    <n v="1.2936995635478553E-2"/>
  </r>
  <r>
    <n v="208"/>
    <s v="VUT"/>
    <s v="Vanuatu"/>
    <x v="5"/>
    <x v="2"/>
    <n v="0"/>
    <n v="0"/>
    <x v="0"/>
    <n v="2018"/>
    <n v="1"/>
    <n v="2004"/>
    <n v="930337960.03747845"/>
    <n v="0"/>
    <n v="0"/>
    <n v="0"/>
    <n v="0"/>
    <n v="0"/>
    <n v="0"/>
    <n v="0"/>
    <n v="0"/>
    <n v="0"/>
    <n v="0"/>
    <n v="0"/>
    <n v="0"/>
    <n v="0"/>
    <n v="0"/>
    <n v="1"/>
    <n v="0"/>
    <n v="0"/>
    <n v="0"/>
    <n v="0"/>
    <n v="0"/>
    <x v="0"/>
    <n v="0"/>
    <n v="0"/>
    <n v="0"/>
    <n v="0"/>
    <n v="76761000"/>
    <n v="14655000"/>
    <n v="-62106000"/>
    <n v="91416000"/>
    <n v="286016000"/>
    <n v="173228000"/>
    <n v="-112788000"/>
    <n v="459244000"/>
    <n v="0.26838009062430074"/>
    <n v="8.459948738079294E-2"/>
    <n v="1.1447188405337152E-4"/>
    <n v="8.3727484303386504E-5"/>
    <n v="0.19905758159061415"/>
    <n v="9.8261066329398544E-2"/>
    <n v="120"/>
    <n v="555617259.93362021"/>
    <n v="108"/>
    <n v="390590587.29028279"/>
    <n v="9"/>
    <n v="78704.611487802802"/>
    <n v="3"/>
    <n v="164947968.03184959"/>
    <n v="0.59722088509775229"/>
    <n v="0.41983731081396264"/>
    <n v="8.4597871814917882E-5"/>
    <n v="0.17729897641197476"/>
    <n v="32683368.231389426"/>
    <n v="3.5130640299867788E-2"/>
  </r>
  <r>
    <n v="209"/>
    <s v="VAT"/>
    <s v="Vaticano"/>
    <x v="1"/>
    <x v="4"/>
    <n v="0"/>
    <n v="0"/>
    <x v="1"/>
    <s v="na"/>
    <n v="2"/>
    <s v="na"/>
    <s v="na"/>
    <n v="0"/>
    <n v="0"/>
    <n v="0"/>
    <n v="0"/>
    <n v="0"/>
    <n v="0"/>
    <n v="0"/>
    <n v="0"/>
    <n v="0"/>
    <n v="0"/>
    <n v="0"/>
    <n v="0"/>
    <n v="0"/>
    <n v="0"/>
    <n v="0"/>
    <s v="na"/>
    <s v="na"/>
    <s v="na"/>
    <s v="na"/>
    <s v="na"/>
    <x v="1"/>
    <n v="0"/>
    <s v="na"/>
    <s v="na"/>
    <s v="na"/>
    <s v="na"/>
    <s v="na"/>
    <s v="na"/>
    <s v="na"/>
    <s v="na"/>
    <s v="na"/>
    <s v="na"/>
    <s v="na"/>
    <s v="na"/>
    <s v="na"/>
    <s v="na"/>
    <s v="na"/>
    <s v="na"/>
    <s v="na"/>
    <s v="na"/>
    <s v="na"/>
    <s v="na"/>
    <s v="na"/>
    <s v="na"/>
    <s v="na"/>
    <s v="na"/>
    <s v="na"/>
    <n v="0"/>
    <n v="0"/>
    <n v="0"/>
    <n v="0"/>
    <n v="0"/>
    <n v="0"/>
  </r>
  <r>
    <n v="210"/>
    <s v="VEN"/>
    <s v="Venezuela"/>
    <x v="4"/>
    <x v="4"/>
    <n v="3"/>
    <n v="0"/>
    <x v="0"/>
    <n v="2018"/>
    <n v="0"/>
    <s v="na"/>
    <s v="na"/>
    <n v="18"/>
    <n v="11630000000"/>
    <n v="10"/>
    <n v="8140000000"/>
    <n v="28"/>
    <n v="19770000000"/>
    <n v="0"/>
    <n v="0"/>
    <n v="0"/>
    <n v="8.662103483461565E-3"/>
    <n v="1.0237190934929698E-2"/>
    <n v="9.2261168641469462E-3"/>
    <n v="1162941176.4705882"/>
    <n v="0"/>
    <n v="3"/>
    <n v="0"/>
    <n v="0"/>
    <n v="0"/>
    <n v="0"/>
    <n v="0"/>
    <x v="0"/>
    <n v="0"/>
    <n v="0"/>
    <s v="na"/>
    <n v="0"/>
    <n v="1539866000"/>
    <n v="4788365000"/>
    <n v="3248499000"/>
    <n v="6328231000"/>
    <n v="6177724000"/>
    <n v="17015898000"/>
    <n v="10838174000"/>
    <n v="23193622000"/>
    <n v="0.24926105471853388"/>
    <n v="0.28140536573503205"/>
    <n v="2.4725040048169701E-3"/>
    <n v="8.2244113694265684E-3"/>
    <n v="0.27284358605137221"/>
    <s v="na"/>
    <n v="84"/>
    <n v="173012228093.00427"/>
    <n v="9"/>
    <n v="92644565.738441646"/>
    <n v="63"/>
    <n v="166305580599.91101"/>
    <n v="12"/>
    <n v="6614002927.354825"/>
    <n v="0"/>
    <n v="0"/>
    <n v="0"/>
    <n v="0"/>
    <n v="10177189887.82378"/>
    <n v="0"/>
  </r>
  <r>
    <n v="211"/>
    <s v="VNM"/>
    <s v="Vietnam"/>
    <x v="5"/>
    <x v="2"/>
    <n v="4"/>
    <n v="1"/>
    <x v="0"/>
    <n v="2017"/>
    <n v="0"/>
    <s v="na"/>
    <n v="261921244843.1723"/>
    <n v="28"/>
    <n v="15620000000"/>
    <n v="30"/>
    <n v="13290000000"/>
    <n v="58"/>
    <n v="28910000000"/>
    <n v="5.9636246801410157E-2"/>
    <n v="5.0740443021174197E-2"/>
    <n v="0.11037668982258435"/>
    <n v="1.1633882752508137E-2"/>
    <n v="1.6714037779510527E-2"/>
    <n v="1.3491504225720192E-2"/>
    <n v="1700588235.2941177"/>
    <n v="6.4927464601520204E-3"/>
    <n v="1"/>
    <n v="1"/>
    <n v="100000000"/>
    <n v="1"/>
    <n v="47500000"/>
    <n v="0"/>
    <x v="0"/>
    <n v="2"/>
    <n v="147500000"/>
    <n v="5.6314637664583848E-4"/>
    <n v="3.7004302283253259E-3"/>
    <n v="75586138000"/>
    <n v="41434238000"/>
    <n v="-34151900000"/>
    <n v="117020376000"/>
    <n v="253442016000"/>
    <n v="264610323000"/>
    <n v="11168307000"/>
    <n v="518052339000"/>
    <n v="0.29823838680323628"/>
    <n v="0.15658587136829125"/>
    <n v="0.101434832561132"/>
    <n v="0.12789593290632309"/>
    <n v="0.22588523820949297"/>
    <n v="0.44677695415683827"/>
    <n v="111"/>
    <n v="20984102031.97514"/>
    <n v="54"/>
    <n v="1423612922.7701159"/>
    <n v="44"/>
    <n v="16354113571.873787"/>
    <n v="13"/>
    <n v="3206375537.3312359"/>
    <n v="8.0116074755751707E-2"/>
    <n v="5.4352709098588661E-3"/>
    <n v="6.2439049500035627E-2"/>
    <n v="1.2241754345857213E-2"/>
    <n v="1234358943.0573611"/>
    <n v="4.7127102797501009E-3"/>
  </r>
  <r>
    <n v="212"/>
    <s v="VIR"/>
    <s v="Virgin Islands (U.S.)"/>
    <x v="4"/>
    <x v="3"/>
    <n v="0"/>
    <n v="0"/>
    <x v="1"/>
    <s v="na"/>
    <n v="0"/>
    <s v="na"/>
    <n v="3984000000"/>
    <n v="0"/>
    <n v="0"/>
    <n v="0"/>
    <n v="0"/>
    <n v="0"/>
    <n v="0"/>
    <n v="0"/>
    <n v="0"/>
    <n v="0"/>
    <n v="0"/>
    <n v="0"/>
    <n v="0"/>
    <n v="0"/>
    <n v="0"/>
    <n v="0"/>
    <s v="na"/>
    <s v="na"/>
    <s v="na"/>
    <s v="na"/>
    <s v="na"/>
    <x v="1"/>
    <n v="0"/>
    <s v="na"/>
    <s v="na"/>
    <s v="na"/>
    <s v="na"/>
    <s v="na"/>
    <s v="na"/>
    <s v="na"/>
    <s v="na"/>
    <s v="na"/>
    <s v="na"/>
    <s v="na"/>
    <s v="na"/>
    <s v="na"/>
    <s v="na"/>
    <s v="na"/>
    <s v="na"/>
    <s v="na"/>
    <n v="0"/>
    <s v="na"/>
    <s v="na"/>
    <s v="na"/>
    <s v="na"/>
    <s v="na"/>
    <s v="na"/>
    <s v="na"/>
    <n v="0"/>
    <n v="0"/>
    <n v="0"/>
    <n v="0"/>
    <n v="0"/>
    <n v="0"/>
  </r>
  <r>
    <n v="213"/>
    <s v="ESH"/>
    <s v="Western Sahara"/>
    <x v="2"/>
    <x v="4"/>
    <n v="0"/>
    <n v="0"/>
    <x v="1"/>
    <s v="na"/>
    <n v="0"/>
    <s v="na"/>
    <s v="na"/>
    <n v="0"/>
    <n v="0"/>
    <n v="0"/>
    <n v="0"/>
    <n v="0"/>
    <n v="0"/>
    <n v="0"/>
    <n v="0"/>
    <n v="0"/>
    <n v="0"/>
    <n v="0"/>
    <n v="0"/>
    <n v="0"/>
    <n v="0"/>
    <n v="0"/>
    <s v="na"/>
    <s v="na"/>
    <s v="na"/>
    <s v="na"/>
    <s v="na"/>
    <x v="1"/>
    <n v="0"/>
    <s v="na"/>
    <s v="na"/>
    <s v="na"/>
    <n v="72000"/>
    <n v="0"/>
    <n v="-72000"/>
    <n v="72000"/>
    <n v="0"/>
    <n v="3213000"/>
    <n v="3213000"/>
    <n v="3213000"/>
    <s v="na"/>
    <n v="0"/>
    <s v="na"/>
    <s v="na"/>
    <n v="2.2408963585434174E-2"/>
    <s v="na"/>
    <s v="na"/>
    <s v="na"/>
    <s v="na"/>
    <s v="na"/>
    <s v="na"/>
    <s v="na"/>
    <s v="na"/>
    <s v="na"/>
    <n v="0"/>
    <n v="0"/>
    <n v="0"/>
    <n v="0"/>
    <n v="0"/>
    <n v="0"/>
  </r>
  <r>
    <n v="214"/>
    <s v="YEM"/>
    <s v="Yemen"/>
    <x v="2"/>
    <x v="0"/>
    <n v="0"/>
    <n v="0"/>
    <x v="0"/>
    <n v="2017"/>
    <n v="0"/>
    <s v="na"/>
    <s v="na"/>
    <n v="4"/>
    <n v="1200000000"/>
    <n v="1"/>
    <n v="510000000"/>
    <n v="5"/>
    <n v="1710000000"/>
    <n v="0"/>
    <n v="0"/>
    <n v="0"/>
    <n v="8.9376820121701438E-4"/>
    <n v="6.4139648363810149E-4"/>
    <n v="7.9801010812803629E-4"/>
    <n v="100588235.29411764"/>
    <n v="0"/>
    <n v="0"/>
    <s v="na"/>
    <s v="na"/>
    <s v="na"/>
    <s v="na"/>
    <s v="na"/>
    <x v="1"/>
    <n v="0"/>
    <s v="na"/>
    <s v="na"/>
    <s v="na"/>
    <n v="2821134000"/>
    <n v="864442000"/>
    <n v="-1956692000"/>
    <n v="3685576000"/>
    <n v="10252621000"/>
    <n v="1575635000"/>
    <n v="-8676986000"/>
    <n v="11828256000"/>
    <n v="0.27516222437169968"/>
    <n v="0.54863086945897999"/>
    <n v="4.1033957623180586E-3"/>
    <n v="7.6156253452309324E-4"/>
    <n v="0.31159082116585912"/>
    <s v="na"/>
    <n v="74"/>
    <n v="1749062255.0303748"/>
    <n v="68"/>
    <n v="1244849858.1868131"/>
    <n v="4"/>
    <n v="176213807.73125672"/>
    <n v="2"/>
    <n v="327998589.11230499"/>
    <n v="0"/>
    <n v="0"/>
    <n v="0"/>
    <n v="0"/>
    <n v="102886015.00178675"/>
    <n v="0"/>
  </r>
  <r>
    <n v="215"/>
    <s v="ZMB"/>
    <s v="Zambia"/>
    <x v="3"/>
    <x v="2"/>
    <n v="0"/>
    <n v="0"/>
    <x v="0"/>
    <n v="2018"/>
    <n v="0"/>
    <s v="na"/>
    <n v="23308688906.12878"/>
    <n v="19"/>
    <n v="5820000000"/>
    <n v="30"/>
    <n v="10800000000"/>
    <n v="49"/>
    <n v="16620000000"/>
    <n v="0.24969229386684597"/>
    <n v="0.46334652470136367"/>
    <n v="0.71303881856820961"/>
    <n v="4.3347757759025201E-3"/>
    <n v="1.3582513771159795E-2"/>
    <n v="7.7560982439110896E-3"/>
    <n v="977647058.82352936"/>
    <n v="4.1943459915777033E-2"/>
    <n v="0"/>
    <s v="na"/>
    <s v="na"/>
    <s v="na"/>
    <s v="na"/>
    <s v="na"/>
    <x v="1"/>
    <n v="0"/>
    <s v="na"/>
    <s v="na"/>
    <s v="na"/>
    <n v="1019957000"/>
    <n v="1506024000"/>
    <n v="486067000"/>
    <n v="2525981000"/>
    <n v="7226897000"/>
    <n v="6962507000"/>
    <n v="-264390000"/>
    <n v="14189404000"/>
    <n v="0.14113346295097329"/>
    <n v="0.21630484536676228"/>
    <n v="2.8924134155070289E-3"/>
    <n v="3.3652365411753218E-3"/>
    <n v="0.17801882305979871"/>
    <n v="0.10837078868626623"/>
    <n v="167"/>
    <n v="9911112078.2602673"/>
    <n v="116"/>
    <n v="2841730205.5317831"/>
    <n v="36"/>
    <n v="4926950738.8012905"/>
    <n v="15"/>
    <n v="2142431133.9271944"/>
    <n v="0.42521104975811153"/>
    <n v="0.12191720508074477"/>
    <n v="0.21137828724059204"/>
    <n v="9.191555743677475E-2"/>
    <n v="583006592.83883929"/>
    <n v="2.5012414691653623E-2"/>
  </r>
  <r>
    <n v="216"/>
    <s v="ZWE"/>
    <s v="Zimbabwe"/>
    <x v="3"/>
    <x v="2"/>
    <n v="0"/>
    <n v="0"/>
    <x v="0"/>
    <n v="2018"/>
    <n v="0"/>
    <s v="na"/>
    <n v="16932434838.692844"/>
    <n v="9"/>
    <n v="1690000000"/>
    <n v="15"/>
    <n v="8580000000"/>
    <n v="24"/>
    <n v="10270000000"/>
    <n v="9.9808445512994226E-2"/>
    <n v="0.50671980029673991"/>
    <n v="0.60652824580973419"/>
    <n v="1.2587235500472953E-3"/>
    <n v="1.0790552607088061E-2"/>
    <n v="4.7927273745467444E-3"/>
    <n v="604117647.05882359"/>
    <n v="3.5678132106454957E-2"/>
    <n v="0"/>
    <s v="na"/>
    <s v="na"/>
    <s v="na"/>
    <s v="na"/>
    <s v="na"/>
    <x v="1"/>
    <n v="0"/>
    <s v="na"/>
    <s v="na"/>
    <s v="na"/>
    <n v="411593000"/>
    <n v="3247000"/>
    <n v="-408346000"/>
    <n v="414840000"/>
    <n v="4793889000"/>
    <n v="4279384000"/>
    <n v="-514505000"/>
    <n v="9073273000"/>
    <n v="8.5857849441236547E-2"/>
    <n v="7.5875406366897661E-4"/>
    <n v="1.9186531724544539E-3"/>
    <n v="2.0683841912864168E-3"/>
    <n v="4.5721097557628876E-2"/>
    <n v="2.4499725169592028E-2"/>
    <n v="204"/>
    <n v="17281064864.699394"/>
    <n v="141"/>
    <n v="8254176990.2777405"/>
    <n v="52"/>
    <n v="8899474794.6103668"/>
    <n v="11"/>
    <n v="127413079.81127936"/>
    <n v="1.0205894798549517"/>
    <n v="0.48747726295192106"/>
    <n v="0.52558742315510909"/>
    <n v="7.524793747921219E-3"/>
    <n v="1016533227.3352585"/>
    <n v="6.003467528558539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BBE4B-E5A8-4E12-90F6-94032C3C50BE}" name="TablaDinámica99" cacheId="195"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8">
  <location ref="A73:B76" firstHeaderRow="1" firstDataRow="1"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6">
        <item x="39"/>
        <item x="50"/>
        <item x="36"/>
        <item x="86"/>
        <item x="109"/>
        <item x="83"/>
        <item x="106"/>
        <item x="115"/>
        <item x="33"/>
        <item x="60"/>
        <item x="112"/>
        <item x="54"/>
        <item x="124"/>
        <item x="87"/>
        <item x="1"/>
        <item x="47"/>
        <item x="187"/>
        <item x="158"/>
        <item x="42"/>
        <item x="3"/>
        <item x="141"/>
        <item x="79"/>
        <item x="38"/>
        <item x="126"/>
        <item x="6"/>
        <item x="23"/>
        <item x="35"/>
        <item x="12"/>
        <item x="40"/>
        <item x="48"/>
        <item x="27"/>
        <item x="179"/>
        <item x="59"/>
        <item x="5"/>
        <item x="46"/>
        <item x="32"/>
        <item x="15"/>
        <item x="14"/>
        <item x="9"/>
        <item x="63"/>
        <item x="55"/>
        <item x="81"/>
        <item x="13"/>
        <item x="53"/>
        <item x="191"/>
        <item x="21"/>
        <item x="41"/>
        <item x="49"/>
        <item x="51"/>
        <item x="20"/>
        <item x="10"/>
        <item x="4"/>
        <item x="90"/>
        <item x="19"/>
        <item x="8"/>
        <item x="45"/>
        <item x="65"/>
        <item x="76"/>
        <item x="84"/>
        <item x="110"/>
        <item x="66"/>
        <item x="22"/>
        <item x="62"/>
        <item x="61"/>
        <item x="74"/>
        <item x="151"/>
        <item x="58"/>
        <item x="130"/>
        <item x="7"/>
        <item x="57"/>
        <item x="24"/>
        <item x="136"/>
        <item x="78"/>
        <item x="0"/>
        <item x="26"/>
        <item x="69"/>
        <item x="101"/>
        <item x="70"/>
        <item x="143"/>
        <item x="52"/>
        <item x="44"/>
        <item x="105"/>
        <item x="122"/>
        <item x="68"/>
        <item x="71"/>
        <item x="2"/>
        <item x="89"/>
        <item x="17"/>
        <item x="102"/>
        <item x="95"/>
        <item x="99"/>
        <item x="119"/>
        <item x="121"/>
        <item x="152"/>
        <item x="34"/>
        <item x="82"/>
        <item x="75"/>
        <item x="139"/>
        <item x="117"/>
        <item x="29"/>
        <item x="125"/>
        <item x="28"/>
        <item x="18"/>
        <item x="123"/>
        <item x="114"/>
        <item x="37"/>
        <item x="113"/>
        <item x="98"/>
        <item x="92"/>
        <item x="164"/>
        <item x="107"/>
        <item x="77"/>
        <item x="131"/>
        <item x="73"/>
        <item x="31"/>
        <item x="171"/>
        <item x="127"/>
        <item x="64"/>
        <item x="97"/>
        <item x="149"/>
        <item x="154"/>
        <item x="135"/>
        <item x="132"/>
        <item x="56"/>
        <item x="155"/>
        <item x="91"/>
        <item x="170"/>
        <item x="16"/>
        <item x="128"/>
        <item x="146"/>
        <item x="72"/>
        <item x="30"/>
        <item x="160"/>
        <item x="163"/>
        <item x="180"/>
        <item x="93"/>
        <item x="103"/>
        <item x="100"/>
        <item x="94"/>
        <item x="153"/>
        <item x="169"/>
        <item x="96"/>
        <item x="174"/>
        <item x="138"/>
        <item x="156"/>
        <item x="108"/>
        <item x="161"/>
        <item x="43"/>
        <item x="177"/>
        <item x="173"/>
        <item x="129"/>
        <item x="134"/>
        <item x="168"/>
        <item x="88"/>
        <item x="148"/>
        <item x="140"/>
        <item x="178"/>
        <item x="145"/>
        <item x="137"/>
        <item x="192"/>
        <item x="190"/>
        <item x="201"/>
        <item x="142"/>
        <item x="159"/>
        <item x="104"/>
        <item x="176"/>
        <item x="67"/>
        <item x="166"/>
        <item x="185"/>
        <item x="118"/>
        <item x="167"/>
        <item x="133"/>
        <item x="182"/>
        <item x="183"/>
        <item x="162"/>
        <item x="120"/>
        <item x="80"/>
        <item x="111"/>
        <item x="181"/>
        <item x="172"/>
        <item x="165"/>
        <item x="193"/>
        <item x="200"/>
        <item x="144"/>
        <item x="184"/>
        <item x="175"/>
        <item x="197"/>
        <item x="198"/>
        <item x="194"/>
        <item x="150"/>
        <item x="188"/>
        <item x="189"/>
        <item x="116"/>
        <item x="203"/>
        <item x="202"/>
        <item x="196"/>
        <item x="199"/>
        <item x="186"/>
        <item x="204"/>
        <item x="85"/>
        <item x="195"/>
        <item x="147"/>
        <item x="157"/>
        <item x="25"/>
        <item x="205"/>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3">
    <i>
      <x/>
    </i>
    <i>
      <x v="1"/>
    </i>
    <i t="grand">
      <x/>
    </i>
  </rowItems>
  <colItems count="1">
    <i/>
  </colItems>
  <dataFields count="1">
    <dataField name="Suma de amount-devfinance" fld="52" baseField="7" baseItem="0"/>
  </dataFields>
  <formats count="1">
    <format dxfId="6">
      <pivotArea outline="0" fieldPosition="0">
        <references count="1">
          <reference field="7" count="0" selected="0"/>
        </references>
      </pivotArea>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36F10C-0302-4D6F-BBC5-335A5B292D99}" name="TablaDinámica98" cacheId="195"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7">
  <location ref="A57:B60" firstHeaderRow="1" firstDataRow="1"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6">
        <item x="39"/>
        <item x="50"/>
        <item x="36"/>
        <item x="86"/>
        <item x="109"/>
        <item x="83"/>
        <item x="106"/>
        <item x="115"/>
        <item x="33"/>
        <item x="60"/>
        <item x="112"/>
        <item x="54"/>
        <item x="124"/>
        <item x="87"/>
        <item x="1"/>
        <item x="47"/>
        <item x="187"/>
        <item x="158"/>
        <item x="42"/>
        <item x="3"/>
        <item x="141"/>
        <item x="79"/>
        <item x="38"/>
        <item x="126"/>
        <item x="6"/>
        <item x="23"/>
        <item x="35"/>
        <item x="12"/>
        <item x="40"/>
        <item x="48"/>
        <item x="27"/>
        <item x="179"/>
        <item x="59"/>
        <item x="5"/>
        <item x="46"/>
        <item x="32"/>
        <item x="15"/>
        <item x="14"/>
        <item x="9"/>
        <item x="63"/>
        <item x="55"/>
        <item x="81"/>
        <item x="13"/>
        <item x="53"/>
        <item x="191"/>
        <item x="21"/>
        <item x="41"/>
        <item x="49"/>
        <item x="51"/>
        <item x="20"/>
        <item x="10"/>
        <item x="4"/>
        <item x="90"/>
        <item x="19"/>
        <item x="8"/>
        <item x="45"/>
        <item x="65"/>
        <item x="76"/>
        <item x="84"/>
        <item x="110"/>
        <item x="66"/>
        <item x="22"/>
        <item x="62"/>
        <item x="61"/>
        <item x="74"/>
        <item x="151"/>
        <item x="58"/>
        <item x="130"/>
        <item x="7"/>
        <item x="57"/>
        <item x="24"/>
        <item x="136"/>
        <item x="78"/>
        <item x="0"/>
        <item x="26"/>
        <item x="69"/>
        <item x="101"/>
        <item x="70"/>
        <item x="143"/>
        <item x="52"/>
        <item x="44"/>
        <item x="105"/>
        <item x="122"/>
        <item x="68"/>
        <item x="71"/>
        <item x="2"/>
        <item x="89"/>
        <item x="17"/>
        <item x="102"/>
        <item x="95"/>
        <item x="99"/>
        <item x="119"/>
        <item x="121"/>
        <item x="152"/>
        <item x="34"/>
        <item x="82"/>
        <item x="75"/>
        <item x="139"/>
        <item x="117"/>
        <item x="29"/>
        <item x="125"/>
        <item x="28"/>
        <item x="18"/>
        <item x="123"/>
        <item x="114"/>
        <item x="37"/>
        <item x="113"/>
        <item x="98"/>
        <item x="92"/>
        <item x="164"/>
        <item x="107"/>
        <item x="77"/>
        <item x="131"/>
        <item x="73"/>
        <item x="31"/>
        <item x="171"/>
        <item x="127"/>
        <item x="64"/>
        <item x="97"/>
        <item x="149"/>
        <item x="154"/>
        <item x="135"/>
        <item x="132"/>
        <item x="56"/>
        <item x="155"/>
        <item x="91"/>
        <item x="170"/>
        <item x="16"/>
        <item x="128"/>
        <item x="146"/>
        <item x="72"/>
        <item x="30"/>
        <item x="160"/>
        <item x="163"/>
        <item x="180"/>
        <item x="93"/>
        <item x="103"/>
        <item x="100"/>
        <item x="94"/>
        <item x="153"/>
        <item x="169"/>
        <item x="96"/>
        <item x="174"/>
        <item x="138"/>
        <item x="156"/>
        <item x="108"/>
        <item x="161"/>
        <item x="43"/>
        <item x="177"/>
        <item x="173"/>
        <item x="129"/>
        <item x="134"/>
        <item x="168"/>
        <item x="88"/>
        <item x="148"/>
        <item x="140"/>
        <item x="178"/>
        <item x="145"/>
        <item x="137"/>
        <item x="192"/>
        <item x="190"/>
        <item x="201"/>
        <item x="142"/>
        <item x="159"/>
        <item x="104"/>
        <item x="176"/>
        <item x="67"/>
        <item x="166"/>
        <item x="185"/>
        <item x="118"/>
        <item x="167"/>
        <item x="133"/>
        <item x="182"/>
        <item x="183"/>
        <item x="162"/>
        <item x="120"/>
        <item x="80"/>
        <item x="111"/>
        <item x="181"/>
        <item x="172"/>
        <item x="165"/>
        <item x="193"/>
        <item x="200"/>
        <item x="144"/>
        <item x="184"/>
        <item x="175"/>
        <item x="197"/>
        <item x="198"/>
        <item x="194"/>
        <item x="150"/>
        <item x="188"/>
        <item x="189"/>
        <item x="116"/>
        <item x="203"/>
        <item x="202"/>
        <item x="196"/>
        <item x="199"/>
        <item x="186"/>
        <item x="204"/>
        <item x="85"/>
        <item x="195"/>
        <item x="147"/>
        <item x="157"/>
        <item x="25"/>
        <item x="205"/>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3">
    <i>
      <x/>
    </i>
    <i>
      <x v="1"/>
    </i>
    <i t="grand">
      <x/>
    </i>
  </rowItems>
  <colItems count="1">
    <i/>
  </colItems>
  <dataFields count="1">
    <dataField name="Suma de amount-invest-total" fld="17" baseField="0" baseItem="0"/>
  </dataFields>
  <formats count="1">
    <format dxfId="11">
      <pivotArea outline="0" fieldPosition="0">
        <references count="1">
          <reference field="7" count="0" selected="0"/>
        </references>
      </pivotArea>
    </format>
  </format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A7A6E6-E655-4386-945E-038D761DCFFD}" name="TablaDinámica97" cacheId="195"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6">
  <location ref="A32:B35" firstHeaderRow="1" firstDataRow="1"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6">
        <item x="39"/>
        <item x="50"/>
        <item x="36"/>
        <item x="86"/>
        <item x="109"/>
        <item x="83"/>
        <item x="106"/>
        <item x="115"/>
        <item x="33"/>
        <item x="60"/>
        <item x="112"/>
        <item x="54"/>
        <item x="124"/>
        <item x="87"/>
        <item x="1"/>
        <item x="47"/>
        <item x="187"/>
        <item x="158"/>
        <item x="42"/>
        <item x="3"/>
        <item x="141"/>
        <item x="79"/>
        <item x="38"/>
        <item x="126"/>
        <item x="6"/>
        <item x="23"/>
        <item x="35"/>
        <item x="12"/>
        <item x="40"/>
        <item x="48"/>
        <item x="27"/>
        <item x="179"/>
        <item x="59"/>
        <item x="5"/>
        <item x="46"/>
        <item x="32"/>
        <item x="15"/>
        <item x="14"/>
        <item x="9"/>
        <item x="63"/>
        <item x="55"/>
        <item x="81"/>
        <item x="13"/>
        <item x="53"/>
        <item x="191"/>
        <item x="21"/>
        <item x="41"/>
        <item x="49"/>
        <item x="51"/>
        <item x="20"/>
        <item x="10"/>
        <item x="4"/>
        <item x="90"/>
        <item x="19"/>
        <item x="8"/>
        <item x="45"/>
        <item x="65"/>
        <item x="76"/>
        <item x="84"/>
        <item x="110"/>
        <item x="66"/>
        <item x="22"/>
        <item x="62"/>
        <item x="61"/>
        <item x="74"/>
        <item x="151"/>
        <item x="58"/>
        <item x="130"/>
        <item x="7"/>
        <item x="57"/>
        <item x="24"/>
        <item x="136"/>
        <item x="78"/>
        <item x="0"/>
        <item x="26"/>
        <item x="69"/>
        <item x="101"/>
        <item x="70"/>
        <item x="143"/>
        <item x="52"/>
        <item x="44"/>
        <item x="105"/>
        <item x="122"/>
        <item x="68"/>
        <item x="71"/>
        <item x="2"/>
        <item x="89"/>
        <item x="17"/>
        <item x="102"/>
        <item x="95"/>
        <item x="99"/>
        <item x="119"/>
        <item x="121"/>
        <item x="152"/>
        <item x="34"/>
        <item x="82"/>
        <item x="75"/>
        <item x="139"/>
        <item x="117"/>
        <item x="29"/>
        <item x="125"/>
        <item x="28"/>
        <item x="18"/>
        <item x="123"/>
        <item x="114"/>
        <item x="37"/>
        <item x="113"/>
        <item x="98"/>
        <item x="92"/>
        <item x="164"/>
        <item x="107"/>
        <item x="77"/>
        <item x="131"/>
        <item x="73"/>
        <item x="31"/>
        <item x="171"/>
        <item x="127"/>
        <item x="64"/>
        <item x="97"/>
        <item x="149"/>
        <item x="154"/>
        <item x="135"/>
        <item x="132"/>
        <item x="56"/>
        <item x="155"/>
        <item x="91"/>
        <item x="170"/>
        <item x="16"/>
        <item x="128"/>
        <item x="146"/>
        <item x="72"/>
        <item x="30"/>
        <item x="160"/>
        <item x="163"/>
        <item x="180"/>
        <item x="93"/>
        <item x="103"/>
        <item x="100"/>
        <item x="94"/>
        <item x="153"/>
        <item x="169"/>
        <item x="96"/>
        <item x="174"/>
        <item x="138"/>
        <item x="156"/>
        <item x="108"/>
        <item x="161"/>
        <item x="43"/>
        <item x="177"/>
        <item x="173"/>
        <item x="129"/>
        <item x="134"/>
        <item x="168"/>
        <item x="88"/>
        <item x="148"/>
        <item x="140"/>
        <item x="178"/>
        <item x="145"/>
        <item x="137"/>
        <item x="192"/>
        <item x="190"/>
        <item x="201"/>
        <item x="142"/>
        <item x="159"/>
        <item x="104"/>
        <item x="176"/>
        <item x="67"/>
        <item x="166"/>
        <item x="185"/>
        <item x="118"/>
        <item x="167"/>
        <item x="133"/>
        <item x="182"/>
        <item x="183"/>
        <item x="162"/>
        <item x="120"/>
        <item x="80"/>
        <item x="111"/>
        <item x="181"/>
        <item x="172"/>
        <item x="165"/>
        <item x="193"/>
        <item x="200"/>
        <item x="144"/>
        <item x="184"/>
        <item x="175"/>
        <item x="197"/>
        <item x="198"/>
        <item x="194"/>
        <item x="150"/>
        <item x="188"/>
        <item x="189"/>
        <item x="116"/>
        <item x="203"/>
        <item x="202"/>
        <item x="196"/>
        <item x="199"/>
        <item x="186"/>
        <item x="204"/>
        <item x="85"/>
        <item x="195"/>
        <item x="147"/>
        <item x="157"/>
        <item x="25"/>
        <item x="205"/>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3">
    <i>
      <x/>
    </i>
    <i>
      <x v="1"/>
    </i>
    <i t="grand">
      <x/>
    </i>
  </rowItems>
  <colItems count="1">
    <i/>
  </colItems>
  <dataFields count="1">
    <dataField name="Cuenta de mou-bri" fld="7" subtotal="count" baseField="7" baseItem="0"/>
  </dataFields>
  <formats count="1">
    <format dxfId="16">
      <pivotArea outline="0" fieldPosition="0">
        <references count="1">
          <reference field="7"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78CA4E-5F9E-445E-BEE5-BB9CC547A630}" name="TablaDinámica95" cacheId="195"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6">
  <location ref="A40:B43" firstHeaderRow="1" firstDataRow="1"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206">
        <item x="39"/>
        <item x="50"/>
        <item x="36"/>
        <item x="86"/>
        <item x="109"/>
        <item x="83"/>
        <item x="106"/>
        <item x="115"/>
        <item x="33"/>
        <item x="60"/>
        <item x="112"/>
        <item x="54"/>
        <item x="124"/>
        <item x="87"/>
        <item x="1"/>
        <item x="47"/>
        <item x="187"/>
        <item x="158"/>
        <item x="42"/>
        <item x="3"/>
        <item x="141"/>
        <item x="79"/>
        <item x="38"/>
        <item x="126"/>
        <item x="6"/>
        <item x="23"/>
        <item x="35"/>
        <item x="12"/>
        <item x="40"/>
        <item x="48"/>
        <item x="27"/>
        <item x="179"/>
        <item x="59"/>
        <item x="5"/>
        <item x="46"/>
        <item x="32"/>
        <item x="15"/>
        <item x="14"/>
        <item x="9"/>
        <item x="63"/>
        <item x="55"/>
        <item x="81"/>
        <item x="13"/>
        <item x="53"/>
        <item x="191"/>
        <item x="21"/>
        <item x="41"/>
        <item x="49"/>
        <item x="51"/>
        <item x="20"/>
        <item x="10"/>
        <item x="4"/>
        <item x="90"/>
        <item x="19"/>
        <item x="8"/>
        <item x="45"/>
        <item x="65"/>
        <item x="76"/>
        <item x="84"/>
        <item x="110"/>
        <item x="66"/>
        <item x="22"/>
        <item x="62"/>
        <item x="61"/>
        <item x="74"/>
        <item x="151"/>
        <item x="58"/>
        <item x="130"/>
        <item x="7"/>
        <item x="57"/>
        <item x="24"/>
        <item x="136"/>
        <item x="78"/>
        <item x="0"/>
        <item x="26"/>
        <item x="69"/>
        <item x="101"/>
        <item x="70"/>
        <item x="143"/>
        <item x="52"/>
        <item x="44"/>
        <item x="105"/>
        <item x="122"/>
        <item x="68"/>
        <item x="71"/>
        <item x="2"/>
        <item x="89"/>
        <item x="17"/>
        <item x="102"/>
        <item x="95"/>
        <item x="99"/>
        <item x="119"/>
        <item x="121"/>
        <item x="152"/>
        <item x="34"/>
        <item x="82"/>
        <item x="75"/>
        <item x="139"/>
        <item x="117"/>
        <item x="29"/>
        <item x="125"/>
        <item x="28"/>
        <item x="18"/>
        <item x="123"/>
        <item x="114"/>
        <item x="37"/>
        <item x="113"/>
        <item x="98"/>
        <item x="92"/>
        <item x="164"/>
        <item x="107"/>
        <item x="77"/>
        <item x="131"/>
        <item x="73"/>
        <item x="31"/>
        <item x="171"/>
        <item x="127"/>
        <item x="64"/>
        <item x="97"/>
        <item x="149"/>
        <item x="154"/>
        <item x="135"/>
        <item x="132"/>
        <item x="56"/>
        <item x="155"/>
        <item x="91"/>
        <item x="170"/>
        <item x="16"/>
        <item x="128"/>
        <item x="146"/>
        <item x="72"/>
        <item x="30"/>
        <item x="160"/>
        <item x="163"/>
        <item x="180"/>
        <item x="93"/>
        <item x="103"/>
        <item x="100"/>
        <item x="94"/>
        <item x="153"/>
        <item x="169"/>
        <item x="96"/>
        <item x="174"/>
        <item x="138"/>
        <item x="156"/>
        <item x="108"/>
        <item x="161"/>
        <item x="43"/>
        <item x="177"/>
        <item x="173"/>
        <item x="129"/>
        <item x="134"/>
        <item x="168"/>
        <item x="88"/>
        <item x="148"/>
        <item x="140"/>
        <item x="178"/>
        <item x="145"/>
        <item x="137"/>
        <item x="192"/>
        <item x="190"/>
        <item x="201"/>
        <item x="142"/>
        <item x="159"/>
        <item x="104"/>
        <item x="176"/>
        <item x="67"/>
        <item x="166"/>
        <item x="185"/>
        <item x="118"/>
        <item x="167"/>
        <item x="133"/>
        <item x="182"/>
        <item x="183"/>
        <item x="162"/>
        <item x="120"/>
        <item x="80"/>
        <item x="111"/>
        <item x="181"/>
        <item x="172"/>
        <item x="165"/>
        <item x="193"/>
        <item x="200"/>
        <item x="144"/>
        <item x="184"/>
        <item x="175"/>
        <item x="197"/>
        <item x="198"/>
        <item x="194"/>
        <item x="150"/>
        <item x="188"/>
        <item x="189"/>
        <item x="116"/>
        <item x="203"/>
        <item x="202"/>
        <item x="196"/>
        <item x="199"/>
        <item x="186"/>
        <item x="204"/>
        <item x="85"/>
        <item x="195"/>
        <item x="147"/>
        <item x="157"/>
        <item x="25"/>
        <item x="205"/>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3">
    <i>
      <x/>
    </i>
    <i>
      <x v="1"/>
    </i>
    <i t="grand">
      <x/>
    </i>
  </rowItems>
  <colItems count="1">
    <i/>
  </colItems>
  <dataFields count="1">
    <dataField name="Suma de trade-rpc" fld="40" baseField="7" baseItem="0"/>
  </dataFields>
  <formats count="1">
    <format dxfId="17">
      <pivotArea outline="0" fieldPosition="0">
        <references count="1">
          <reference field="7" count="0" selected="0"/>
        </references>
      </pivotArea>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4F27DA-439D-4661-90A5-F459F6992D01}" name="TablaDinámica36" cacheId="134"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4">
  <location ref="A23:C28"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1"/>
        <item x="3"/>
        <item x="2"/>
        <item h="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4">
    <i>
      <x/>
    </i>
    <i>
      <x v="1"/>
    </i>
    <i>
      <x v="2"/>
    </i>
    <i>
      <x v="4"/>
    </i>
  </rowItems>
  <colFields count="1">
    <field x="7"/>
  </colFields>
  <colItems count="2">
    <i>
      <x/>
    </i>
    <i>
      <x v="1"/>
    </i>
  </colItems>
  <dataFields count="1">
    <dataField name="Cuenta de mou-bri" fld="7" subtotal="count" baseField="0" baseItem="0"/>
  </dataFields>
  <chartFormats count="2">
    <chartFormat chart="3" format="7" series="1">
      <pivotArea type="data" outline="0" fieldPosition="0">
        <references count="2">
          <reference field="4294967294" count="1" selected="0">
            <x v="0"/>
          </reference>
          <reference field="7" count="1" selected="0">
            <x v="0"/>
          </reference>
        </references>
      </pivotArea>
    </chartFormat>
    <chartFormat chart="3" format="8"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32E6B4-A70A-4BD8-8E6F-1FE43504377D}" name="TablaDinámica25" cacheId="195"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5">
  <location ref="A3:D12"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8">
    <i>
      <x/>
    </i>
    <i>
      <x v="1"/>
    </i>
    <i>
      <x v="2"/>
    </i>
    <i>
      <x v="3"/>
    </i>
    <i>
      <x v="4"/>
    </i>
    <i>
      <x v="5"/>
    </i>
    <i>
      <x v="6"/>
    </i>
    <i t="grand">
      <x/>
    </i>
  </rowItems>
  <colFields count="1">
    <field x="7"/>
  </colFields>
  <colItems count="3">
    <i>
      <x/>
    </i>
    <i>
      <x v="1"/>
    </i>
    <i t="grand">
      <x/>
    </i>
  </colItems>
  <dataFields count="1">
    <dataField name="Cuenta de mou-bri" fld="7" subtotal="count" baseField="3"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49B1BB-ED4C-44F2-99BD-F17F6E8DF3D3}" name="TablaDinámica52" cacheId="156"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4">
  <location ref="A64:C71" firstHeaderRow="0" firstDataRow="1" firstDataCol="1"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compact="0" outline="0" multipleItemSelectionAllowed="1" showAll="0" defaultSubtotal="0">
      <items count="5">
        <item x="1"/>
        <item x="3"/>
        <item x="2"/>
        <item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29">
        <item x="0"/>
        <item x="15"/>
        <item x="1"/>
        <item x="17"/>
        <item x="2"/>
        <item x="44"/>
        <item x="4"/>
        <item x="50"/>
        <item x="23"/>
        <item x="8"/>
        <item x="26"/>
        <item x="6"/>
        <item x="12"/>
        <item x="3"/>
        <item x="47"/>
        <item x="5"/>
        <item x="46"/>
        <item x="7"/>
        <item x="9"/>
        <item x="37"/>
        <item x="39"/>
        <item x="34"/>
        <item x="10"/>
        <item x="11"/>
        <item x="28"/>
        <item x="13"/>
        <item x="38"/>
        <item x="77"/>
        <item x="14"/>
        <item x="33"/>
        <item x="16"/>
        <item x="56"/>
        <item x="30"/>
        <item x="35"/>
        <item x="22"/>
        <item x="18"/>
        <item x="27"/>
        <item x="29"/>
        <item x="87"/>
        <item x="19"/>
        <item x="20"/>
        <item x="24"/>
        <item x="31"/>
        <item x="48"/>
        <item x="21"/>
        <item x="74"/>
        <item x="73"/>
        <item x="83"/>
        <item x="82"/>
        <item x="55"/>
        <item x="25"/>
        <item x="40"/>
        <item x="88"/>
        <item x="49"/>
        <item x="70"/>
        <item x="64"/>
        <item x="51"/>
        <item x="32"/>
        <item x="36"/>
        <item x="79"/>
        <item x="41"/>
        <item x="54"/>
        <item x="52"/>
        <item x="107"/>
        <item x="108"/>
        <item x="42"/>
        <item x="95"/>
        <item x="63"/>
        <item x="61"/>
        <item x="53"/>
        <item x="43"/>
        <item x="71"/>
        <item x="78"/>
        <item x="81"/>
        <item x="69"/>
        <item x="45"/>
        <item x="62"/>
        <item x="58"/>
        <item x="96"/>
        <item x="59"/>
        <item x="106"/>
        <item x="94"/>
        <item x="86"/>
        <item x="72"/>
        <item x="68"/>
        <item x="76"/>
        <item x="57"/>
        <item x="93"/>
        <item x="75"/>
        <item x="60"/>
        <item x="114"/>
        <item x="110"/>
        <item x="66"/>
        <item x="65"/>
        <item x="84"/>
        <item x="67"/>
        <item x="101"/>
        <item x="85"/>
        <item x="90"/>
        <item x="97"/>
        <item x="80"/>
        <item x="119"/>
        <item x="124"/>
        <item x="117"/>
        <item x="115"/>
        <item x="104"/>
        <item x="103"/>
        <item x="105"/>
        <item x="102"/>
        <item x="89"/>
        <item x="120"/>
        <item x="109"/>
        <item x="100"/>
        <item x="91"/>
        <item x="92"/>
        <item x="116"/>
        <item x="98"/>
        <item x="122"/>
        <item x="113"/>
        <item x="99"/>
        <item x="111"/>
        <item x="112"/>
        <item x="118"/>
        <item x="121"/>
        <item x="123"/>
        <item x="125"/>
        <item x="126"/>
        <item x="127"/>
        <item x="12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12">
        <item x="0"/>
        <item x="1"/>
        <item x="2"/>
        <item x="3"/>
        <item x="6"/>
        <item x="4"/>
        <item x="5"/>
        <item x="44"/>
        <item x="10"/>
        <item x="15"/>
        <item x="7"/>
        <item x="14"/>
        <item x="8"/>
        <item x="17"/>
        <item x="9"/>
        <item x="24"/>
        <item x="65"/>
        <item x="11"/>
        <item x="58"/>
        <item x="12"/>
        <item x="13"/>
        <item x="32"/>
        <item x="16"/>
        <item x="27"/>
        <item x="18"/>
        <item x="30"/>
        <item x="19"/>
        <item x="20"/>
        <item x="21"/>
        <item x="22"/>
        <item x="31"/>
        <item x="43"/>
        <item x="33"/>
        <item x="23"/>
        <item x="29"/>
        <item x="59"/>
        <item x="37"/>
        <item x="25"/>
        <item x="35"/>
        <item x="60"/>
        <item x="26"/>
        <item x="36"/>
        <item x="39"/>
        <item x="54"/>
        <item x="38"/>
        <item x="40"/>
        <item x="28"/>
        <item x="34"/>
        <item x="53"/>
        <item x="41"/>
        <item x="62"/>
        <item x="55"/>
        <item x="45"/>
        <item x="50"/>
        <item x="73"/>
        <item x="66"/>
        <item x="42"/>
        <item x="52"/>
        <item x="61"/>
        <item x="63"/>
        <item x="46"/>
        <item x="70"/>
        <item x="47"/>
        <item x="49"/>
        <item x="56"/>
        <item x="74"/>
        <item x="67"/>
        <item x="48"/>
        <item x="51"/>
        <item x="82"/>
        <item x="57"/>
        <item x="64"/>
        <item x="81"/>
        <item x="69"/>
        <item x="86"/>
        <item x="76"/>
        <item x="68"/>
        <item x="78"/>
        <item x="91"/>
        <item x="71"/>
        <item x="92"/>
        <item x="77"/>
        <item x="72"/>
        <item x="83"/>
        <item x="87"/>
        <item x="75"/>
        <item x="94"/>
        <item x="88"/>
        <item x="79"/>
        <item x="80"/>
        <item x="95"/>
        <item x="96"/>
        <item x="97"/>
        <item x="103"/>
        <item x="90"/>
        <item x="85"/>
        <item x="101"/>
        <item x="84"/>
        <item x="89"/>
        <item x="93"/>
        <item x="98"/>
        <item x="102"/>
        <item x="99"/>
        <item x="100"/>
        <item x="106"/>
        <item x="105"/>
        <item x="104"/>
        <item x="107"/>
        <item x="110"/>
        <item x="108"/>
        <item x="109"/>
        <item x="1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7">
    <i>
      <x/>
    </i>
    <i>
      <x v="1"/>
    </i>
    <i>
      <x v="2"/>
    </i>
    <i>
      <x v="3"/>
    </i>
    <i>
      <x v="5"/>
    </i>
    <i>
      <x v="6"/>
    </i>
    <i t="grand">
      <x/>
    </i>
  </rowItems>
  <colFields count="1">
    <field x="-2"/>
  </colFields>
  <colItems count="2">
    <i>
      <x/>
    </i>
    <i i="1">
      <x v="1"/>
    </i>
  </colItems>
  <pageFields count="1">
    <pageField fld="7" hier="-1"/>
  </pageFields>
  <dataFields count="2">
    <dataField name="Suma de amount-investbri0" fld="13" baseField="0" baseItem="0"/>
    <dataField name="Suma de amount-investbri1" fld="15" baseField="0" baseItem="0"/>
  </dataFields>
  <formats count="1">
    <format dxfId="39">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32CBE5-9F8E-443D-BFE3-F11BEC873DB0}" name="TablaDinámica51" cacheId="156"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2">
  <location ref="A23:C28" firstHeaderRow="0" firstDataRow="1" firstDataCol="1"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5">
        <item x="1"/>
        <item x="3"/>
        <item x="2"/>
        <item h="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29">
        <item x="0"/>
        <item x="15"/>
        <item x="1"/>
        <item x="17"/>
        <item x="2"/>
        <item x="44"/>
        <item x="4"/>
        <item x="50"/>
        <item x="23"/>
        <item x="8"/>
        <item x="26"/>
        <item x="6"/>
        <item x="12"/>
        <item x="3"/>
        <item x="47"/>
        <item x="5"/>
        <item x="46"/>
        <item x="7"/>
        <item x="9"/>
        <item x="37"/>
        <item x="39"/>
        <item x="34"/>
        <item x="10"/>
        <item x="11"/>
        <item x="28"/>
        <item x="13"/>
        <item x="38"/>
        <item x="77"/>
        <item x="14"/>
        <item x="33"/>
        <item x="16"/>
        <item x="56"/>
        <item x="30"/>
        <item x="35"/>
        <item x="22"/>
        <item x="18"/>
        <item x="27"/>
        <item x="29"/>
        <item x="87"/>
        <item x="19"/>
        <item x="20"/>
        <item x="24"/>
        <item x="31"/>
        <item x="48"/>
        <item x="21"/>
        <item x="74"/>
        <item x="73"/>
        <item x="83"/>
        <item x="82"/>
        <item x="55"/>
        <item x="25"/>
        <item x="40"/>
        <item x="88"/>
        <item x="49"/>
        <item x="70"/>
        <item x="64"/>
        <item x="51"/>
        <item x="32"/>
        <item x="36"/>
        <item x="79"/>
        <item x="41"/>
        <item x="54"/>
        <item x="52"/>
        <item x="107"/>
        <item x="108"/>
        <item x="42"/>
        <item x="95"/>
        <item x="63"/>
        <item x="61"/>
        <item x="53"/>
        <item x="43"/>
        <item x="71"/>
        <item x="78"/>
        <item x="81"/>
        <item x="69"/>
        <item x="45"/>
        <item x="62"/>
        <item x="58"/>
        <item x="96"/>
        <item x="59"/>
        <item x="106"/>
        <item x="94"/>
        <item x="86"/>
        <item x="72"/>
        <item x="68"/>
        <item x="76"/>
        <item x="57"/>
        <item x="93"/>
        <item x="75"/>
        <item x="60"/>
        <item x="114"/>
        <item x="110"/>
        <item x="66"/>
        <item x="65"/>
        <item x="84"/>
        <item x="67"/>
        <item x="101"/>
        <item x="85"/>
        <item x="90"/>
        <item x="97"/>
        <item x="80"/>
        <item x="119"/>
        <item x="124"/>
        <item x="117"/>
        <item x="115"/>
        <item x="104"/>
        <item x="103"/>
        <item x="105"/>
        <item x="102"/>
        <item x="89"/>
        <item x="120"/>
        <item x="109"/>
        <item x="100"/>
        <item x="91"/>
        <item x="92"/>
        <item x="116"/>
        <item x="98"/>
        <item x="122"/>
        <item x="113"/>
        <item x="99"/>
        <item x="111"/>
        <item x="112"/>
        <item x="118"/>
        <item x="121"/>
        <item x="123"/>
        <item x="125"/>
        <item x="126"/>
        <item x="127"/>
        <item x="12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12">
        <item x="0"/>
        <item x="1"/>
        <item x="2"/>
        <item x="3"/>
        <item x="6"/>
        <item x="4"/>
        <item x="5"/>
        <item x="44"/>
        <item x="10"/>
        <item x="15"/>
        <item x="7"/>
        <item x="14"/>
        <item x="8"/>
        <item x="17"/>
        <item x="9"/>
        <item x="24"/>
        <item x="65"/>
        <item x="11"/>
        <item x="58"/>
        <item x="12"/>
        <item x="13"/>
        <item x="32"/>
        <item x="16"/>
        <item x="27"/>
        <item x="18"/>
        <item x="30"/>
        <item x="19"/>
        <item x="20"/>
        <item x="21"/>
        <item x="22"/>
        <item x="31"/>
        <item x="43"/>
        <item x="33"/>
        <item x="23"/>
        <item x="29"/>
        <item x="59"/>
        <item x="37"/>
        <item x="25"/>
        <item x="35"/>
        <item x="60"/>
        <item x="26"/>
        <item x="36"/>
        <item x="39"/>
        <item x="54"/>
        <item x="38"/>
        <item x="40"/>
        <item x="28"/>
        <item x="34"/>
        <item x="53"/>
        <item x="41"/>
        <item x="62"/>
        <item x="55"/>
        <item x="45"/>
        <item x="50"/>
        <item x="73"/>
        <item x="66"/>
        <item x="42"/>
        <item x="52"/>
        <item x="61"/>
        <item x="63"/>
        <item x="46"/>
        <item x="70"/>
        <item x="47"/>
        <item x="49"/>
        <item x="56"/>
        <item x="74"/>
        <item x="67"/>
        <item x="48"/>
        <item x="51"/>
        <item x="82"/>
        <item x="57"/>
        <item x="64"/>
        <item x="81"/>
        <item x="69"/>
        <item x="86"/>
        <item x="76"/>
        <item x="68"/>
        <item x="78"/>
        <item x="91"/>
        <item x="71"/>
        <item x="92"/>
        <item x="77"/>
        <item x="72"/>
        <item x="83"/>
        <item x="87"/>
        <item x="75"/>
        <item x="94"/>
        <item x="88"/>
        <item x="79"/>
        <item x="80"/>
        <item x="95"/>
        <item x="96"/>
        <item x="97"/>
        <item x="103"/>
        <item x="90"/>
        <item x="85"/>
        <item x="101"/>
        <item x="84"/>
        <item x="89"/>
        <item x="93"/>
        <item x="98"/>
        <item x="102"/>
        <item x="99"/>
        <item x="100"/>
        <item x="106"/>
        <item x="105"/>
        <item x="104"/>
        <item x="107"/>
        <item x="110"/>
        <item x="108"/>
        <item x="109"/>
        <item x="1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5">
    <i>
      <x/>
    </i>
    <i>
      <x v="1"/>
    </i>
    <i>
      <x v="2"/>
    </i>
    <i>
      <x v="4"/>
    </i>
    <i t="grand">
      <x/>
    </i>
  </rowItems>
  <colFields count="1">
    <field x="-2"/>
  </colFields>
  <colItems count="2">
    <i>
      <x/>
    </i>
    <i i="1">
      <x v="1"/>
    </i>
  </colItems>
  <pageFields count="1">
    <pageField fld="7" hier="-1"/>
  </pageFields>
  <dataFields count="2">
    <dataField name="Suma de amount-investbri0" fld="13" baseField="0" baseItem="0"/>
    <dataField name="Suma de amount-investbri1" fld="15" baseField="0" baseItem="0"/>
  </dataFields>
  <formats count="1">
    <format dxfId="4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362640-91AF-4975-A301-1C0E7EB88860}" name="TablaDinámica49" cacheId="156"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2">
  <location ref="M4:P26" firstHeaderRow="1" firstDataRow="2" firstDataCol="2"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16">
        <item x="125"/>
        <item x="0"/>
        <item x="187"/>
        <item x="1"/>
        <item x="189"/>
        <item x="91"/>
        <item x="186"/>
        <item x="2"/>
        <item x="3"/>
        <item x="214"/>
        <item x="77"/>
        <item x="108"/>
        <item x="69"/>
        <item x="97"/>
        <item x="195"/>
        <item x="75"/>
        <item x="141"/>
        <item x="130"/>
        <item x="4"/>
        <item x="102"/>
        <item x="5"/>
        <item x="136"/>
        <item x="137"/>
        <item x="115"/>
        <item x="100"/>
        <item x="212"/>
        <item x="6"/>
        <item x="129"/>
        <item x="74"/>
        <item x="7"/>
        <item x="8"/>
        <item x="65"/>
        <item x="183"/>
        <item x="159"/>
        <item x="208"/>
        <item x="9"/>
        <item x="10"/>
        <item x="153"/>
        <item x="175"/>
        <item x="11"/>
        <item x="114"/>
        <item x="12"/>
        <item x="165"/>
        <item x="179"/>
        <item x="13"/>
        <item x="87"/>
        <item x="134"/>
        <item x="81"/>
        <item x="85"/>
        <item x="14"/>
        <item x="68"/>
        <item x="90"/>
        <item x="98"/>
        <item x="117"/>
        <item x="15"/>
        <item x="16"/>
        <item x="171"/>
        <item x="188"/>
        <item x="17"/>
        <item x="124"/>
        <item x="76"/>
        <item x="18"/>
        <item x="19"/>
        <item x="190"/>
        <item x="71"/>
        <item x="178"/>
        <item x="198"/>
        <item x="20"/>
        <item x="103"/>
        <item x="21"/>
        <item x="112"/>
        <item x="205"/>
        <item x="168"/>
        <item x="163"/>
        <item x="22"/>
        <item x="23"/>
        <item x="24"/>
        <item x="83"/>
        <item x="170"/>
        <item x="73"/>
        <item x="120"/>
        <item x="25"/>
        <item x="70"/>
        <item x="26"/>
        <item x="139"/>
        <item x="27"/>
        <item x="199"/>
        <item x="207"/>
        <item x="192"/>
        <item x="191"/>
        <item x="152"/>
        <item x="169"/>
        <item x="194"/>
        <item x="119"/>
        <item x="167"/>
        <item x="142"/>
        <item x="200"/>
        <item x="180"/>
        <item x="28"/>
        <item x="157"/>
        <item x="104"/>
        <item x="29"/>
        <item x="166"/>
        <item x="133"/>
        <item x="197"/>
        <item x="62"/>
        <item x="30"/>
        <item x="61"/>
        <item x="82"/>
        <item x="118"/>
        <item x="31"/>
        <item x="32"/>
        <item x="132"/>
        <item x="33"/>
        <item x="105"/>
        <item x="88"/>
        <item x="204"/>
        <item x="96"/>
        <item x="116"/>
        <item x="72"/>
        <item x="34"/>
        <item x="92"/>
        <item x="99"/>
        <item x="126"/>
        <item x="35"/>
        <item x="79"/>
        <item x="151"/>
        <item x="94"/>
        <item x="110"/>
        <item x="162"/>
        <item x="158"/>
        <item x="123"/>
        <item x="36"/>
        <item x="122"/>
        <item x="185"/>
        <item x="37"/>
        <item x="128"/>
        <item x="78"/>
        <item x="146"/>
        <item x="202"/>
        <item x="38"/>
        <item x="80"/>
        <item x="39"/>
        <item x="147"/>
        <item x="143"/>
        <item x="211"/>
        <item x="40"/>
        <item x="41"/>
        <item x="113"/>
        <item x="138"/>
        <item x="42"/>
        <item x="193"/>
        <item x="182"/>
        <item x="121"/>
        <item x="156"/>
        <item x="43"/>
        <item x="150"/>
        <item x="106"/>
        <item x="209"/>
        <item x="93"/>
        <item x="44"/>
        <item x="45"/>
        <item x="46"/>
        <item x="63"/>
        <item x="47"/>
        <item x="89"/>
        <item x="203"/>
        <item x="131"/>
        <item x="164"/>
        <item h="1" x="48"/>
        <item x="140"/>
        <item x="206"/>
        <item x="49"/>
        <item x="50"/>
        <item x="107"/>
        <item x="67"/>
        <item x="51"/>
        <item x="172"/>
        <item x="135"/>
        <item x="154"/>
        <item x="173"/>
        <item x="52"/>
        <item x="145"/>
        <item x="53"/>
        <item x="176"/>
        <item x="210"/>
        <item x="127"/>
        <item x="95"/>
        <item x="111"/>
        <item x="174"/>
        <item x="160"/>
        <item x="86"/>
        <item x="84"/>
        <item x="54"/>
        <item x="109"/>
        <item x="64"/>
        <item x="177"/>
        <item x="144"/>
        <item x="55"/>
        <item x="56"/>
        <item x="149"/>
        <item x="155"/>
        <item x="201"/>
        <item x="213"/>
        <item x="215"/>
        <item x="66"/>
        <item x="148"/>
        <item x="57"/>
        <item x="58"/>
        <item x="184"/>
        <item x="196"/>
        <item x="59"/>
        <item x="60"/>
        <item x="101"/>
        <item x="181"/>
        <item x="161"/>
      </items>
      <extLst>
        <ext xmlns:x14="http://schemas.microsoft.com/office/spreadsheetml/2009/9/main" uri="{2946ED86-A175-432a-8AC1-64E0C546D7DE}">
          <x14:pivotField fillDownLabels="1"/>
        </ext>
      </extLst>
    </pivotField>
    <pivotField axis="axisRow"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axis="axisRow" compact="0" outline="0" multipleItemSelectionAllowed="1" showAll="0" defaultSubtotal="0">
      <items count="5">
        <item x="1"/>
        <item x="3"/>
        <item x="2"/>
        <item h="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3"/>
    <field x="4"/>
  </rowFields>
  <rowItems count="21">
    <i>
      <x/>
      <x/>
    </i>
    <i r="1">
      <x v="1"/>
    </i>
    <i r="1">
      <x v="2"/>
    </i>
    <i r="1">
      <x v="4"/>
    </i>
    <i>
      <x v="1"/>
      <x/>
    </i>
    <i r="1">
      <x v="2"/>
    </i>
    <i r="1">
      <x v="4"/>
    </i>
    <i>
      <x v="2"/>
      <x/>
    </i>
    <i r="1">
      <x v="2"/>
    </i>
    <i r="1">
      <x v="4"/>
    </i>
    <i>
      <x v="3"/>
      <x/>
    </i>
    <i r="1">
      <x v="1"/>
    </i>
    <i r="1">
      <x v="2"/>
    </i>
    <i r="1">
      <x v="4"/>
    </i>
    <i>
      <x v="4"/>
      <x/>
    </i>
    <i>
      <x v="5"/>
      <x v="1"/>
    </i>
    <i r="1">
      <x v="2"/>
    </i>
    <i r="1">
      <x v="4"/>
    </i>
    <i>
      <x v="6"/>
      <x v="1"/>
    </i>
    <i r="1">
      <x v="2"/>
    </i>
    <i r="1">
      <x v="4"/>
    </i>
  </rowItems>
  <colFields count="1">
    <field x="7"/>
  </colFields>
  <colItems count="2">
    <i>
      <x/>
    </i>
    <i>
      <x v="1"/>
    </i>
  </colItems>
  <pageFields count="1">
    <pageField fld="2" hier="-1"/>
  </pageFields>
  <dataFields count="1">
    <dataField name="Suma de amount-invest-total" fld="17" baseField="0" baseItem="0" numFmtId="164"/>
  </dataFields>
  <formats count="1">
    <format dxfId="43">
      <pivotArea outline="0" collapsedLevelsAreSubtotals="1" fieldPosition="0"/>
    </format>
  </formats>
  <chartFormats count="8">
    <chartFormat chart="0" format="120" series="1">
      <pivotArea type="data" outline="0" fieldPosition="0">
        <references count="1">
          <reference field="4294967294" count="1" selected="0">
            <x v="0"/>
          </reference>
        </references>
      </pivotArea>
    </chartFormat>
    <chartFormat chart="0" format="121" series="1">
      <pivotArea type="data" outline="0" fieldPosition="0">
        <references count="2">
          <reference field="4294967294" count="1" selected="0">
            <x v="0"/>
          </reference>
          <reference field="4" count="1" selected="0">
            <x v="1"/>
          </reference>
        </references>
      </pivotArea>
    </chartFormat>
    <chartFormat chart="0" format="122" series="1">
      <pivotArea type="data" outline="0" fieldPosition="0">
        <references count="2">
          <reference field="4294967294" count="1" selected="0">
            <x v="0"/>
          </reference>
          <reference field="4" count="1" selected="0">
            <x v="2"/>
          </reference>
        </references>
      </pivotArea>
    </chartFormat>
    <chartFormat chart="0" format="123" series="1">
      <pivotArea type="data" outline="0" fieldPosition="0">
        <references count="2">
          <reference field="4294967294" count="1" selected="0">
            <x v="0"/>
          </reference>
          <reference field="4" count="1" selected="0">
            <x v="3"/>
          </reference>
        </references>
      </pivotArea>
    </chartFormat>
    <chartFormat chart="0" format="124" series="1">
      <pivotArea type="data" outline="0" fieldPosition="0">
        <references count="2">
          <reference field="4294967294" count="1" selected="0">
            <x v="0"/>
          </reference>
          <reference field="4" count="1" selected="0">
            <x v="4"/>
          </reference>
        </references>
      </pivotArea>
    </chartFormat>
    <chartFormat chart="0" format="125" series="1">
      <pivotArea type="data" outline="0" fieldPosition="0">
        <references count="2">
          <reference field="4294967294" count="1" selected="0">
            <x v="0"/>
          </reference>
          <reference field="7" count="1" selected="0">
            <x v="1"/>
          </reference>
        </references>
      </pivotArea>
    </chartFormat>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11F9DF-3DD4-4963-8ECC-2E9B2C8C6092}" name="TablaDinámica46" cacheId="156"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4">
  <location ref="A39:D48"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8">
    <i>
      <x/>
    </i>
    <i>
      <x v="1"/>
    </i>
    <i>
      <x v="2"/>
    </i>
    <i>
      <x v="3"/>
    </i>
    <i>
      <x v="4"/>
    </i>
    <i>
      <x v="5"/>
    </i>
    <i>
      <x v="6"/>
    </i>
    <i t="grand">
      <x/>
    </i>
  </rowItems>
  <colFields count="1">
    <field x="7"/>
  </colFields>
  <colItems count="3">
    <i>
      <x/>
    </i>
    <i>
      <x v="1"/>
    </i>
    <i t="grand">
      <x/>
    </i>
  </colItems>
  <dataFields count="1">
    <dataField name="Suma de amount-invest-total" fld="17" baseField="0" baseItem="0" numFmtId="164"/>
  </dataFields>
  <formats count="1">
    <format dxfId="42">
      <pivotArea outline="0" collapsedLevelsAreSubtotals="1" fieldPosition="0"/>
    </format>
  </formats>
  <chartFormats count="4">
    <chartFormat chart="0" format="120" series="1">
      <pivotArea type="data" outline="0" fieldPosition="0">
        <references count="1">
          <reference field="4294967294" count="1" selected="0">
            <x v="0"/>
          </reference>
        </references>
      </pivotArea>
    </chartFormat>
    <chartFormat chart="0" format="125"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40F7A1-5CFF-465D-871F-4F377C0E8084}" name="TablaDinámica45" cacheId="156"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
  <location ref="A4:D10"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5">
        <item x="1"/>
        <item x="3"/>
        <item x="2"/>
        <item h="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5">
    <i>
      <x/>
    </i>
    <i>
      <x v="1"/>
    </i>
    <i>
      <x v="2"/>
    </i>
    <i>
      <x v="4"/>
    </i>
    <i t="grand">
      <x/>
    </i>
  </rowItems>
  <colFields count="1">
    <field x="7"/>
  </colFields>
  <colItems count="3">
    <i>
      <x/>
    </i>
    <i>
      <x v="1"/>
    </i>
    <i t="grand">
      <x/>
    </i>
  </colItems>
  <dataFields count="1">
    <dataField name="Suma de amount-invest-total" fld="17" baseField="0" baseItem="0" numFmtId="164"/>
  </dataFields>
  <formats count="1">
    <format dxfId="41">
      <pivotArea outline="0" collapsedLevelsAreSubtotals="1" fieldPosition="0"/>
    </format>
  </formats>
  <chartFormats count="7">
    <chartFormat chart="0" format="120" series="1">
      <pivotArea type="data" outline="0" fieldPosition="0">
        <references count="1">
          <reference field="4294967294" count="1" selected="0">
            <x v="0"/>
          </reference>
        </references>
      </pivotArea>
    </chartFormat>
    <chartFormat chart="0" format="121" series="1">
      <pivotArea type="data" outline="0" fieldPosition="0">
        <references count="2">
          <reference field="4294967294" count="1" selected="0">
            <x v="0"/>
          </reference>
          <reference field="4" count="1" selected="0">
            <x v="1"/>
          </reference>
        </references>
      </pivotArea>
    </chartFormat>
    <chartFormat chart="0" format="122" series="1">
      <pivotArea type="data" outline="0" fieldPosition="0">
        <references count="2">
          <reference field="4294967294" count="1" selected="0">
            <x v="0"/>
          </reference>
          <reference field="4" count="1" selected="0">
            <x v="2"/>
          </reference>
        </references>
      </pivotArea>
    </chartFormat>
    <chartFormat chart="0" format="123" series="1">
      <pivotArea type="data" outline="0" fieldPosition="0">
        <references count="2">
          <reference field="4294967294" count="1" selected="0">
            <x v="0"/>
          </reference>
          <reference field="4" count="1" selected="0">
            <x v="3"/>
          </reference>
        </references>
      </pivotArea>
    </chartFormat>
    <chartFormat chart="0" format="124" series="1">
      <pivotArea type="data" outline="0" fieldPosition="0">
        <references count="2">
          <reference field="4294967294" count="1" selected="0">
            <x v="0"/>
          </reference>
          <reference field="4" count="1" selected="0">
            <x v="4"/>
          </reference>
        </references>
      </pivotArea>
    </chartFormat>
    <chartFormat chart="0" format="125" series="1">
      <pivotArea type="data" outline="0" fieldPosition="0">
        <references count="2">
          <reference field="4294967294" count="1" selected="0">
            <x v="0"/>
          </reference>
          <reference field="7" count="1" selected="0">
            <x v="1"/>
          </reference>
        </references>
      </pivotArea>
    </chartFormat>
    <chartFormat chart="0" format="126"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53E9BE-37E5-44D5-A603-132ABDD65396}" name="TablaDinámica64" cacheId="156"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1">
  <location ref="B86:F95" firstHeaderRow="0" firstDataRow="1" firstDataCol="2"/>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axis="axisRow" compact="0" outline="0" multipleItemSelectionAllowed="1" showAll="0" defaultSubtotal="0">
      <items count="5">
        <item x="1"/>
        <item x="3"/>
        <item x="2"/>
        <item h="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206">
        <item x="39"/>
        <item x="50"/>
        <item x="36"/>
        <item x="86"/>
        <item x="109"/>
        <item x="83"/>
        <item x="106"/>
        <item x="22"/>
        <item x="115"/>
        <item x="33"/>
        <item x="60"/>
        <item x="187"/>
        <item x="124"/>
        <item x="158"/>
        <item x="112"/>
        <item x="179"/>
        <item x="141"/>
        <item x="54"/>
        <item x="87"/>
        <item x="1"/>
        <item x="47"/>
        <item x="42"/>
        <item x="3"/>
        <item x="79"/>
        <item x="38"/>
        <item x="6"/>
        <item x="126"/>
        <item x="23"/>
        <item x="35"/>
        <item x="32"/>
        <item x="12"/>
        <item x="27"/>
        <item x="40"/>
        <item x="48"/>
        <item x="59"/>
        <item x="5"/>
        <item x="46"/>
        <item x="63"/>
        <item x="15"/>
        <item x="14"/>
        <item x="9"/>
        <item x="191"/>
        <item x="55"/>
        <item x="81"/>
        <item x="13"/>
        <item x="53"/>
        <item x="66"/>
        <item x="21"/>
        <item x="41"/>
        <item x="49"/>
        <item x="51"/>
        <item x="57"/>
        <item x="20"/>
        <item x="10"/>
        <item x="114"/>
        <item x="4"/>
        <item x="125"/>
        <item x="90"/>
        <item x="45"/>
        <item x="19"/>
        <item x="8"/>
        <item x="76"/>
        <item x="34"/>
        <item x="65"/>
        <item x="84"/>
        <item x="110"/>
        <item x="155"/>
        <item x="143"/>
        <item x="62"/>
        <item x="113"/>
        <item x="130"/>
        <item x="61"/>
        <item x="99"/>
        <item x="93"/>
        <item x="82"/>
        <item x="74"/>
        <item x="151"/>
        <item x="134"/>
        <item x="58"/>
        <item x="26"/>
        <item x="7"/>
        <item x="78"/>
        <item x="0"/>
        <item x="70"/>
        <item x="24"/>
        <item x="136"/>
        <item x="52"/>
        <item x="69"/>
        <item x="101"/>
        <item x="122"/>
        <item x="119"/>
        <item x="44"/>
        <item x="2"/>
        <item x="75"/>
        <item x="128"/>
        <item x="71"/>
        <item x="102"/>
        <item x="105"/>
        <item x="152"/>
        <item x="121"/>
        <item x="95"/>
        <item x="68"/>
        <item x="89"/>
        <item x="17"/>
        <item x="171"/>
        <item x="29"/>
        <item x="139"/>
        <item x="56"/>
        <item x="117"/>
        <item x="98"/>
        <item x="18"/>
        <item x="174"/>
        <item x="28"/>
        <item x="149"/>
        <item x="64"/>
        <item x="160"/>
        <item x="123"/>
        <item x="131"/>
        <item x="37"/>
        <item x="164"/>
        <item x="169"/>
        <item x="77"/>
        <item x="127"/>
        <item x="92"/>
        <item x="107"/>
        <item x="73"/>
        <item x="135"/>
        <item x="97"/>
        <item x="31"/>
        <item x="108"/>
        <item x="154"/>
        <item x="91"/>
        <item x="94"/>
        <item x="133"/>
        <item x="132"/>
        <item x="146"/>
        <item x="16"/>
        <item x="140"/>
        <item x="170"/>
        <item x="72"/>
        <item x="30"/>
        <item x="163"/>
        <item x="180"/>
        <item x="161"/>
        <item x="153"/>
        <item x="103"/>
        <item x="138"/>
        <item x="96"/>
        <item x="100"/>
        <item x="168"/>
        <item x="142"/>
        <item x="43"/>
        <item x="156"/>
        <item x="148"/>
        <item x="190"/>
        <item x="177"/>
        <item x="88"/>
        <item x="129"/>
        <item x="173"/>
        <item x="118"/>
        <item x="137"/>
        <item x="145"/>
        <item x="176"/>
        <item x="181"/>
        <item x="182"/>
        <item x="166"/>
        <item x="159"/>
        <item x="183"/>
        <item x="104"/>
        <item x="67"/>
        <item x="178"/>
        <item x="192"/>
        <item x="201"/>
        <item x="165"/>
        <item x="200"/>
        <item x="162"/>
        <item x="185"/>
        <item x="120"/>
        <item x="167"/>
        <item x="172"/>
        <item x="193"/>
        <item x="80"/>
        <item x="111"/>
        <item x="144"/>
        <item x="202"/>
        <item x="184"/>
        <item x="194"/>
        <item x="197"/>
        <item x="175"/>
        <item x="196"/>
        <item x="150"/>
        <item x="199"/>
        <item x="204"/>
        <item x="198"/>
        <item x="85"/>
        <item x="188"/>
        <item x="203"/>
        <item x="189"/>
        <item x="186"/>
        <item x="116"/>
        <item x="147"/>
        <item x="195"/>
        <item x="157"/>
        <item x="25"/>
        <item x="205"/>
        <item x="1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7"/>
    <field x="4"/>
  </rowFields>
  <rowItems count="9">
    <i>
      <x/>
      <x/>
    </i>
    <i r="1">
      <x v="1"/>
    </i>
    <i r="1">
      <x v="2"/>
    </i>
    <i r="1">
      <x v="4"/>
    </i>
    <i>
      <x v="1"/>
      <x/>
    </i>
    <i r="1">
      <x v="1"/>
    </i>
    <i r="1">
      <x v="2"/>
    </i>
    <i r="1">
      <x v="4"/>
    </i>
    <i t="grand">
      <x/>
    </i>
  </rowItems>
  <colFields count="1">
    <field x="-2"/>
  </colFields>
  <colItems count="3">
    <i>
      <x/>
    </i>
    <i i="1">
      <x v="1"/>
    </i>
    <i i="2">
      <x v="2"/>
    </i>
  </colItems>
  <dataFields count="3">
    <dataField name="Suma de imports-rpc" fld="37" baseField="3" baseItem="0"/>
    <dataField name="Suma de exports-rpc" fld="38" baseField="3" baseItem="0"/>
    <dataField name="Suma de balance-rpc" fld="39" baseField="3" baseItem="0"/>
  </dataFields>
  <formats count="1">
    <format dxfId="34">
      <pivotArea outline="0" collapsedLevelsAreSubtotals="1" fieldPosition="0"/>
    </format>
  </formats>
  <chartFormats count="9">
    <chartFormat chart="8" format="421" series="1">
      <pivotArea type="data" outline="0" fieldPosition="0">
        <references count="1">
          <reference field="4294967294" count="1" selected="0">
            <x v="0"/>
          </reference>
        </references>
      </pivotArea>
    </chartFormat>
    <chartFormat chart="8" format="422" series="1">
      <pivotArea type="data" outline="0" fieldPosition="0">
        <references count="1">
          <reference field="4294967294" count="1" selected="0">
            <x v="1"/>
          </reference>
        </references>
      </pivotArea>
    </chartFormat>
    <chartFormat chart="8" format="425"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B826E1-F343-400A-A200-E2ED0DE77963}" name="TablaDinámica62" cacheId="156"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0">
  <location ref="B56:F70" firstHeaderRow="0" firstDataRow="1" firstDataCol="2"/>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compact="0" outline="0" multipleItemSelectionAllowed="1" showAll="0" defaultSubtotal="0">
      <items count="5">
        <item x="1"/>
        <item x="3"/>
        <item x="2"/>
        <item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206">
        <item x="39"/>
        <item x="50"/>
        <item x="36"/>
        <item x="86"/>
        <item x="109"/>
        <item x="83"/>
        <item x="106"/>
        <item x="22"/>
        <item x="115"/>
        <item x="33"/>
        <item x="60"/>
        <item x="187"/>
        <item x="124"/>
        <item x="158"/>
        <item x="112"/>
        <item x="179"/>
        <item x="141"/>
        <item x="54"/>
        <item x="87"/>
        <item x="1"/>
        <item x="47"/>
        <item x="42"/>
        <item x="3"/>
        <item x="79"/>
        <item x="38"/>
        <item x="6"/>
        <item x="126"/>
        <item x="23"/>
        <item x="35"/>
        <item x="32"/>
        <item x="12"/>
        <item x="27"/>
        <item x="40"/>
        <item x="48"/>
        <item x="59"/>
        <item x="5"/>
        <item x="46"/>
        <item x="63"/>
        <item x="15"/>
        <item x="14"/>
        <item x="9"/>
        <item x="191"/>
        <item x="55"/>
        <item x="81"/>
        <item x="13"/>
        <item x="53"/>
        <item x="66"/>
        <item x="21"/>
        <item x="41"/>
        <item x="49"/>
        <item x="51"/>
        <item x="57"/>
        <item x="20"/>
        <item x="10"/>
        <item x="114"/>
        <item x="4"/>
        <item x="125"/>
        <item x="90"/>
        <item x="45"/>
        <item x="19"/>
        <item x="8"/>
        <item x="76"/>
        <item x="34"/>
        <item x="65"/>
        <item x="84"/>
        <item x="110"/>
        <item x="155"/>
        <item x="143"/>
        <item x="62"/>
        <item x="113"/>
        <item x="130"/>
        <item x="61"/>
        <item x="99"/>
        <item x="93"/>
        <item x="82"/>
        <item x="74"/>
        <item x="151"/>
        <item x="134"/>
        <item x="58"/>
        <item x="26"/>
        <item x="7"/>
        <item x="78"/>
        <item x="0"/>
        <item x="70"/>
        <item x="24"/>
        <item x="136"/>
        <item x="52"/>
        <item x="69"/>
        <item x="101"/>
        <item x="122"/>
        <item x="119"/>
        <item x="44"/>
        <item x="2"/>
        <item x="75"/>
        <item x="128"/>
        <item x="71"/>
        <item x="102"/>
        <item x="105"/>
        <item x="152"/>
        <item x="121"/>
        <item x="95"/>
        <item x="68"/>
        <item x="89"/>
        <item x="17"/>
        <item x="171"/>
        <item x="29"/>
        <item x="139"/>
        <item x="56"/>
        <item x="117"/>
        <item x="98"/>
        <item x="18"/>
        <item x="174"/>
        <item x="28"/>
        <item x="149"/>
        <item x="64"/>
        <item x="160"/>
        <item x="123"/>
        <item x="131"/>
        <item x="37"/>
        <item x="164"/>
        <item x="169"/>
        <item x="77"/>
        <item x="127"/>
        <item x="92"/>
        <item x="107"/>
        <item x="73"/>
        <item x="135"/>
        <item x="97"/>
        <item x="31"/>
        <item x="108"/>
        <item x="154"/>
        <item x="91"/>
        <item x="94"/>
        <item x="133"/>
        <item x="132"/>
        <item x="146"/>
        <item x="16"/>
        <item x="140"/>
        <item x="170"/>
        <item x="72"/>
        <item x="30"/>
        <item x="163"/>
        <item x="180"/>
        <item x="161"/>
        <item x="153"/>
        <item x="103"/>
        <item x="138"/>
        <item x="96"/>
        <item x="100"/>
        <item x="168"/>
        <item x="142"/>
        <item x="43"/>
        <item x="156"/>
        <item x="148"/>
        <item x="190"/>
        <item x="177"/>
        <item x="88"/>
        <item x="129"/>
        <item x="173"/>
        <item x="118"/>
        <item x="137"/>
        <item x="145"/>
        <item x="176"/>
        <item x="181"/>
        <item x="182"/>
        <item x="166"/>
        <item x="159"/>
        <item x="183"/>
        <item x="104"/>
        <item x="67"/>
        <item x="178"/>
        <item x="192"/>
        <item x="201"/>
        <item x="165"/>
        <item x="200"/>
        <item x="162"/>
        <item x="185"/>
        <item x="120"/>
        <item x="167"/>
        <item x="172"/>
        <item x="193"/>
        <item x="80"/>
        <item x="111"/>
        <item x="144"/>
        <item x="202"/>
        <item x="184"/>
        <item x="194"/>
        <item x="197"/>
        <item x="175"/>
        <item x="196"/>
        <item x="150"/>
        <item x="199"/>
        <item x="204"/>
        <item x="198"/>
        <item x="85"/>
        <item x="188"/>
        <item x="203"/>
        <item x="189"/>
        <item x="186"/>
        <item x="116"/>
        <item x="147"/>
        <item x="195"/>
        <item x="157"/>
        <item x="25"/>
        <item x="205"/>
        <item x="1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7"/>
    <field x="3"/>
  </rowFields>
  <rowItems count="14">
    <i>
      <x/>
      <x/>
    </i>
    <i r="1">
      <x v="1"/>
    </i>
    <i r="1">
      <x v="2"/>
    </i>
    <i r="1">
      <x v="3"/>
    </i>
    <i r="1">
      <x v="4"/>
    </i>
    <i r="1">
      <x v="5"/>
    </i>
    <i r="1">
      <x v="6"/>
    </i>
    <i>
      <x v="1"/>
      <x/>
    </i>
    <i r="1">
      <x v="1"/>
    </i>
    <i r="1">
      <x v="2"/>
    </i>
    <i r="1">
      <x v="3"/>
    </i>
    <i r="1">
      <x v="5"/>
    </i>
    <i r="1">
      <x v="6"/>
    </i>
    <i t="grand">
      <x/>
    </i>
  </rowItems>
  <colFields count="1">
    <field x="-2"/>
  </colFields>
  <colItems count="3">
    <i>
      <x/>
    </i>
    <i i="1">
      <x v="1"/>
    </i>
    <i i="2">
      <x v="2"/>
    </i>
  </colItems>
  <dataFields count="3">
    <dataField name="Suma de imports-rpc" fld="37" baseField="3" baseItem="0"/>
    <dataField name="Suma de exports-rpc" fld="38" baseField="3" baseItem="0"/>
    <dataField name="Suma de balance-rpc" fld="39" baseField="3" baseItem="0"/>
  </dataFields>
  <formats count="1">
    <format dxfId="35">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630902-5286-44E0-BFF7-F0A04812058D}" name="TablaDinámica50" cacheId="156"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8">
  <location ref="Q5:T28" firstHeaderRow="1" firstDataRow="2" firstDataCol="2"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16">
        <item x="125"/>
        <item x="0"/>
        <item x="187"/>
        <item x="1"/>
        <item x="189"/>
        <item x="91"/>
        <item x="186"/>
        <item x="2"/>
        <item x="3"/>
        <item x="214"/>
        <item x="77"/>
        <item x="108"/>
        <item x="69"/>
        <item x="97"/>
        <item x="195"/>
        <item x="75"/>
        <item x="141"/>
        <item x="130"/>
        <item x="4"/>
        <item x="102"/>
        <item x="5"/>
        <item x="136"/>
        <item x="137"/>
        <item x="115"/>
        <item x="100"/>
        <item x="212"/>
        <item x="6"/>
        <item x="129"/>
        <item x="74"/>
        <item x="7"/>
        <item x="8"/>
        <item x="65"/>
        <item x="183"/>
        <item x="159"/>
        <item x="208"/>
        <item x="9"/>
        <item x="10"/>
        <item x="153"/>
        <item x="175"/>
        <item x="11"/>
        <item x="114"/>
        <item x="12"/>
        <item x="165"/>
        <item x="179"/>
        <item x="13"/>
        <item x="87"/>
        <item x="134"/>
        <item x="81"/>
        <item x="85"/>
        <item x="14"/>
        <item x="68"/>
        <item x="90"/>
        <item x="98"/>
        <item x="117"/>
        <item x="15"/>
        <item x="16"/>
        <item x="171"/>
        <item x="188"/>
        <item x="17"/>
        <item x="124"/>
        <item x="76"/>
        <item x="18"/>
        <item x="19"/>
        <item x="190"/>
        <item x="71"/>
        <item x="178"/>
        <item x="198"/>
        <item x="20"/>
        <item x="103"/>
        <item x="21"/>
        <item x="112"/>
        <item x="205"/>
        <item x="168"/>
        <item x="163"/>
        <item x="22"/>
        <item x="23"/>
        <item x="24"/>
        <item x="83"/>
        <item x="170"/>
        <item x="73"/>
        <item x="120"/>
        <item x="25"/>
        <item x="70"/>
        <item x="26"/>
        <item x="139"/>
        <item x="27"/>
        <item x="199"/>
        <item x="207"/>
        <item x="192"/>
        <item x="191"/>
        <item x="152"/>
        <item x="169"/>
        <item x="194"/>
        <item x="119"/>
        <item x="167"/>
        <item x="142"/>
        <item x="200"/>
        <item x="180"/>
        <item x="28"/>
        <item x="157"/>
        <item x="104"/>
        <item x="29"/>
        <item x="166"/>
        <item x="133"/>
        <item x="197"/>
        <item x="62"/>
        <item x="30"/>
        <item x="61"/>
        <item x="82"/>
        <item x="118"/>
        <item x="31"/>
        <item x="32"/>
        <item x="132"/>
        <item x="33"/>
        <item x="105"/>
        <item x="88"/>
        <item x="204"/>
        <item x="96"/>
        <item x="116"/>
        <item x="72"/>
        <item x="34"/>
        <item x="92"/>
        <item x="99"/>
        <item x="126"/>
        <item x="35"/>
        <item x="79"/>
        <item x="151"/>
        <item x="94"/>
        <item x="110"/>
        <item x="162"/>
        <item x="158"/>
        <item x="123"/>
        <item x="36"/>
        <item x="122"/>
        <item x="185"/>
        <item x="37"/>
        <item x="128"/>
        <item x="78"/>
        <item x="146"/>
        <item x="202"/>
        <item x="38"/>
        <item x="80"/>
        <item x="39"/>
        <item x="147"/>
        <item x="143"/>
        <item x="211"/>
        <item x="40"/>
        <item x="41"/>
        <item x="113"/>
        <item x="138"/>
        <item x="42"/>
        <item x="193"/>
        <item x="182"/>
        <item x="121"/>
        <item x="156"/>
        <item x="43"/>
        <item x="150"/>
        <item x="106"/>
        <item x="209"/>
        <item x="93"/>
        <item x="44"/>
        <item x="45"/>
        <item x="46"/>
        <item x="63"/>
        <item x="47"/>
        <item x="89"/>
        <item x="203"/>
        <item x="131"/>
        <item x="164"/>
        <item x="48"/>
        <item x="140"/>
        <item x="206"/>
        <item x="49"/>
        <item x="50"/>
        <item x="107"/>
        <item x="67"/>
        <item x="51"/>
        <item x="172"/>
        <item x="135"/>
        <item x="154"/>
        <item x="173"/>
        <item x="52"/>
        <item x="145"/>
        <item x="53"/>
        <item x="176"/>
        <item x="210"/>
        <item x="127"/>
        <item x="95"/>
        <item x="111"/>
        <item x="174"/>
        <item x="160"/>
        <item x="86"/>
        <item x="84"/>
        <item x="54"/>
        <item x="109"/>
        <item x="64"/>
        <item x="177"/>
        <item x="144"/>
        <item x="55"/>
        <item x="56"/>
        <item x="149"/>
        <item x="155"/>
        <item x="201"/>
        <item x="213"/>
        <item x="215"/>
        <item x="66"/>
        <item x="148"/>
        <item x="57"/>
        <item x="58"/>
        <item x="184"/>
        <item x="196"/>
        <item x="59"/>
        <item x="60"/>
        <item x="101"/>
        <item x="181"/>
        <item x="161"/>
      </items>
      <extLst>
        <ext xmlns:x14="http://schemas.microsoft.com/office/spreadsheetml/2009/9/main" uri="{2946ED86-A175-432a-8AC1-64E0C546D7DE}">
          <x14:pivotField fillDownLabels="1"/>
        </ext>
      </extLst>
    </pivotField>
    <pivotField axis="axisRow"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axis="axisRow" compact="0" outline="0" multipleItemSelectionAllowed="1" showAll="0" defaultSubtotal="0">
      <items count="5">
        <item x="1"/>
        <item x="3"/>
        <item x="2"/>
        <item h="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3"/>
    <field x="4"/>
  </rowFields>
  <rowItems count="22">
    <i>
      <x/>
      <x/>
    </i>
    <i r="1">
      <x v="1"/>
    </i>
    <i r="1">
      <x v="2"/>
    </i>
    <i r="1">
      <x v="4"/>
    </i>
    <i>
      <x v="1"/>
      <x/>
    </i>
    <i r="1">
      <x v="2"/>
    </i>
    <i r="1">
      <x v="4"/>
    </i>
    <i>
      <x v="2"/>
      <x/>
    </i>
    <i r="1">
      <x v="2"/>
    </i>
    <i r="1">
      <x v="4"/>
    </i>
    <i>
      <x v="3"/>
      <x/>
    </i>
    <i r="1">
      <x v="1"/>
    </i>
    <i r="1">
      <x v="2"/>
    </i>
    <i r="1">
      <x v="4"/>
    </i>
    <i>
      <x v="4"/>
      <x/>
    </i>
    <i>
      <x v="5"/>
      <x v="1"/>
    </i>
    <i r="1">
      <x v="2"/>
    </i>
    <i r="1">
      <x v="4"/>
    </i>
    <i>
      <x v="6"/>
      <x/>
    </i>
    <i r="1">
      <x v="1"/>
    </i>
    <i r="1">
      <x v="2"/>
    </i>
    <i r="1">
      <x v="4"/>
    </i>
  </rowItems>
  <colFields count="1">
    <field x="7"/>
  </colFields>
  <colItems count="2">
    <i>
      <x/>
    </i>
    <i>
      <x v="1"/>
    </i>
  </colItems>
  <pageFields count="1">
    <pageField fld="2" hier="-1"/>
  </pageFields>
  <dataFields count="1">
    <dataField name="Cuenta de trade-rpc" fld="40" subtotal="count" baseField="0" baseItem="0"/>
  </dataFields>
  <formats count="1">
    <format dxfId="36">
      <pivotArea outline="0" collapsedLevelsAreSubtotals="1" fieldPosition="0"/>
    </format>
  </formats>
  <chartFormats count="2">
    <chartFormat chart="7" format="12" series="1">
      <pivotArea type="data" outline="0" fieldPosition="0">
        <references count="2">
          <reference field="4294967294" count="1" selected="0">
            <x v="0"/>
          </reference>
          <reference field="7" count="1" selected="0">
            <x v="0"/>
          </reference>
        </references>
      </pivotArea>
    </chartFormat>
    <chartFormat chart="7" format="1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63F544D-26FB-4706-89B5-802E1990DC7C}" name="TablaDinámica48" cacheId="156"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9">
  <location ref="B30:E36"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5">
        <item x="1"/>
        <item x="3"/>
        <item x="2"/>
        <item h="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5">
    <i>
      <x/>
    </i>
    <i>
      <x v="1"/>
    </i>
    <i>
      <x v="2"/>
    </i>
    <i>
      <x v="4"/>
    </i>
    <i t="grand">
      <x/>
    </i>
  </rowItems>
  <colFields count="1">
    <field x="7"/>
  </colFields>
  <colItems count="3">
    <i>
      <x/>
    </i>
    <i>
      <x v="1"/>
    </i>
    <i t="grand">
      <x/>
    </i>
  </colItems>
  <dataFields count="1">
    <dataField name="Suma de trade-rpc" fld="40" baseField="3" baseItem="0"/>
  </dataFields>
  <formats count="1">
    <format dxfId="37">
      <pivotArea outline="0" collapsedLevelsAreSubtotals="1" fieldPosition="0"/>
    </format>
  </formats>
  <chartFormats count="4">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0"/>
          </reference>
        </references>
      </pivotArea>
    </chartFormat>
    <chartFormat chart="8"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1FEE553-7A20-48D2-901D-F6B1423CAB64}" name="TablaDinámica47" cacheId="156"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8">
  <location ref="B4:E13"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4"/>
        <item x="0"/>
        <item x="1"/>
        <item x="5"/>
        <item x="2"/>
        <item x="6"/>
        <item x="3"/>
      </items>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8">
    <i>
      <x/>
    </i>
    <i>
      <x v="1"/>
    </i>
    <i>
      <x v="2"/>
    </i>
    <i>
      <x v="3"/>
    </i>
    <i>
      <x v="4"/>
    </i>
    <i>
      <x v="5"/>
    </i>
    <i>
      <x v="6"/>
    </i>
    <i t="grand">
      <x/>
    </i>
  </rowItems>
  <colFields count="1">
    <field x="7"/>
  </colFields>
  <colItems count="3">
    <i>
      <x/>
    </i>
    <i>
      <x v="1"/>
    </i>
    <i t="grand">
      <x/>
    </i>
  </colItems>
  <dataFields count="1">
    <dataField name="Suma de trade-rpc" fld="40" baseField="3" baseItem="0"/>
  </dataFields>
  <formats count="1">
    <format dxfId="38">
      <pivotArea outline="0" collapsedLevelsAreSubtotals="1" fieldPosition="0"/>
    </format>
  </formats>
  <chartFormats count="2">
    <chartFormat chart="7" format="10" series="1">
      <pivotArea type="data" outline="0" fieldPosition="0">
        <references count="2">
          <reference field="4294967294" count="1" selected="0">
            <x v="0"/>
          </reference>
          <reference field="7" count="1" selected="0">
            <x v="0"/>
          </reference>
        </references>
      </pivotArea>
    </chartFormat>
    <chartFormat chart="7"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125B1D-779A-4165-ABE0-CF8D99C161A5}" name="TablaDinámica100" cacheId="194"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3">
  <location ref="O3:S27" firstHeaderRow="1" firstDataRow="2" firstDataCol="2"/>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5"/>
        <item x="1"/>
        <item x="4"/>
        <item x="2"/>
        <item x="6"/>
        <item x="0"/>
        <item x="3"/>
      </items>
      <extLst>
        <ext xmlns:x14="http://schemas.microsoft.com/office/spreadsheetml/2009/9/main" uri="{2946ED86-A175-432a-8AC1-64E0C546D7DE}">
          <x14:pivotField fillDownLabels="1"/>
        </ext>
      </extLst>
    </pivotField>
    <pivotField axis="axisRow" compact="0" outline="0"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3"/>
    <field x="4"/>
  </rowFields>
  <rowItems count="23">
    <i>
      <x/>
      <x/>
    </i>
    <i r="1">
      <x v="1"/>
    </i>
    <i r="1">
      <x v="2"/>
    </i>
    <i r="1">
      <x v="4"/>
    </i>
    <i>
      <x v="1"/>
      <x/>
    </i>
    <i r="1">
      <x v="2"/>
    </i>
    <i r="1">
      <x v="4"/>
    </i>
    <i>
      <x v="2"/>
      <x/>
    </i>
    <i r="1">
      <x v="2"/>
    </i>
    <i r="1">
      <x v="4"/>
    </i>
    <i>
      <x v="3"/>
      <x/>
    </i>
    <i r="1">
      <x v="1"/>
    </i>
    <i r="1">
      <x v="2"/>
    </i>
    <i r="1">
      <x v="4"/>
    </i>
    <i>
      <x v="4"/>
      <x/>
    </i>
    <i>
      <x v="5"/>
      <x v="1"/>
    </i>
    <i r="1">
      <x v="2"/>
    </i>
    <i r="1">
      <x v="4"/>
    </i>
    <i>
      <x v="6"/>
      <x/>
    </i>
    <i r="1">
      <x v="1"/>
    </i>
    <i r="1">
      <x v="2"/>
    </i>
    <i r="1">
      <x v="4"/>
    </i>
    <i t="grand">
      <x/>
    </i>
  </rowItems>
  <colFields count="1">
    <field x="7"/>
  </colFields>
  <colItems count="3">
    <i>
      <x/>
    </i>
    <i>
      <x v="1"/>
    </i>
    <i t="grand">
      <x/>
    </i>
  </colItems>
  <dataFields count="1">
    <dataField name="Suma de amount-devfinance" fld="52" baseField="4" baseItem="0" numFmtId="164"/>
  </dataFields>
  <formats count="1">
    <format dxfId="2">
      <pivotArea outline="0" collapsedLevelsAreSubtotals="1" fieldPosition="0"/>
    </format>
  </formats>
  <chartFormats count="6">
    <chartFormat chart="0" format="2" series="1">
      <pivotArea type="data" outline="0" fieldPosition="0">
        <references count="1">
          <reference field="7" count="1" selected="0">
            <x v="0"/>
          </reference>
        </references>
      </pivotArea>
    </chartFormat>
    <chartFormat chart="0" format="3" series="1">
      <pivotArea type="data" outline="0" fieldPosition="0">
        <references count="1">
          <reference field="7" count="1" selected="0">
            <x v="1"/>
          </reference>
        </references>
      </pivotArea>
    </chartFormat>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19EB76F-8B07-44B8-9630-94CCA8795C23}" name="TablaDinámica94" cacheId="194"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2">
  <location ref="A19:D27"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5"/>
        <item x="1"/>
        <item x="4"/>
        <item x="2"/>
        <item h="1" x="6"/>
        <item x="0"/>
        <item x="3"/>
      </items>
      <extLst>
        <ext xmlns:x14="http://schemas.microsoft.com/office/spreadsheetml/2009/9/main" uri="{2946ED86-A175-432a-8AC1-64E0C546D7DE}">
          <x14:pivotField fillDownLabels="1"/>
        </ext>
      </extLst>
    </pivotField>
    <pivotField compact="0" outline="0"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7">
    <i>
      <x/>
    </i>
    <i>
      <x v="1"/>
    </i>
    <i>
      <x v="2"/>
    </i>
    <i>
      <x v="3"/>
    </i>
    <i>
      <x v="5"/>
    </i>
    <i>
      <x v="6"/>
    </i>
    <i t="grand">
      <x/>
    </i>
  </rowItems>
  <colFields count="1">
    <field x="7"/>
  </colFields>
  <colItems count="3">
    <i>
      <x/>
    </i>
    <i>
      <x v="1"/>
    </i>
    <i t="grand">
      <x/>
    </i>
  </colItems>
  <dataFields count="1">
    <dataField name="Suma de amount-devfinance" fld="52" baseField="4" baseItem="0" numFmtId="164"/>
  </dataFields>
  <formats count="1">
    <format dxfId="27">
      <pivotArea outline="0" collapsedLevelsAreSubtotals="1" fieldPosition="0"/>
    </format>
  </formats>
  <chartFormats count="4">
    <chartFormat chart="0" format="2" series="1">
      <pivotArea type="data" outline="0" fieldPosition="0">
        <references count="1">
          <reference field="7" count="1" selected="0">
            <x v="0"/>
          </reference>
        </references>
      </pivotArea>
    </chartFormat>
    <chartFormat chart="0" format="3" series="1">
      <pivotArea type="data" outline="0" fieldPosition="0">
        <references count="1">
          <reference field="7" count="1" selected="0">
            <x v="1"/>
          </reference>
        </references>
      </pivotArea>
    </chartFormat>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20A6A6B-F924-4520-8830-5DE32E2945C7}" name="TablaDinámica93" cacheId="194"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
  <location ref="A3:D9"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5">
    <i>
      <x/>
    </i>
    <i>
      <x v="1"/>
    </i>
    <i>
      <x v="2"/>
    </i>
    <i>
      <x v="4"/>
    </i>
    <i t="grand">
      <x/>
    </i>
  </rowItems>
  <colFields count="1">
    <field x="7"/>
  </colFields>
  <colItems count="3">
    <i>
      <x/>
    </i>
    <i>
      <x v="1"/>
    </i>
    <i t="grand">
      <x/>
    </i>
  </colItems>
  <dataFields count="1">
    <dataField name="Suma de amount-devfinance" fld="52" baseField="4" baseItem="0" numFmtId="164"/>
  </dataFields>
  <formats count="1">
    <format dxfId="30">
      <pivotArea outline="0" collapsedLevelsAreSubtotals="1" fieldPosition="0"/>
    </format>
  </formats>
  <chartFormats count="2">
    <chartFormat chart="0" format="2" series="1">
      <pivotArea type="data" outline="0" fieldPosition="0">
        <references count="1">
          <reference field="7" count="1" selected="0">
            <x v="0"/>
          </reference>
        </references>
      </pivotArea>
    </chartFormat>
    <chartFormat chart="0" format="3" series="1">
      <pivotArea type="data" outline="0" fieldPosition="0">
        <references count="1">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4.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291E-9A87-46A2-87CD-FE8A81897794}">
  <dimension ref="A1:BM217"/>
  <sheetViews>
    <sheetView zoomScale="70" zoomScaleNormal="70" workbookViewId="0">
      <pane xSplit="3" topLeftCell="J1" activePane="topRight" state="frozen"/>
      <selection pane="topRight" activeCell="R4" sqref="R4"/>
    </sheetView>
  </sheetViews>
  <sheetFormatPr baseColWidth="10" defaultRowHeight="14.5" x14ac:dyDescent="0.35"/>
  <cols>
    <col min="1" max="1" width="4.6328125" style="2" bestFit="1" customWidth="1"/>
    <col min="2" max="2" width="10.90625" style="2"/>
    <col min="3" max="3" width="23.81640625" style="2" customWidth="1"/>
    <col min="4" max="4" width="23.08984375" style="2" bestFit="1" customWidth="1"/>
    <col min="5" max="5" width="18.81640625" style="2" bestFit="1" customWidth="1"/>
    <col min="6" max="7" width="9.453125" style="2" customWidth="1"/>
    <col min="8" max="8" width="9.81640625" style="2" bestFit="1" customWidth="1"/>
    <col min="9" max="9" width="11.1796875" style="2" bestFit="1" customWidth="1"/>
    <col min="10" max="10" width="16.90625" style="2" bestFit="1" customWidth="1"/>
    <col min="11" max="11" width="15.1796875" style="2" bestFit="1" customWidth="1"/>
    <col min="12" max="12" width="18.36328125" style="4" bestFit="1" customWidth="1"/>
    <col min="13" max="13" width="12.81640625" style="2" bestFit="1" customWidth="1"/>
    <col min="14" max="14" width="19.81640625" style="2" bestFit="1" customWidth="1"/>
    <col min="15" max="15" width="12.81640625" style="2" bestFit="1" customWidth="1"/>
    <col min="16" max="16" width="18.90625" style="2" bestFit="1" customWidth="1"/>
    <col min="17" max="17" width="13.453125" style="2" bestFit="1" customWidth="1"/>
    <col min="18" max="18" width="18.90625" style="2" customWidth="1"/>
    <col min="19" max="20" width="17.08984375" style="18" bestFit="1" customWidth="1"/>
    <col min="21" max="21" width="18.54296875" style="18" bestFit="1" customWidth="1"/>
    <col min="22" max="26" width="18.54296875" style="18" customWidth="1"/>
    <col min="27" max="27" width="15.1796875" style="2" customWidth="1"/>
    <col min="28" max="28" width="14.36328125" style="2" customWidth="1"/>
    <col min="29" max="29" width="16.81640625" style="2" customWidth="1"/>
    <col min="30" max="30" width="13.36328125" style="2" customWidth="1"/>
    <col min="31" max="31" width="16.6328125" style="2" customWidth="1"/>
    <col min="32" max="32" width="13.7265625" style="2" customWidth="1"/>
    <col min="33" max="33" width="16.7265625" style="2" customWidth="1"/>
    <col min="34" max="34" width="16.36328125" style="18" customWidth="1"/>
    <col min="35" max="35" width="18.54296875" style="2" bestFit="1" customWidth="1"/>
    <col min="36" max="36" width="17.08984375" style="18" bestFit="1" customWidth="1"/>
    <col min="37" max="37" width="17.08984375" style="18" customWidth="1"/>
    <col min="38" max="40" width="15.7265625" style="2" bestFit="1" customWidth="1"/>
    <col min="41" max="41" width="15.81640625" style="2" bestFit="1" customWidth="1"/>
    <col min="42" max="43" width="18.36328125" style="2" bestFit="1" customWidth="1"/>
    <col min="44" max="44" width="19.90625" style="2" bestFit="1" customWidth="1"/>
    <col min="45" max="45" width="18.36328125" style="2" bestFit="1" customWidth="1"/>
    <col min="46" max="47" width="18.36328125" style="4" customWidth="1"/>
    <col min="48" max="48" width="20.453125" style="4" bestFit="1" customWidth="1"/>
    <col min="49" max="49" width="20.26953125" style="4" bestFit="1" customWidth="1"/>
    <col min="50" max="50" width="15.26953125" style="2" bestFit="1" customWidth="1"/>
    <col min="51" max="51" width="16.453125" style="2" bestFit="1" customWidth="1"/>
    <col min="52" max="52" width="17.36328125" style="2" customWidth="1"/>
    <col min="53" max="53" width="20.08984375" style="2" bestFit="1" customWidth="1"/>
    <col min="54" max="54" width="14.26953125" style="2" bestFit="1" customWidth="1"/>
    <col min="55" max="55" width="17.26953125" style="2" bestFit="1" customWidth="1"/>
    <col min="56" max="56" width="13.6328125" style="2" bestFit="1" customWidth="1"/>
    <col min="57" max="57" width="15.7265625" style="2" bestFit="1" customWidth="1"/>
    <col min="58" max="58" width="16.08984375" style="2" bestFit="1" customWidth="1"/>
    <col min="59" max="59" width="15.81640625" style="2" bestFit="1" customWidth="1"/>
    <col min="60" max="60" width="18.1796875" style="2" bestFit="1" customWidth="1"/>
    <col min="61" max="61" width="13.26953125" style="2" customWidth="1"/>
    <col min="62" max="62" width="10.90625" style="2" customWidth="1"/>
    <col min="63" max="63" width="13.1796875" style="2" customWidth="1"/>
    <col min="64" max="64" width="14.36328125" style="17" bestFit="1" customWidth="1"/>
    <col min="65" max="65" width="20.36328125" style="2" bestFit="1" customWidth="1"/>
    <col min="66" max="16384" width="10.90625" style="2"/>
  </cols>
  <sheetData>
    <row r="1" spans="1:65" x14ac:dyDescent="0.35">
      <c r="A1" s="1" t="s">
        <v>151</v>
      </c>
      <c r="B1" s="9" t="s">
        <v>443</v>
      </c>
      <c r="C1" s="25" t="s">
        <v>128</v>
      </c>
      <c r="D1" s="1" t="s">
        <v>129</v>
      </c>
      <c r="E1" s="1" t="s">
        <v>130</v>
      </c>
      <c r="F1" s="1" t="s">
        <v>238</v>
      </c>
      <c r="G1" s="1" t="s">
        <v>241</v>
      </c>
      <c r="H1" s="1" t="s">
        <v>150</v>
      </c>
      <c r="I1" s="1" t="s">
        <v>131</v>
      </c>
      <c r="J1" s="1" t="s">
        <v>218</v>
      </c>
      <c r="K1" s="1" t="s">
        <v>217</v>
      </c>
      <c r="L1" s="6" t="s">
        <v>216</v>
      </c>
      <c r="M1" s="1" t="s">
        <v>233</v>
      </c>
      <c r="N1" s="1" t="s">
        <v>482</v>
      </c>
      <c r="O1" s="1" t="s">
        <v>234</v>
      </c>
      <c r="P1" s="1" t="s">
        <v>483</v>
      </c>
      <c r="Q1" s="1" t="s">
        <v>235</v>
      </c>
      <c r="R1" s="1" t="s">
        <v>236</v>
      </c>
      <c r="S1" s="1" t="s">
        <v>516</v>
      </c>
      <c r="T1" s="1" t="s">
        <v>515</v>
      </c>
      <c r="U1" s="1" t="s">
        <v>514</v>
      </c>
      <c r="V1" s="1" t="s">
        <v>523</v>
      </c>
      <c r="W1" s="1" t="s">
        <v>522</v>
      </c>
      <c r="X1" s="1" t="s">
        <v>513</v>
      </c>
      <c r="Y1" s="1" t="s">
        <v>528</v>
      </c>
      <c r="Z1" s="1" t="s">
        <v>529</v>
      </c>
      <c r="AA1" s="1" t="s">
        <v>228</v>
      </c>
      <c r="AB1" s="1" t="s">
        <v>226</v>
      </c>
      <c r="AC1" s="1" t="s">
        <v>485</v>
      </c>
      <c r="AD1" s="1" t="s">
        <v>225</v>
      </c>
      <c r="AE1" s="1" t="s">
        <v>486</v>
      </c>
      <c r="AF1" s="1" t="s">
        <v>488</v>
      </c>
      <c r="AG1" s="1" t="s">
        <v>487</v>
      </c>
      <c r="AH1" s="1" t="s">
        <v>497</v>
      </c>
      <c r="AI1" s="1" t="s">
        <v>229</v>
      </c>
      <c r="AJ1" s="1" t="s">
        <v>511</v>
      </c>
      <c r="AK1" s="1" t="s">
        <v>512</v>
      </c>
      <c r="AL1" s="1" t="s">
        <v>499</v>
      </c>
      <c r="AM1" s="1" t="s">
        <v>500</v>
      </c>
      <c r="AN1" s="1" t="s">
        <v>501</v>
      </c>
      <c r="AO1" s="1" t="s">
        <v>502</v>
      </c>
      <c r="AP1" s="1" t="s">
        <v>503</v>
      </c>
      <c r="AQ1" s="1" t="s">
        <v>504</v>
      </c>
      <c r="AR1" s="1" t="s">
        <v>505</v>
      </c>
      <c r="AS1" s="1" t="s">
        <v>506</v>
      </c>
      <c r="AT1" s="1" t="s">
        <v>507</v>
      </c>
      <c r="AU1" s="1" t="s">
        <v>508</v>
      </c>
      <c r="AV1" s="1" t="s">
        <v>531</v>
      </c>
      <c r="AW1" s="1" t="s">
        <v>532</v>
      </c>
      <c r="AX1" s="1" t="s">
        <v>509</v>
      </c>
      <c r="AY1" s="1" t="s">
        <v>521</v>
      </c>
      <c r="AZ1" s="1" t="s">
        <v>489</v>
      </c>
      <c r="BA1" s="23" t="s">
        <v>490</v>
      </c>
      <c r="BB1" s="23" t="s">
        <v>494</v>
      </c>
      <c r="BC1" s="23" t="s">
        <v>491</v>
      </c>
      <c r="BD1" s="23" t="s">
        <v>492</v>
      </c>
      <c r="BE1" s="23" t="s">
        <v>493</v>
      </c>
      <c r="BF1" s="23" t="s">
        <v>495</v>
      </c>
      <c r="BG1" s="23" t="s">
        <v>496</v>
      </c>
      <c r="BH1" s="23" t="s">
        <v>520</v>
      </c>
      <c r="BI1" s="23" t="s">
        <v>519</v>
      </c>
      <c r="BJ1" s="23" t="s">
        <v>518</v>
      </c>
      <c r="BK1" s="23" t="s">
        <v>517</v>
      </c>
      <c r="BL1" s="23" t="s">
        <v>533</v>
      </c>
      <c r="BM1" s="23" t="s">
        <v>534</v>
      </c>
    </row>
    <row r="2" spans="1:65" x14ac:dyDescent="0.35">
      <c r="A2" s="2">
        <v>1</v>
      </c>
      <c r="B2" t="s">
        <v>242</v>
      </c>
      <c r="C2" s="3" t="s">
        <v>0</v>
      </c>
      <c r="D2" s="17" t="s">
        <v>1</v>
      </c>
      <c r="E2" s="17" t="s">
        <v>2</v>
      </c>
      <c r="F2" s="2">
        <v>2</v>
      </c>
      <c r="G2" s="2">
        <v>0</v>
      </c>
      <c r="H2" s="2">
        <v>1</v>
      </c>
      <c r="I2" s="18">
        <v>2013</v>
      </c>
      <c r="J2" s="2">
        <v>0</v>
      </c>
      <c r="K2" s="2" t="s">
        <v>152</v>
      </c>
      <c r="L2" s="4">
        <v>19291104007.613544</v>
      </c>
      <c r="M2" s="2">
        <v>2</v>
      </c>
      <c r="N2" s="4">
        <v>3270000000</v>
      </c>
      <c r="O2" s="2">
        <v>1</v>
      </c>
      <c r="P2" s="4">
        <v>210000000</v>
      </c>
      <c r="Q2" s="2">
        <v>3</v>
      </c>
      <c r="R2" s="4">
        <v>3480000000</v>
      </c>
      <c r="S2" s="5">
        <f t="shared" ref="S2:S65" si="0">IFERROR(N2/L2,0)</f>
        <v>0.16950818360159386</v>
      </c>
      <c r="T2" s="5">
        <f t="shared" ref="T2:T65" si="1">IFERROR(P2/L2,0)</f>
        <v>1.0885846653313368E-2</v>
      </c>
      <c r="U2" s="5">
        <f t="shared" ref="U2:U65" si="2">IFERROR(R2/L2,0)</f>
        <v>0.18039403025490724</v>
      </c>
      <c r="V2" s="26">
        <f t="shared" ref="V2:V65" si="3">IFERROR(N2/SUM($N$2:$N$217),0)</f>
        <v>2.4355183483163643E-3</v>
      </c>
      <c r="W2" s="26">
        <f t="shared" ref="W2:W65" si="4">IFERROR(P2/SUM($P$2:$P$217),0)</f>
        <v>2.6410443443921825E-4</v>
      </c>
      <c r="X2" s="26">
        <f t="shared" ref="X2:X65" si="5">IFERROR(R2/SUM($R$2:$R$217),0)</f>
        <v>1.6240205709272318E-3</v>
      </c>
      <c r="Y2" s="26">
        <f t="shared" ref="Y2:Y65" si="6">R2/17</f>
        <v>204705882.35294119</v>
      </c>
      <c r="Z2" s="26">
        <f t="shared" ref="Z2:Z65" si="7">IFERROR(Y2/L2,0)</f>
        <v>1.0611413544406308E-2</v>
      </c>
      <c r="AA2" s="2">
        <v>1</v>
      </c>
      <c r="AB2" s="18">
        <v>0</v>
      </c>
      <c r="AC2" s="4">
        <v>0</v>
      </c>
      <c r="AD2" s="18">
        <v>0</v>
      </c>
      <c r="AE2" s="4">
        <v>0</v>
      </c>
      <c r="AF2" s="2">
        <v>0</v>
      </c>
      <c r="AG2" s="4">
        <v>0</v>
      </c>
      <c r="AH2" s="28">
        <f t="shared" ref="AH2:AH65" si="8">IFERROR(AB2+AD2+AF2,0)</f>
        <v>0</v>
      </c>
      <c r="AI2" s="4">
        <f t="shared" ref="AI2:AI27" si="9">IFERROR(AC2+AE2,"na")</f>
        <v>0</v>
      </c>
      <c r="AJ2" s="26">
        <f>IFERROR(AI2/L2,0)</f>
        <v>0</v>
      </c>
      <c r="AK2" s="26">
        <f t="shared" ref="AK2:AK65" si="10">IFERROR(AI2/SUM($AI$2:$AI$217),"na")</f>
        <v>0</v>
      </c>
      <c r="AL2" s="4">
        <v>1156686</v>
      </c>
      <c r="AM2" s="4">
        <v>31002</v>
      </c>
      <c r="AN2" s="12">
        <f t="shared" ref="AN2:AN65" si="11">IFERROR(AM2-AL2,"na")</f>
        <v>-1125684</v>
      </c>
      <c r="AO2" s="12">
        <f t="shared" ref="AO2:AO65" si="12">IFERROR(AL2+AM2,"na")</f>
        <v>1187688</v>
      </c>
      <c r="AP2" s="8">
        <v>6776781000</v>
      </c>
      <c r="AQ2" s="8">
        <v>863833000</v>
      </c>
      <c r="AR2" s="13">
        <f t="shared" ref="AR2:AR65" si="13">IFERROR(AQ2-AP2,"na")</f>
        <v>-5912948000</v>
      </c>
      <c r="AS2" s="13">
        <f t="shared" ref="AS2:AS65" si="14">IFERROR(AP2+AQ2,"na")</f>
        <v>7640614000</v>
      </c>
      <c r="AT2" s="5">
        <f t="shared" ref="AT2:AT40" si="15">IFERROR(AL2/AP2,"na")</f>
        <v>1.7068369185901095E-4</v>
      </c>
      <c r="AU2" s="5">
        <f t="shared" ref="AU2:AU40" si="16">IFERROR(AM2/AQ2,"na")</f>
        <v>3.5888881299973489E-5</v>
      </c>
      <c r="AV2" s="5">
        <f t="shared" ref="AV2:AV65" si="17">IFERROR((AL2/2498569866000)/AT2,"na")</f>
        <v>2.7122639603626756E-3</v>
      </c>
      <c r="AW2" s="5">
        <f t="shared" ref="AW2:AW65" si="18">IFERROR((AM2/2068950255000)/AU2,"na")</f>
        <v>4.1752236329142676E-4</v>
      </c>
      <c r="AX2" s="5">
        <f t="shared" ref="AX2:AX40" si="19">IFERROR(AO2/AS2,"na")</f>
        <v>1.5544405200943276E-4</v>
      </c>
      <c r="AY2" s="10">
        <f t="shared" ref="AY2:AY40" si="20">IFERROR(AO2/L2,"na")</f>
        <v>6.1566616380859276E-5</v>
      </c>
      <c r="AZ2" s="24">
        <v>123</v>
      </c>
      <c r="BA2" s="19">
        <v>1522264756.7167196</v>
      </c>
      <c r="BB2" s="17">
        <v>113</v>
      </c>
      <c r="BC2" s="19">
        <v>1454135259.3851943</v>
      </c>
      <c r="BD2" s="17">
        <v>6</v>
      </c>
      <c r="BE2" s="19">
        <v>18129497.3315253</v>
      </c>
      <c r="BF2" s="17">
        <v>4</v>
      </c>
      <c r="BG2" s="19">
        <v>50000000</v>
      </c>
      <c r="BH2" s="26">
        <f t="shared" ref="BH2:BH65" si="21">IFERROR(BA2/L2,0)</f>
        <v>7.8910193844579007E-2</v>
      </c>
      <c r="BI2" s="26">
        <f t="shared" ref="BI2:BI65" si="22">IFERROR(BC2/L2,0)</f>
        <v>7.5378540223063256E-2</v>
      </c>
      <c r="BJ2" s="26">
        <f t="shared" ref="BJ2:BJ65" si="23">IFERROR(BE2/L2,0)</f>
        <v>9.3978537072684912E-4</v>
      </c>
      <c r="BK2" s="26">
        <f t="shared" ref="BK2:BK65" si="24">IFERROR(BG2/L2,0)</f>
        <v>2.5918682507888972E-3</v>
      </c>
      <c r="BL2" s="34">
        <f>IFERROR(BA2/17,0)</f>
        <v>89544985.689218804</v>
      </c>
      <c r="BM2" s="35">
        <f>IFERROR(BL2/L2,0)</f>
        <v>4.6417761085046473E-3</v>
      </c>
    </row>
    <row r="3" spans="1:65" x14ac:dyDescent="0.35">
      <c r="A3" s="2">
        <v>2</v>
      </c>
      <c r="B3" t="s">
        <v>243</v>
      </c>
      <c r="C3" s="3" t="s">
        <v>3</v>
      </c>
      <c r="D3" s="17" t="s">
        <v>4</v>
      </c>
      <c r="E3" s="17" t="s">
        <v>5</v>
      </c>
      <c r="F3" s="2">
        <v>1</v>
      </c>
      <c r="G3" s="2">
        <v>0</v>
      </c>
      <c r="H3" s="2">
        <v>1</v>
      </c>
      <c r="I3" s="18">
        <v>2017</v>
      </c>
      <c r="J3" s="2">
        <v>0</v>
      </c>
      <c r="K3" s="2" t="s">
        <v>152</v>
      </c>
      <c r="L3" s="4">
        <v>15286612572.689501</v>
      </c>
      <c r="M3" s="2">
        <v>0</v>
      </c>
      <c r="N3" s="4">
        <v>0</v>
      </c>
      <c r="O3" s="2">
        <v>0</v>
      </c>
      <c r="P3" s="4">
        <v>0</v>
      </c>
      <c r="Q3" s="2">
        <v>0</v>
      </c>
      <c r="R3" s="4">
        <v>0</v>
      </c>
      <c r="S3" s="5">
        <f t="shared" si="0"/>
        <v>0</v>
      </c>
      <c r="T3" s="15">
        <f t="shared" si="1"/>
        <v>0</v>
      </c>
      <c r="U3" s="5">
        <f t="shared" si="2"/>
        <v>0</v>
      </c>
      <c r="V3" s="26">
        <f t="shared" si="3"/>
        <v>0</v>
      </c>
      <c r="W3" s="26">
        <f t="shared" si="4"/>
        <v>0</v>
      </c>
      <c r="X3" s="26">
        <f t="shared" si="5"/>
        <v>0</v>
      </c>
      <c r="Y3" s="26">
        <f t="shared" si="6"/>
        <v>0</v>
      </c>
      <c r="Z3" s="26">
        <f t="shared" si="7"/>
        <v>0</v>
      </c>
      <c r="AA3" s="2">
        <v>0</v>
      </c>
      <c r="AB3" s="2" t="s">
        <v>152</v>
      </c>
      <c r="AC3" s="4" t="s">
        <v>152</v>
      </c>
      <c r="AD3" s="2" t="s">
        <v>152</v>
      </c>
      <c r="AE3" s="4" t="s">
        <v>152</v>
      </c>
      <c r="AF3" s="2" t="s">
        <v>152</v>
      </c>
      <c r="AG3" s="4" t="s">
        <v>152</v>
      </c>
      <c r="AH3" s="28">
        <f t="shared" si="8"/>
        <v>0</v>
      </c>
      <c r="AI3" s="4" t="str">
        <f t="shared" si="9"/>
        <v>na</v>
      </c>
      <c r="AJ3" s="26" t="str">
        <f t="shared" ref="AJ3:AJ66" si="25">IFERROR(AI3/L3,"na")</f>
        <v>na</v>
      </c>
      <c r="AK3" s="26" t="str">
        <f t="shared" si="10"/>
        <v>na</v>
      </c>
      <c r="AL3" s="4">
        <v>543620000</v>
      </c>
      <c r="AM3" s="4">
        <v>56526000</v>
      </c>
      <c r="AN3" s="12">
        <f t="shared" si="11"/>
        <v>-487094000</v>
      </c>
      <c r="AO3" s="12">
        <f t="shared" si="12"/>
        <v>600146000</v>
      </c>
      <c r="AP3" s="8">
        <v>5908003000</v>
      </c>
      <c r="AQ3" s="8">
        <v>2719429000</v>
      </c>
      <c r="AR3" s="13">
        <f t="shared" si="13"/>
        <v>-3188574000</v>
      </c>
      <c r="AS3" s="13">
        <f t="shared" si="14"/>
        <v>8627432000</v>
      </c>
      <c r="AT3" s="5">
        <f t="shared" si="15"/>
        <v>9.201417128596584E-2</v>
      </c>
      <c r="AU3" s="5">
        <f t="shared" si="16"/>
        <v>2.0785981174724546E-2</v>
      </c>
      <c r="AV3" s="5">
        <f t="shared" si="17"/>
        <v>2.364553851543169E-3</v>
      </c>
      <c r="AW3" s="5">
        <f t="shared" si="18"/>
        <v>1.3144003793363317E-3</v>
      </c>
      <c r="AX3" s="5">
        <f t="shared" si="19"/>
        <v>6.9562530310293955E-2</v>
      </c>
      <c r="AY3" s="10">
        <f t="shared" si="20"/>
        <v>3.9259580704766386E-2</v>
      </c>
      <c r="AZ3" s="24">
        <v>47</v>
      </c>
      <c r="BA3" s="19">
        <v>665510361.43426514</v>
      </c>
      <c r="BB3" s="17">
        <v>30</v>
      </c>
      <c r="BC3" s="19">
        <v>27696475.729804792</v>
      </c>
      <c r="BD3" s="17">
        <v>15</v>
      </c>
      <c r="BE3" s="19">
        <v>551351018.66711462</v>
      </c>
      <c r="BF3" s="17">
        <v>2</v>
      </c>
      <c r="BG3" s="19">
        <v>86462867.037345707</v>
      </c>
      <c r="BH3" s="26">
        <f t="shared" si="21"/>
        <v>4.3535502602011479E-2</v>
      </c>
      <c r="BI3" s="26">
        <f t="shared" si="22"/>
        <v>1.8118124992116498E-3</v>
      </c>
      <c r="BJ3" s="26">
        <f t="shared" si="23"/>
        <v>3.6067573247204422E-2</v>
      </c>
      <c r="BK3" s="26">
        <f t="shared" si="24"/>
        <v>5.6561168555954036E-3</v>
      </c>
      <c r="BL3" s="34">
        <f>IFERROR(BA3/17,0)</f>
        <v>39147668.319662653</v>
      </c>
      <c r="BM3" s="35">
        <f t="shared" ref="BM3:BM66" si="26">IFERROR(BL3/L3,0)</f>
        <v>2.560911917765381E-3</v>
      </c>
    </row>
    <row r="4" spans="1:65" x14ac:dyDescent="0.35">
      <c r="A4" s="2">
        <v>3</v>
      </c>
      <c r="B4" t="s">
        <v>244</v>
      </c>
      <c r="C4" s="3" t="s">
        <v>6</v>
      </c>
      <c r="D4" s="17" t="s">
        <v>7</v>
      </c>
      <c r="E4" s="17" t="s">
        <v>10</v>
      </c>
      <c r="F4" s="2">
        <v>3</v>
      </c>
      <c r="G4" s="2">
        <v>0</v>
      </c>
      <c r="H4" s="2">
        <v>1</v>
      </c>
      <c r="I4" s="2">
        <v>2018</v>
      </c>
      <c r="J4" s="2">
        <v>0</v>
      </c>
      <c r="K4" s="2" t="s">
        <v>152</v>
      </c>
      <c r="L4" s="4">
        <v>171157803367.47278</v>
      </c>
      <c r="M4" s="2">
        <v>21</v>
      </c>
      <c r="N4" s="4">
        <v>16220000000</v>
      </c>
      <c r="O4" s="2">
        <v>19</v>
      </c>
      <c r="P4" s="4">
        <v>8390000000</v>
      </c>
      <c r="Q4" s="2">
        <v>40</v>
      </c>
      <c r="R4" s="4">
        <v>24610000000</v>
      </c>
      <c r="S4" s="5">
        <f t="shared" si="0"/>
        <v>9.4766348252179583E-2</v>
      </c>
      <c r="T4" s="5">
        <f t="shared" si="1"/>
        <v>4.9019091358556512E-2</v>
      </c>
      <c r="U4" s="5">
        <f t="shared" si="2"/>
        <v>0.14378543961073609</v>
      </c>
      <c r="V4" s="26">
        <f t="shared" si="3"/>
        <v>1.2080766853116645E-2</v>
      </c>
      <c r="W4" s="26">
        <f t="shared" si="4"/>
        <v>1.0551600975928768E-2</v>
      </c>
      <c r="X4" s="26">
        <f t="shared" si="5"/>
        <v>1.1484812140953786E-2</v>
      </c>
      <c r="Y4" s="26">
        <f t="shared" si="6"/>
        <v>1447647058.8235295</v>
      </c>
      <c r="Z4" s="26">
        <f t="shared" si="7"/>
        <v>8.4579670359256533E-3</v>
      </c>
      <c r="AA4" s="2">
        <v>2</v>
      </c>
      <c r="AB4" s="18">
        <v>0</v>
      </c>
      <c r="AC4" s="4">
        <v>0</v>
      </c>
      <c r="AD4" s="2">
        <v>0</v>
      </c>
      <c r="AE4" s="4">
        <v>0</v>
      </c>
      <c r="AF4" s="2">
        <v>0</v>
      </c>
      <c r="AG4" s="4">
        <v>0</v>
      </c>
      <c r="AH4" s="28">
        <f t="shared" si="8"/>
        <v>0</v>
      </c>
      <c r="AI4" s="4">
        <f t="shared" si="9"/>
        <v>0</v>
      </c>
      <c r="AJ4" s="26">
        <f t="shared" si="25"/>
        <v>0</v>
      </c>
      <c r="AK4" s="26">
        <f t="shared" si="10"/>
        <v>0</v>
      </c>
      <c r="AL4" s="14">
        <v>6945571000</v>
      </c>
      <c r="AM4" s="14">
        <v>1141660000</v>
      </c>
      <c r="AN4" s="12">
        <f t="shared" si="11"/>
        <v>-5803911000</v>
      </c>
      <c r="AO4" s="12">
        <f t="shared" si="12"/>
        <v>8087231000</v>
      </c>
      <c r="AP4" s="8">
        <v>42521470000</v>
      </c>
      <c r="AQ4" s="8">
        <v>36767788000</v>
      </c>
      <c r="AR4" s="13">
        <f t="shared" si="13"/>
        <v>-5753682000</v>
      </c>
      <c r="AS4" s="13">
        <f t="shared" si="14"/>
        <v>79289258000</v>
      </c>
      <c r="AT4" s="5">
        <f t="shared" si="15"/>
        <v>0.16334268311984509</v>
      </c>
      <c r="AU4" s="5">
        <f t="shared" si="16"/>
        <v>3.1050548920702001E-2</v>
      </c>
      <c r="AV4" s="5">
        <f t="shared" si="17"/>
        <v>1.7018323393163025E-2</v>
      </c>
      <c r="AW4" s="5">
        <f t="shared" si="18"/>
        <v>1.7771228627244111E-2</v>
      </c>
      <c r="AX4" s="5">
        <f t="shared" si="19"/>
        <v>0.10199655292523989</v>
      </c>
      <c r="AY4" s="10">
        <f t="shared" si="20"/>
        <v>4.7250144842282522E-2</v>
      </c>
      <c r="AZ4" s="24">
        <v>40</v>
      </c>
      <c r="BA4" s="19">
        <v>3648671293.308445</v>
      </c>
      <c r="BB4" s="17">
        <v>34</v>
      </c>
      <c r="BC4" s="19">
        <v>300781939.017712</v>
      </c>
      <c r="BD4" s="17">
        <v>5</v>
      </c>
      <c r="BE4" s="19">
        <v>3347889354.2907329</v>
      </c>
      <c r="BF4" s="17">
        <v>1</v>
      </c>
      <c r="BG4" s="19">
        <v>0</v>
      </c>
      <c r="BH4" s="26">
        <f t="shared" si="21"/>
        <v>2.1317586586892635E-2</v>
      </c>
      <c r="BI4" s="26">
        <f t="shared" si="22"/>
        <v>1.7573369901922526E-3</v>
      </c>
      <c r="BJ4" s="26">
        <f t="shared" si="23"/>
        <v>1.9560249596700382E-2</v>
      </c>
      <c r="BK4" s="26">
        <f t="shared" si="24"/>
        <v>0</v>
      </c>
      <c r="BL4" s="34">
        <f>IFERROR(BA4/17,0)</f>
        <v>214627723.13579088</v>
      </c>
      <c r="BM4" s="35">
        <f t="shared" si="26"/>
        <v>1.2539756815819199E-3</v>
      </c>
    </row>
    <row r="5" spans="1:65" x14ac:dyDescent="0.35">
      <c r="A5" s="18">
        <v>4</v>
      </c>
      <c r="B5" t="s">
        <v>245</v>
      </c>
      <c r="C5" s="3" t="s">
        <v>189</v>
      </c>
      <c r="D5" s="17" t="s">
        <v>4</v>
      </c>
      <c r="E5" s="17" t="s">
        <v>13</v>
      </c>
      <c r="F5" s="2">
        <v>0</v>
      </c>
      <c r="G5" s="2">
        <v>0</v>
      </c>
      <c r="H5" s="2">
        <v>0</v>
      </c>
      <c r="I5" s="3" t="s">
        <v>152</v>
      </c>
      <c r="J5" s="2">
        <v>0</v>
      </c>
      <c r="K5" s="2" t="s">
        <v>152</v>
      </c>
      <c r="L5" s="4">
        <v>3155065487.5181909</v>
      </c>
      <c r="M5" s="2">
        <v>0</v>
      </c>
      <c r="N5" s="4">
        <v>0</v>
      </c>
      <c r="O5" s="2">
        <v>0</v>
      </c>
      <c r="P5" s="4">
        <v>0</v>
      </c>
      <c r="Q5" s="2">
        <v>0</v>
      </c>
      <c r="R5" s="4">
        <v>0</v>
      </c>
      <c r="S5" s="5">
        <f t="shared" si="0"/>
        <v>0</v>
      </c>
      <c r="T5" s="15">
        <f t="shared" si="1"/>
        <v>0</v>
      </c>
      <c r="U5" s="5">
        <f t="shared" si="2"/>
        <v>0</v>
      </c>
      <c r="V5" s="26">
        <f t="shared" si="3"/>
        <v>0</v>
      </c>
      <c r="W5" s="26">
        <f t="shared" si="4"/>
        <v>0</v>
      </c>
      <c r="X5" s="26">
        <f t="shared" si="5"/>
        <v>0</v>
      </c>
      <c r="Y5" s="26">
        <f t="shared" si="6"/>
        <v>0</v>
      </c>
      <c r="Z5" s="26">
        <f t="shared" si="7"/>
        <v>0</v>
      </c>
      <c r="AA5" s="2">
        <v>0</v>
      </c>
      <c r="AB5" s="2" t="s">
        <v>152</v>
      </c>
      <c r="AC5" s="4" t="s">
        <v>152</v>
      </c>
      <c r="AD5" s="2" t="s">
        <v>152</v>
      </c>
      <c r="AE5" s="4" t="s">
        <v>152</v>
      </c>
      <c r="AF5" s="2" t="s">
        <v>152</v>
      </c>
      <c r="AG5" s="4" t="s">
        <v>152</v>
      </c>
      <c r="AH5" s="28">
        <f t="shared" si="8"/>
        <v>0</v>
      </c>
      <c r="AI5" s="4" t="str">
        <f t="shared" si="9"/>
        <v>na</v>
      </c>
      <c r="AJ5" s="26" t="str">
        <f t="shared" si="25"/>
        <v>na</v>
      </c>
      <c r="AK5" s="26" t="str">
        <f t="shared" si="10"/>
        <v>na</v>
      </c>
      <c r="AL5" s="14">
        <v>2369000</v>
      </c>
      <c r="AM5" s="14">
        <v>200000</v>
      </c>
      <c r="AN5" s="12">
        <f t="shared" si="11"/>
        <v>-2169000</v>
      </c>
      <c r="AO5" s="12">
        <f t="shared" si="12"/>
        <v>2569000</v>
      </c>
      <c r="AP5" s="8">
        <v>1478950000</v>
      </c>
      <c r="AQ5" s="8">
        <v>118238000</v>
      </c>
      <c r="AR5" s="13">
        <f t="shared" si="13"/>
        <v>-1360712000</v>
      </c>
      <c r="AS5" s="13">
        <f t="shared" si="14"/>
        <v>1597188000</v>
      </c>
      <c r="AT5" s="5">
        <f t="shared" si="15"/>
        <v>1.6018120964197574E-3</v>
      </c>
      <c r="AU5" s="5">
        <f t="shared" si="16"/>
        <v>1.6915035775300665E-3</v>
      </c>
      <c r="AV5" s="5">
        <f t="shared" si="17"/>
        <v>5.9191860917128338E-4</v>
      </c>
      <c r="AW5" s="5">
        <f t="shared" si="18"/>
        <v>5.7148788238990303E-5</v>
      </c>
      <c r="AX5" s="5">
        <f t="shared" si="19"/>
        <v>1.6084518541336398E-3</v>
      </c>
      <c r="AY5" s="10">
        <f t="shared" si="20"/>
        <v>8.1424617338792665E-4</v>
      </c>
      <c r="AZ5" s="24" t="s">
        <v>152</v>
      </c>
      <c r="BA5" s="29" t="s">
        <v>152</v>
      </c>
      <c r="BB5" s="24" t="s">
        <v>152</v>
      </c>
      <c r="BC5" s="29" t="s">
        <v>152</v>
      </c>
      <c r="BD5" s="24" t="s">
        <v>152</v>
      </c>
      <c r="BE5" s="29" t="s">
        <v>152</v>
      </c>
      <c r="BF5" s="24" t="s">
        <v>152</v>
      </c>
      <c r="BG5" s="29" t="s">
        <v>152</v>
      </c>
      <c r="BH5" s="26">
        <f t="shared" si="21"/>
        <v>0</v>
      </c>
      <c r="BI5" s="26">
        <f t="shared" si="22"/>
        <v>0</v>
      </c>
      <c r="BJ5" s="26">
        <f t="shared" si="23"/>
        <v>0</v>
      </c>
      <c r="BK5" s="26">
        <f t="shared" si="24"/>
        <v>0</v>
      </c>
      <c r="BL5" s="34">
        <f>IFERROR(BA5/17,0)</f>
        <v>0</v>
      </c>
      <c r="BM5" s="35">
        <f t="shared" si="26"/>
        <v>0</v>
      </c>
    </row>
    <row r="6" spans="1:65" x14ac:dyDescent="0.35">
      <c r="A6" s="18">
        <v>5</v>
      </c>
      <c r="B6" t="s">
        <v>246</v>
      </c>
      <c r="C6" s="3" t="s">
        <v>8</v>
      </c>
      <c r="D6" s="17" t="s">
        <v>9</v>
      </c>
      <c r="E6" s="17" t="s">
        <v>10</v>
      </c>
      <c r="F6" s="2">
        <v>2</v>
      </c>
      <c r="G6" s="2">
        <v>0</v>
      </c>
      <c r="H6" s="2">
        <v>1</v>
      </c>
      <c r="I6" s="18">
        <v>2018</v>
      </c>
      <c r="J6" s="2">
        <v>0</v>
      </c>
      <c r="K6" s="2" t="s">
        <v>152</v>
      </c>
      <c r="L6" s="4">
        <v>89417190341.253281</v>
      </c>
      <c r="M6" s="2">
        <v>21</v>
      </c>
      <c r="N6" s="4">
        <v>15070000000</v>
      </c>
      <c r="O6" s="2">
        <v>20</v>
      </c>
      <c r="P6" s="4">
        <v>9780000000</v>
      </c>
      <c r="Q6" s="2">
        <v>41</v>
      </c>
      <c r="R6" s="4">
        <v>24850000000</v>
      </c>
      <c r="S6" s="5">
        <f t="shared" si="0"/>
        <v>0.16853582563360128</v>
      </c>
      <c r="T6" s="5">
        <f t="shared" si="1"/>
        <v>0.10937494191749307</v>
      </c>
      <c r="U6" s="5">
        <f t="shared" si="2"/>
        <v>0.27791076755109434</v>
      </c>
      <c r="V6" s="26">
        <f t="shared" si="3"/>
        <v>1.1224238993617006E-2</v>
      </c>
      <c r="W6" s="26">
        <f t="shared" si="4"/>
        <v>1.2299720803883593E-2</v>
      </c>
      <c r="X6" s="26">
        <f t="shared" si="5"/>
        <v>1.1596813559638422E-2</v>
      </c>
      <c r="Y6" s="26">
        <f t="shared" si="6"/>
        <v>1461764705.8823528</v>
      </c>
      <c r="Z6" s="26">
        <f t="shared" si="7"/>
        <v>1.6347692208887901E-2</v>
      </c>
      <c r="AA6" s="2">
        <v>0</v>
      </c>
      <c r="AB6" s="2" t="s">
        <v>152</v>
      </c>
      <c r="AC6" s="4" t="s">
        <v>152</v>
      </c>
      <c r="AD6" s="2" t="s">
        <v>152</v>
      </c>
      <c r="AE6" s="4" t="s">
        <v>152</v>
      </c>
      <c r="AF6" s="2" t="s">
        <v>152</v>
      </c>
      <c r="AG6" s="4" t="s">
        <v>152</v>
      </c>
      <c r="AH6" s="28">
        <f t="shared" si="8"/>
        <v>0</v>
      </c>
      <c r="AI6" s="4" t="str">
        <f t="shared" si="9"/>
        <v>na</v>
      </c>
      <c r="AJ6" s="26" t="str">
        <f t="shared" si="25"/>
        <v>na</v>
      </c>
      <c r="AK6" s="26" t="str">
        <f t="shared" si="10"/>
        <v>na</v>
      </c>
      <c r="AL6" s="4">
        <v>2030002</v>
      </c>
      <c r="AM6" s="4">
        <v>21357868</v>
      </c>
      <c r="AN6" s="12">
        <f t="shared" si="11"/>
        <v>19327866</v>
      </c>
      <c r="AO6" s="12">
        <f t="shared" si="12"/>
        <v>23387870</v>
      </c>
      <c r="AP6" s="8">
        <v>14160146000</v>
      </c>
      <c r="AQ6" s="8">
        <v>34819241000</v>
      </c>
      <c r="AR6" s="13">
        <f t="shared" si="13"/>
        <v>20659095000</v>
      </c>
      <c r="AS6" s="13">
        <f t="shared" si="14"/>
        <v>48979387000</v>
      </c>
      <c r="AT6" s="5">
        <f t="shared" si="15"/>
        <v>1.4336024501442288E-4</v>
      </c>
      <c r="AU6" s="5">
        <f t="shared" si="16"/>
        <v>6.133926928504846E-4</v>
      </c>
      <c r="AV6" s="5">
        <f t="shared" si="17"/>
        <v>5.6673003995958704E-3</v>
      </c>
      <c r="AW6" s="5">
        <f t="shared" si="18"/>
        <v>1.6829423963119886E-2</v>
      </c>
      <c r="AX6" s="5">
        <f t="shared" si="19"/>
        <v>4.7750434279628692E-4</v>
      </c>
      <c r="AY6" s="10">
        <f t="shared" si="20"/>
        <v>2.6155899006379126E-4</v>
      </c>
      <c r="AZ6" s="24">
        <v>350</v>
      </c>
      <c r="BA6" s="19">
        <v>88449059776.888641</v>
      </c>
      <c r="BB6" s="17">
        <v>78</v>
      </c>
      <c r="BC6" s="19">
        <v>310799325.71688968</v>
      </c>
      <c r="BD6" s="17">
        <v>199</v>
      </c>
      <c r="BE6" s="19">
        <v>72542723598.448303</v>
      </c>
      <c r="BF6" s="17">
        <v>73</v>
      </c>
      <c r="BG6" s="19">
        <v>15595536852.723465</v>
      </c>
      <c r="BH6" s="26">
        <f t="shared" si="21"/>
        <v>0.98917288095644862</v>
      </c>
      <c r="BI6" s="26">
        <f t="shared" si="22"/>
        <v>3.4758341716033558E-3</v>
      </c>
      <c r="BJ6" s="26">
        <f t="shared" si="23"/>
        <v>0.81128386299765209</v>
      </c>
      <c r="BK6" s="26">
        <f t="shared" si="24"/>
        <v>0.17441318378719342</v>
      </c>
      <c r="BL6" s="34">
        <f t="shared" ref="BL6:BL69" si="27">IFERROR(BA6/17,0)</f>
        <v>5202885869.2287436</v>
      </c>
      <c r="BM6" s="35">
        <f t="shared" si="26"/>
        <v>5.8186640056261688E-2</v>
      </c>
    </row>
    <row r="7" spans="1:65" x14ac:dyDescent="0.35">
      <c r="A7" s="18">
        <v>6</v>
      </c>
      <c r="B7" t="s">
        <v>247</v>
      </c>
      <c r="C7" s="3" t="s">
        <v>11</v>
      </c>
      <c r="D7" s="17" t="s">
        <v>12</v>
      </c>
      <c r="E7" s="17" t="s">
        <v>13</v>
      </c>
      <c r="F7" s="2">
        <v>0</v>
      </c>
      <c r="G7" s="2">
        <v>0</v>
      </c>
      <c r="H7" s="2">
        <v>1</v>
      </c>
      <c r="I7" s="18">
        <v>2018</v>
      </c>
      <c r="J7" s="2">
        <v>0</v>
      </c>
      <c r="K7" s="2" t="s">
        <v>152</v>
      </c>
      <c r="L7" s="4">
        <v>1661962962.9629629</v>
      </c>
      <c r="M7" s="2">
        <v>0</v>
      </c>
      <c r="N7" s="4">
        <v>0</v>
      </c>
      <c r="O7" s="2">
        <v>2</v>
      </c>
      <c r="P7" s="4">
        <v>1000000000</v>
      </c>
      <c r="Q7" s="2">
        <v>2</v>
      </c>
      <c r="R7" s="4">
        <v>1000000000</v>
      </c>
      <c r="S7" s="5">
        <f t="shared" si="0"/>
        <v>0</v>
      </c>
      <c r="T7" s="15">
        <f t="shared" si="1"/>
        <v>0.60169812582176363</v>
      </c>
      <c r="U7" s="5">
        <f t="shared" si="2"/>
        <v>0.60169812582176363</v>
      </c>
      <c r="V7" s="26">
        <f t="shared" si="3"/>
        <v>0</v>
      </c>
      <c r="W7" s="26">
        <f t="shared" si="4"/>
        <v>1.2576401639962775E-3</v>
      </c>
      <c r="X7" s="26">
        <f t="shared" si="5"/>
        <v>4.6667257785265278E-4</v>
      </c>
      <c r="Y7" s="26">
        <f t="shared" si="6"/>
        <v>58823529.411764704</v>
      </c>
      <c r="Z7" s="26">
        <f t="shared" si="7"/>
        <v>3.5394007401280216E-2</v>
      </c>
      <c r="AA7" s="2">
        <v>0</v>
      </c>
      <c r="AB7" s="2" t="s">
        <v>152</v>
      </c>
      <c r="AC7" s="4" t="s">
        <v>152</v>
      </c>
      <c r="AD7" s="2" t="s">
        <v>152</v>
      </c>
      <c r="AE7" s="4" t="s">
        <v>152</v>
      </c>
      <c r="AF7" s="2" t="s">
        <v>152</v>
      </c>
      <c r="AG7" s="4" t="s">
        <v>152</v>
      </c>
      <c r="AH7" s="28">
        <f t="shared" si="8"/>
        <v>0</v>
      </c>
      <c r="AI7" s="4" t="str">
        <f t="shared" si="9"/>
        <v>na</v>
      </c>
      <c r="AJ7" s="26" t="str">
        <f t="shared" si="25"/>
        <v>na</v>
      </c>
      <c r="AK7" s="26" t="str">
        <f t="shared" si="10"/>
        <v>na</v>
      </c>
      <c r="AL7" s="4">
        <v>42000000</v>
      </c>
      <c r="AM7" s="4">
        <v>19000</v>
      </c>
      <c r="AN7" s="12">
        <f t="shared" si="11"/>
        <v>-41981000</v>
      </c>
      <c r="AO7" s="12">
        <f t="shared" si="12"/>
        <v>42019000</v>
      </c>
      <c r="AP7" s="8">
        <v>568334000</v>
      </c>
      <c r="AQ7" s="8">
        <v>37400000</v>
      </c>
      <c r="AR7" s="13">
        <f t="shared" si="13"/>
        <v>-530934000</v>
      </c>
      <c r="AS7" s="13">
        <f t="shared" si="14"/>
        <v>605734000</v>
      </c>
      <c r="AT7" s="5">
        <f t="shared" si="15"/>
        <v>7.3900206568672647E-2</v>
      </c>
      <c r="AU7" s="5">
        <f t="shared" si="16"/>
        <v>5.080213903743316E-4</v>
      </c>
      <c r="AV7" s="5">
        <f t="shared" si="17"/>
        <v>2.2746372144071954E-4</v>
      </c>
      <c r="AW7" s="5">
        <f t="shared" si="18"/>
        <v>1.8076800014701171E-5</v>
      </c>
      <c r="AX7" s="5">
        <f t="shared" si="19"/>
        <v>6.9368732810111369E-2</v>
      </c>
      <c r="AY7" s="10">
        <f t="shared" si="20"/>
        <v>2.5282753548904687E-2</v>
      </c>
      <c r="AZ7" s="24">
        <v>59</v>
      </c>
      <c r="BA7" s="19">
        <v>398209262.67240685</v>
      </c>
      <c r="BB7" s="17">
        <v>54</v>
      </c>
      <c r="BC7" s="19">
        <v>390298705.9867053</v>
      </c>
      <c r="BD7" s="17">
        <v>2</v>
      </c>
      <c r="BE7" s="19">
        <v>0</v>
      </c>
      <c r="BF7" s="17">
        <v>3</v>
      </c>
      <c r="BG7" s="19">
        <v>7910556.6857015602</v>
      </c>
      <c r="BH7" s="26">
        <f t="shared" si="21"/>
        <v>0.23960176703485361</v>
      </c>
      <c r="BI7" s="26">
        <f t="shared" si="22"/>
        <v>0.23484199990286014</v>
      </c>
      <c r="BJ7" s="26">
        <f t="shared" si="23"/>
        <v>0</v>
      </c>
      <c r="BK7" s="26">
        <f t="shared" si="24"/>
        <v>4.7597671319934516E-3</v>
      </c>
      <c r="BL7" s="34">
        <f t="shared" si="27"/>
        <v>23424074.274847463</v>
      </c>
      <c r="BM7" s="35">
        <f t="shared" si="26"/>
        <v>1.4094221590285507E-2</v>
      </c>
    </row>
    <row r="8" spans="1:65" x14ac:dyDescent="0.35">
      <c r="A8" s="18">
        <v>7</v>
      </c>
      <c r="B8" t="s">
        <v>248</v>
      </c>
      <c r="C8" s="3" t="s">
        <v>153</v>
      </c>
      <c r="D8" s="17" t="s">
        <v>12</v>
      </c>
      <c r="E8" s="17" t="s">
        <v>5</v>
      </c>
      <c r="F8" s="2">
        <v>3</v>
      </c>
      <c r="G8" s="2">
        <v>0</v>
      </c>
      <c r="H8" s="2">
        <v>0</v>
      </c>
      <c r="I8" s="3" t="s">
        <v>152</v>
      </c>
      <c r="J8" s="2">
        <v>0</v>
      </c>
      <c r="K8" s="2" t="s">
        <v>152</v>
      </c>
      <c r="L8" s="4">
        <v>445445177459.45306</v>
      </c>
      <c r="M8" s="2">
        <v>31</v>
      </c>
      <c r="N8" s="4">
        <v>22810000000</v>
      </c>
      <c r="O8" s="2">
        <v>0</v>
      </c>
      <c r="P8" s="4">
        <v>0</v>
      </c>
      <c r="Q8" s="2">
        <v>31</v>
      </c>
      <c r="R8" s="4">
        <v>22810000000</v>
      </c>
      <c r="S8" s="5">
        <f t="shared" si="0"/>
        <v>5.1207199346268141E-2</v>
      </c>
      <c r="T8" s="15">
        <f t="shared" si="1"/>
        <v>0</v>
      </c>
      <c r="U8" s="5">
        <f t="shared" si="2"/>
        <v>5.1207199346268141E-2</v>
      </c>
      <c r="V8" s="26">
        <f t="shared" si="3"/>
        <v>1.6989043891466746E-2</v>
      </c>
      <c r="W8" s="26">
        <f t="shared" si="4"/>
        <v>0</v>
      </c>
      <c r="X8" s="26">
        <f t="shared" si="5"/>
        <v>1.064480150081901E-2</v>
      </c>
      <c r="Y8" s="26">
        <f t="shared" si="6"/>
        <v>1341764705.8823528</v>
      </c>
      <c r="Z8" s="26">
        <f t="shared" si="7"/>
        <v>3.0121881968393021E-3</v>
      </c>
      <c r="AA8" s="2">
        <v>2</v>
      </c>
      <c r="AB8" s="2">
        <v>0</v>
      </c>
      <c r="AC8" s="4">
        <v>0</v>
      </c>
      <c r="AD8" s="2">
        <v>0</v>
      </c>
      <c r="AE8" s="4">
        <v>0</v>
      </c>
      <c r="AF8" s="2">
        <v>0</v>
      </c>
      <c r="AG8" s="4">
        <v>0</v>
      </c>
      <c r="AH8" s="28">
        <f t="shared" si="8"/>
        <v>0</v>
      </c>
      <c r="AI8" s="4">
        <f t="shared" si="9"/>
        <v>0</v>
      </c>
      <c r="AJ8" s="26">
        <f t="shared" si="25"/>
        <v>0</v>
      </c>
      <c r="AK8" s="26">
        <f t="shared" si="10"/>
        <v>0</v>
      </c>
      <c r="AL8" s="4">
        <v>9258744000</v>
      </c>
      <c r="AM8" s="4">
        <v>6325086000</v>
      </c>
      <c r="AN8" s="12">
        <f t="shared" si="11"/>
        <v>-2933658000</v>
      </c>
      <c r="AO8" s="12">
        <f t="shared" si="12"/>
        <v>15583830000</v>
      </c>
      <c r="AP8" s="8">
        <v>49125030000</v>
      </c>
      <c r="AQ8" s="8">
        <v>65115327000</v>
      </c>
      <c r="AR8" s="13">
        <f t="shared" si="13"/>
        <v>15990297000</v>
      </c>
      <c r="AS8" s="13">
        <f t="shared" si="14"/>
        <v>114240357000</v>
      </c>
      <c r="AT8" s="5">
        <f t="shared" si="15"/>
        <v>0.18847304520730063</v>
      </c>
      <c r="AU8" s="5">
        <f t="shared" si="16"/>
        <v>9.713666952789779E-2</v>
      </c>
      <c r="AV8" s="5">
        <f t="shared" si="17"/>
        <v>1.9661259294159759E-2</v>
      </c>
      <c r="AW8" s="5">
        <f t="shared" si="18"/>
        <v>3.1472640215798708E-2</v>
      </c>
      <c r="AX8" s="5">
        <f t="shared" si="19"/>
        <v>0.13641265144155668</v>
      </c>
      <c r="AY8" s="10">
        <f t="shared" si="20"/>
        <v>3.498484390128688E-2</v>
      </c>
      <c r="AZ8" s="24">
        <v>67</v>
      </c>
      <c r="BA8" s="19">
        <v>34167061581.110947</v>
      </c>
      <c r="BB8" s="17">
        <v>2</v>
      </c>
      <c r="BC8" s="19">
        <v>502647697.70549798</v>
      </c>
      <c r="BD8" s="17">
        <v>55</v>
      </c>
      <c r="BE8" s="19">
        <v>16417355731.435488</v>
      </c>
      <c r="BF8" s="17">
        <v>10</v>
      </c>
      <c r="BG8" s="19">
        <v>17247058151.969959</v>
      </c>
      <c r="BH8" s="26">
        <f t="shared" si="21"/>
        <v>7.6703179897420773E-2</v>
      </c>
      <c r="BI8" s="26">
        <f t="shared" si="22"/>
        <v>1.1284165215847506E-3</v>
      </c>
      <c r="BJ8" s="26">
        <f t="shared" si="23"/>
        <v>3.6856063466822221E-2</v>
      </c>
      <c r="BK8" s="26">
        <f t="shared" si="24"/>
        <v>3.8718699909013797E-2</v>
      </c>
      <c r="BL8" s="34">
        <f t="shared" si="27"/>
        <v>2009827151.8300557</v>
      </c>
      <c r="BM8" s="35">
        <f t="shared" si="26"/>
        <v>4.5119517586718096E-3</v>
      </c>
    </row>
    <row r="9" spans="1:65" x14ac:dyDescent="0.35">
      <c r="A9" s="18">
        <v>8</v>
      </c>
      <c r="B9" t="s">
        <v>249</v>
      </c>
      <c r="C9" s="3" t="s">
        <v>14</v>
      </c>
      <c r="D9" s="17" t="s">
        <v>4</v>
      </c>
      <c r="E9" s="17" t="s">
        <v>5</v>
      </c>
      <c r="F9" s="2">
        <v>0</v>
      </c>
      <c r="G9" s="2">
        <v>0</v>
      </c>
      <c r="H9" s="2">
        <v>1</v>
      </c>
      <c r="I9" s="2">
        <v>2015</v>
      </c>
      <c r="J9" s="2">
        <v>0</v>
      </c>
      <c r="K9" s="2" t="s">
        <v>152</v>
      </c>
      <c r="L9" s="4">
        <v>13672802157.832392</v>
      </c>
      <c r="M9" s="2">
        <v>0</v>
      </c>
      <c r="N9" s="4">
        <v>0</v>
      </c>
      <c r="O9" s="2">
        <v>0</v>
      </c>
      <c r="P9" s="4">
        <v>0</v>
      </c>
      <c r="Q9" s="2">
        <v>0</v>
      </c>
      <c r="R9" s="4">
        <v>0</v>
      </c>
      <c r="S9" s="5">
        <f t="shared" si="0"/>
        <v>0</v>
      </c>
      <c r="T9" s="15">
        <f t="shared" si="1"/>
        <v>0</v>
      </c>
      <c r="U9" s="5">
        <f t="shared" si="2"/>
        <v>0</v>
      </c>
      <c r="V9" s="26">
        <f t="shared" si="3"/>
        <v>0</v>
      </c>
      <c r="W9" s="26">
        <f t="shared" si="4"/>
        <v>0</v>
      </c>
      <c r="X9" s="26">
        <f t="shared" si="5"/>
        <v>0</v>
      </c>
      <c r="Y9" s="26">
        <f t="shared" si="6"/>
        <v>0</v>
      </c>
      <c r="Z9" s="26">
        <f t="shared" si="7"/>
        <v>0</v>
      </c>
      <c r="AA9" s="2">
        <v>3</v>
      </c>
      <c r="AB9" s="18">
        <v>0</v>
      </c>
      <c r="AC9" s="4">
        <v>0</v>
      </c>
      <c r="AD9" s="18">
        <v>0</v>
      </c>
      <c r="AE9" s="4">
        <v>0</v>
      </c>
      <c r="AF9" s="2">
        <v>0</v>
      </c>
      <c r="AG9" s="4">
        <v>0</v>
      </c>
      <c r="AH9" s="28">
        <f t="shared" si="8"/>
        <v>0</v>
      </c>
      <c r="AI9" s="4">
        <f t="shared" si="9"/>
        <v>0</v>
      </c>
      <c r="AJ9" s="26">
        <f t="shared" si="25"/>
        <v>0</v>
      </c>
      <c r="AK9" s="26">
        <f t="shared" si="10"/>
        <v>0</v>
      </c>
      <c r="AL9" s="4">
        <v>748024000</v>
      </c>
      <c r="AM9" s="4">
        <v>193682000</v>
      </c>
      <c r="AN9" s="12">
        <f t="shared" si="11"/>
        <v>-554342000</v>
      </c>
      <c r="AO9" s="12">
        <f t="shared" si="12"/>
        <v>941706000</v>
      </c>
      <c r="AP9" s="8">
        <v>5071644000</v>
      </c>
      <c r="AQ9" s="8">
        <v>2620069000</v>
      </c>
      <c r="AR9" s="13">
        <f t="shared" si="13"/>
        <v>-2451575000</v>
      </c>
      <c r="AS9" s="13">
        <f t="shared" si="14"/>
        <v>7691713000</v>
      </c>
      <c r="AT9" s="5">
        <f t="shared" si="15"/>
        <v>0.14749142487130407</v>
      </c>
      <c r="AU9" s="5">
        <f t="shared" si="16"/>
        <v>7.3922480667493864E-2</v>
      </c>
      <c r="AV9" s="5">
        <f t="shared" si="17"/>
        <v>2.0298187651319414E-3</v>
      </c>
      <c r="AW9" s="5">
        <f t="shared" si="18"/>
        <v>1.2663760250726764E-3</v>
      </c>
      <c r="AX9" s="5">
        <f t="shared" si="19"/>
        <v>0.12243124515956329</v>
      </c>
      <c r="AY9" s="10">
        <f t="shared" si="20"/>
        <v>6.8874396713225955E-2</v>
      </c>
      <c r="AZ9" s="24">
        <v>40</v>
      </c>
      <c r="BA9" s="19">
        <v>155275327.59466651</v>
      </c>
      <c r="BB9" s="17">
        <v>31</v>
      </c>
      <c r="BC9" s="19">
        <v>155275327.59466651</v>
      </c>
      <c r="BD9" s="17">
        <v>8</v>
      </c>
      <c r="BE9" s="19">
        <v>0</v>
      </c>
      <c r="BF9" s="17">
        <v>1</v>
      </c>
      <c r="BG9" s="19">
        <v>0</v>
      </c>
      <c r="BH9" s="26">
        <f t="shared" si="21"/>
        <v>1.1356510962584058E-2</v>
      </c>
      <c r="BI9" s="26">
        <f t="shared" si="22"/>
        <v>1.1356510962584058E-2</v>
      </c>
      <c r="BJ9" s="26">
        <f t="shared" si="23"/>
        <v>0</v>
      </c>
      <c r="BK9" s="26">
        <f t="shared" si="24"/>
        <v>0</v>
      </c>
      <c r="BL9" s="34">
        <f t="shared" si="27"/>
        <v>9133842.7996862661</v>
      </c>
      <c r="BM9" s="35">
        <f t="shared" si="26"/>
        <v>6.6803005662259161E-4</v>
      </c>
    </row>
    <row r="10" spans="1:65" x14ac:dyDescent="0.35">
      <c r="A10" s="18">
        <v>9</v>
      </c>
      <c r="B10" s="17" t="s">
        <v>250</v>
      </c>
      <c r="C10" s="3" t="s">
        <v>190</v>
      </c>
      <c r="D10" s="17" t="s">
        <v>12</v>
      </c>
      <c r="E10" s="17" t="s">
        <v>13</v>
      </c>
      <c r="F10" s="2">
        <v>0</v>
      </c>
      <c r="G10" s="2">
        <v>0</v>
      </c>
      <c r="H10" s="2">
        <v>0</v>
      </c>
      <c r="I10" s="3" t="s">
        <v>152</v>
      </c>
      <c r="J10" s="2">
        <v>0</v>
      </c>
      <c r="K10" s="2" t="s">
        <v>152</v>
      </c>
      <c r="L10" s="4" t="s">
        <v>152</v>
      </c>
      <c r="M10" s="2">
        <v>0</v>
      </c>
      <c r="N10" s="4">
        <v>0</v>
      </c>
      <c r="O10" s="2">
        <v>0</v>
      </c>
      <c r="P10" s="4">
        <v>0</v>
      </c>
      <c r="Q10" s="2">
        <v>0</v>
      </c>
      <c r="R10" s="4">
        <v>0</v>
      </c>
      <c r="S10" s="5">
        <f t="shared" si="0"/>
        <v>0</v>
      </c>
      <c r="T10" s="15">
        <f t="shared" si="1"/>
        <v>0</v>
      </c>
      <c r="U10" s="5">
        <f t="shared" si="2"/>
        <v>0</v>
      </c>
      <c r="V10" s="26">
        <f t="shared" si="3"/>
        <v>0</v>
      </c>
      <c r="W10" s="26">
        <f t="shared" si="4"/>
        <v>0</v>
      </c>
      <c r="X10" s="26">
        <f t="shared" si="5"/>
        <v>0</v>
      </c>
      <c r="Y10" s="26">
        <f t="shared" si="6"/>
        <v>0</v>
      </c>
      <c r="Z10" s="26">
        <f t="shared" si="7"/>
        <v>0</v>
      </c>
      <c r="AA10" s="2">
        <v>0</v>
      </c>
      <c r="AB10" s="2" t="s">
        <v>152</v>
      </c>
      <c r="AC10" s="4" t="s">
        <v>152</v>
      </c>
      <c r="AD10" s="2" t="s">
        <v>152</v>
      </c>
      <c r="AE10" s="4" t="s">
        <v>152</v>
      </c>
      <c r="AF10" s="2" t="s">
        <v>152</v>
      </c>
      <c r="AG10" s="4" t="s">
        <v>152</v>
      </c>
      <c r="AH10" s="28">
        <f t="shared" si="8"/>
        <v>0</v>
      </c>
      <c r="AI10" s="4" t="str">
        <f t="shared" si="9"/>
        <v>na</v>
      </c>
      <c r="AJ10" s="26" t="str">
        <f t="shared" si="25"/>
        <v>na</v>
      </c>
      <c r="AK10" s="26" t="str">
        <f t="shared" si="10"/>
        <v>na</v>
      </c>
      <c r="AL10" s="4">
        <v>7527000</v>
      </c>
      <c r="AM10" s="14">
        <v>56000</v>
      </c>
      <c r="AN10" s="12">
        <f t="shared" si="11"/>
        <v>-7471000</v>
      </c>
      <c r="AO10" s="12">
        <f t="shared" si="12"/>
        <v>7583000</v>
      </c>
      <c r="AP10" s="8">
        <v>1320446000</v>
      </c>
      <c r="AQ10" s="8">
        <v>83627000</v>
      </c>
      <c r="AR10" s="13">
        <f t="shared" si="13"/>
        <v>-1236819000</v>
      </c>
      <c r="AS10" s="13">
        <f t="shared" si="14"/>
        <v>1404073000</v>
      </c>
      <c r="AT10" s="5">
        <f t="shared" si="15"/>
        <v>5.7003467010388912E-3</v>
      </c>
      <c r="AU10" s="5">
        <f t="shared" si="16"/>
        <v>6.696401879775671E-4</v>
      </c>
      <c r="AV10" s="5">
        <f t="shared" si="17"/>
        <v>5.2848071929800496E-4</v>
      </c>
      <c r="AW10" s="5">
        <f t="shared" si="18"/>
        <v>4.0420014835011098E-5</v>
      </c>
      <c r="AX10" s="5">
        <f t="shared" si="19"/>
        <v>5.4007163445205482E-3</v>
      </c>
      <c r="AY10" s="10" t="str">
        <f t="shared" si="20"/>
        <v>na</v>
      </c>
      <c r="AZ10" s="24">
        <v>0</v>
      </c>
      <c r="BA10" s="4" t="s">
        <v>152</v>
      </c>
      <c r="BB10" s="18" t="s">
        <v>152</v>
      </c>
      <c r="BC10" s="4" t="s">
        <v>152</v>
      </c>
      <c r="BD10" s="18" t="s">
        <v>152</v>
      </c>
      <c r="BE10" s="4" t="s">
        <v>152</v>
      </c>
      <c r="BF10" s="18" t="s">
        <v>152</v>
      </c>
      <c r="BG10" s="4" t="s">
        <v>152</v>
      </c>
      <c r="BH10" s="26">
        <f t="shared" si="21"/>
        <v>0</v>
      </c>
      <c r="BI10" s="26">
        <f t="shared" si="22"/>
        <v>0</v>
      </c>
      <c r="BJ10" s="26">
        <f t="shared" si="23"/>
        <v>0</v>
      </c>
      <c r="BK10" s="26">
        <f t="shared" si="24"/>
        <v>0</v>
      </c>
      <c r="BL10" s="34">
        <f t="shared" si="27"/>
        <v>0</v>
      </c>
      <c r="BM10" s="35">
        <f t="shared" si="26"/>
        <v>0</v>
      </c>
    </row>
    <row r="11" spans="1:65" x14ac:dyDescent="0.35">
      <c r="A11" s="18">
        <v>10</v>
      </c>
      <c r="B11" t="s">
        <v>251</v>
      </c>
      <c r="C11" s="3" t="s">
        <v>159</v>
      </c>
      <c r="D11" s="17" t="s">
        <v>23</v>
      </c>
      <c r="E11" s="17" t="s">
        <v>13</v>
      </c>
      <c r="F11" s="2">
        <v>2</v>
      </c>
      <c r="G11" s="2">
        <v>1</v>
      </c>
      <c r="H11" s="2">
        <v>0</v>
      </c>
      <c r="I11" s="3" t="s">
        <v>152</v>
      </c>
      <c r="J11" s="2">
        <v>0</v>
      </c>
      <c r="K11" s="2" t="s">
        <v>152</v>
      </c>
      <c r="L11" s="4">
        <v>1396567014733.2283</v>
      </c>
      <c r="M11" s="2">
        <v>208</v>
      </c>
      <c r="N11" s="4">
        <v>120810000000</v>
      </c>
      <c r="O11" s="2">
        <v>0</v>
      </c>
      <c r="P11" s="4">
        <v>0</v>
      </c>
      <c r="Q11" s="2">
        <v>208</v>
      </c>
      <c r="R11" s="4">
        <v>120810000000</v>
      </c>
      <c r="S11" s="5">
        <f t="shared" si="0"/>
        <v>8.6504978798369436E-2</v>
      </c>
      <c r="T11" s="15">
        <f t="shared" si="1"/>
        <v>0</v>
      </c>
      <c r="U11" s="5">
        <f t="shared" si="2"/>
        <v>8.6504978798369436E-2</v>
      </c>
      <c r="V11" s="26">
        <f t="shared" si="3"/>
        <v>8.9980113657522925E-2</v>
      </c>
      <c r="W11" s="26">
        <f t="shared" si="4"/>
        <v>0</v>
      </c>
      <c r="X11" s="26">
        <f t="shared" si="5"/>
        <v>5.6378714130378982E-2</v>
      </c>
      <c r="Y11" s="26">
        <f t="shared" si="6"/>
        <v>7106470588.2352943</v>
      </c>
      <c r="Z11" s="26">
        <f t="shared" si="7"/>
        <v>5.0885281646099664E-3</v>
      </c>
      <c r="AA11" s="2">
        <v>1</v>
      </c>
      <c r="AB11" s="2">
        <v>0</v>
      </c>
      <c r="AC11" s="4">
        <v>0</v>
      </c>
      <c r="AD11" s="2">
        <v>0</v>
      </c>
      <c r="AE11" s="4">
        <v>0</v>
      </c>
      <c r="AF11" s="2">
        <v>0</v>
      </c>
      <c r="AG11" s="4">
        <v>0</v>
      </c>
      <c r="AH11" s="28">
        <f t="shared" si="8"/>
        <v>0</v>
      </c>
      <c r="AI11" s="4">
        <f t="shared" si="9"/>
        <v>0</v>
      </c>
      <c r="AJ11" s="26">
        <f t="shared" si="25"/>
        <v>0</v>
      </c>
      <c r="AK11" s="26">
        <f t="shared" si="10"/>
        <v>0</v>
      </c>
      <c r="AL11" s="4">
        <v>54664941000</v>
      </c>
      <c r="AM11" s="4">
        <v>89293723000</v>
      </c>
      <c r="AN11" s="12">
        <f t="shared" si="11"/>
        <v>34628782000</v>
      </c>
      <c r="AO11" s="12">
        <f t="shared" si="12"/>
        <v>143958664000</v>
      </c>
      <c r="AP11" s="8">
        <v>214273705000</v>
      </c>
      <c r="AQ11" s="8">
        <v>272579608000</v>
      </c>
      <c r="AR11" s="13">
        <f t="shared" si="13"/>
        <v>58305903000</v>
      </c>
      <c r="AS11" s="13">
        <f t="shared" si="14"/>
        <v>486853313000</v>
      </c>
      <c r="AT11" s="5">
        <f t="shared" si="15"/>
        <v>0.2551173556270005</v>
      </c>
      <c r="AU11" s="5">
        <f t="shared" si="16"/>
        <v>0.3275876858697368</v>
      </c>
      <c r="AV11" s="5">
        <f t="shared" si="17"/>
        <v>8.5758540481813375E-2</v>
      </c>
      <c r="AW11" s="5">
        <f t="shared" si="18"/>
        <v>0.13174778240378718</v>
      </c>
      <c r="AX11" s="5">
        <f t="shared" si="19"/>
        <v>0.2956920701903491</v>
      </c>
      <c r="AY11" s="10">
        <f t="shared" si="20"/>
        <v>0.103080383885122</v>
      </c>
      <c r="AZ11" s="24" t="s">
        <v>152</v>
      </c>
      <c r="BA11" s="29" t="s">
        <v>152</v>
      </c>
      <c r="BB11" s="24" t="s">
        <v>152</v>
      </c>
      <c r="BC11" s="29" t="s">
        <v>152</v>
      </c>
      <c r="BD11" s="24" t="s">
        <v>152</v>
      </c>
      <c r="BE11" s="29" t="s">
        <v>152</v>
      </c>
      <c r="BF11" s="24" t="s">
        <v>152</v>
      </c>
      <c r="BG11" s="29" t="s">
        <v>152</v>
      </c>
      <c r="BH11" s="26">
        <f t="shared" si="21"/>
        <v>0</v>
      </c>
      <c r="BI11" s="26">
        <f t="shared" si="22"/>
        <v>0</v>
      </c>
      <c r="BJ11" s="26">
        <f t="shared" si="23"/>
        <v>0</v>
      </c>
      <c r="BK11" s="26">
        <f t="shared" si="24"/>
        <v>0</v>
      </c>
      <c r="BL11" s="34">
        <f t="shared" si="27"/>
        <v>0</v>
      </c>
      <c r="BM11" s="35">
        <f t="shared" si="26"/>
        <v>0</v>
      </c>
    </row>
    <row r="12" spans="1:65" x14ac:dyDescent="0.35">
      <c r="A12" s="18">
        <v>11</v>
      </c>
      <c r="B12" t="s">
        <v>252</v>
      </c>
      <c r="C12" s="3" t="s">
        <v>132</v>
      </c>
      <c r="D12" s="17" t="s">
        <v>4</v>
      </c>
      <c r="E12" s="17" t="s">
        <v>13</v>
      </c>
      <c r="F12" s="2">
        <v>0</v>
      </c>
      <c r="G12" s="2">
        <v>0</v>
      </c>
      <c r="H12" s="2">
        <v>1</v>
      </c>
      <c r="I12" s="2" t="s">
        <v>152</v>
      </c>
      <c r="J12" s="2">
        <v>0</v>
      </c>
      <c r="K12" s="2" t="s">
        <v>152</v>
      </c>
      <c r="L12" s="4">
        <v>445075391688.15613</v>
      </c>
      <c r="M12" s="2">
        <v>2</v>
      </c>
      <c r="N12" s="4">
        <v>280000000</v>
      </c>
      <c r="O12" s="2">
        <v>1</v>
      </c>
      <c r="P12" s="4">
        <v>230000000</v>
      </c>
      <c r="Q12" s="2">
        <v>3</v>
      </c>
      <c r="R12" s="4">
        <v>510000000</v>
      </c>
      <c r="S12" s="5">
        <f t="shared" si="0"/>
        <v>6.291069001545319E-4</v>
      </c>
      <c r="T12" s="5">
        <f t="shared" si="1"/>
        <v>5.1676638226979404E-4</v>
      </c>
      <c r="U12" s="5">
        <f t="shared" si="2"/>
        <v>1.1458732824243258E-3</v>
      </c>
      <c r="V12" s="26">
        <f t="shared" si="3"/>
        <v>2.0854591361730334E-4</v>
      </c>
      <c r="W12" s="26">
        <f t="shared" si="4"/>
        <v>2.8925723771914381E-4</v>
      </c>
      <c r="X12" s="26">
        <f t="shared" si="5"/>
        <v>2.3800301470485293E-4</v>
      </c>
      <c r="Y12" s="26">
        <f t="shared" si="6"/>
        <v>30000000</v>
      </c>
      <c r="Z12" s="26">
        <f t="shared" si="7"/>
        <v>6.7404310730842702E-5</v>
      </c>
      <c r="AA12" s="2">
        <v>2</v>
      </c>
      <c r="AB12" s="18">
        <v>0</v>
      </c>
      <c r="AC12" s="4">
        <v>0</v>
      </c>
      <c r="AD12" s="18">
        <v>0</v>
      </c>
      <c r="AE12" s="4">
        <v>0</v>
      </c>
      <c r="AF12" s="2">
        <v>0</v>
      </c>
      <c r="AG12" s="4">
        <v>0</v>
      </c>
      <c r="AH12" s="28">
        <f t="shared" si="8"/>
        <v>0</v>
      </c>
      <c r="AI12" s="4">
        <f t="shared" si="9"/>
        <v>0</v>
      </c>
      <c r="AJ12" s="26">
        <f t="shared" si="25"/>
        <v>0</v>
      </c>
      <c r="AK12" s="26">
        <f t="shared" si="10"/>
        <v>0</v>
      </c>
      <c r="AL12" s="4">
        <v>10998301000</v>
      </c>
      <c r="AM12" s="4">
        <v>4981008000</v>
      </c>
      <c r="AN12" s="12">
        <f t="shared" si="11"/>
        <v>-6017293000</v>
      </c>
      <c r="AO12" s="12">
        <f t="shared" si="12"/>
        <v>15979309000</v>
      </c>
      <c r="AP12" s="8">
        <v>176596131000</v>
      </c>
      <c r="AQ12" s="8">
        <v>171532055000</v>
      </c>
      <c r="AR12" s="13">
        <f t="shared" si="13"/>
        <v>-5064076000</v>
      </c>
      <c r="AS12" s="13">
        <f t="shared" si="14"/>
        <v>348128186000</v>
      </c>
      <c r="AT12" s="5">
        <f t="shared" si="15"/>
        <v>6.2279399541318378E-2</v>
      </c>
      <c r="AU12" s="5">
        <f t="shared" si="16"/>
        <v>2.9038350878499066E-2</v>
      </c>
      <c r="AV12" s="5">
        <f t="shared" si="17"/>
        <v>7.0678884510328124E-2</v>
      </c>
      <c r="AW12" s="5">
        <f t="shared" si="18"/>
        <v>8.2907771506570124E-2</v>
      </c>
      <c r="AX12" s="5">
        <f t="shared" si="19"/>
        <v>4.5900647067973976E-2</v>
      </c>
      <c r="AY12" s="10">
        <f t="shared" si="20"/>
        <v>3.5902476970005044E-2</v>
      </c>
      <c r="AZ12" s="24" t="s">
        <v>152</v>
      </c>
      <c r="BA12" s="29" t="s">
        <v>152</v>
      </c>
      <c r="BB12" s="24" t="s">
        <v>152</v>
      </c>
      <c r="BC12" s="29" t="s">
        <v>152</v>
      </c>
      <c r="BD12" s="24" t="s">
        <v>152</v>
      </c>
      <c r="BE12" s="29" t="s">
        <v>152</v>
      </c>
      <c r="BF12" s="24" t="s">
        <v>152</v>
      </c>
      <c r="BG12" s="29" t="s">
        <v>152</v>
      </c>
      <c r="BH12" s="26">
        <f t="shared" si="21"/>
        <v>0</v>
      </c>
      <c r="BI12" s="26">
        <f t="shared" si="22"/>
        <v>0</v>
      </c>
      <c r="BJ12" s="26">
        <f t="shared" si="23"/>
        <v>0</v>
      </c>
      <c r="BK12" s="26">
        <f t="shared" si="24"/>
        <v>0</v>
      </c>
      <c r="BL12" s="34">
        <f t="shared" si="27"/>
        <v>0</v>
      </c>
      <c r="BM12" s="35">
        <f t="shared" si="26"/>
        <v>0</v>
      </c>
    </row>
    <row r="13" spans="1:65" x14ac:dyDescent="0.35">
      <c r="A13" s="18">
        <v>12</v>
      </c>
      <c r="B13" t="s">
        <v>253</v>
      </c>
      <c r="C13" s="3" t="s">
        <v>15</v>
      </c>
      <c r="D13" s="17" t="s">
        <v>4</v>
      </c>
      <c r="E13" s="17" t="s">
        <v>5</v>
      </c>
      <c r="F13" s="2">
        <v>0</v>
      </c>
      <c r="G13" s="2">
        <v>0</v>
      </c>
      <c r="H13" s="2">
        <v>1</v>
      </c>
      <c r="I13" s="18">
        <v>2015</v>
      </c>
      <c r="J13" s="2">
        <v>0</v>
      </c>
      <c r="K13" s="2" t="s">
        <v>152</v>
      </c>
      <c r="L13" s="4">
        <v>48174235294.117645</v>
      </c>
      <c r="M13" s="2">
        <v>3</v>
      </c>
      <c r="N13" s="4">
        <v>750000000</v>
      </c>
      <c r="O13" s="2">
        <v>2</v>
      </c>
      <c r="P13" s="4">
        <v>1440000000</v>
      </c>
      <c r="Q13" s="2">
        <v>5</v>
      </c>
      <c r="R13" s="4">
        <v>2190000000</v>
      </c>
      <c r="S13" s="5">
        <f t="shared" si="0"/>
        <v>1.5568487915190206E-2</v>
      </c>
      <c r="T13" s="5">
        <f t="shared" si="1"/>
        <v>2.9891496797165192E-2</v>
      </c>
      <c r="U13" s="5">
        <f t="shared" si="2"/>
        <v>4.5459984712355399E-2</v>
      </c>
      <c r="V13" s="26">
        <f t="shared" si="3"/>
        <v>5.58605125760634E-4</v>
      </c>
      <c r="W13" s="26">
        <f t="shared" si="4"/>
        <v>1.8110018361546395E-3</v>
      </c>
      <c r="X13" s="26">
        <f t="shared" si="5"/>
        <v>1.0220129454973097E-3</v>
      </c>
      <c r="Y13" s="26">
        <f t="shared" si="6"/>
        <v>128823529.41176471</v>
      </c>
      <c r="Z13" s="26">
        <f t="shared" si="7"/>
        <v>2.6741167477856119E-3</v>
      </c>
      <c r="AA13" s="2">
        <v>1</v>
      </c>
      <c r="AB13" s="2">
        <v>2</v>
      </c>
      <c r="AC13" s="4">
        <v>700000000</v>
      </c>
      <c r="AD13" s="2">
        <v>0</v>
      </c>
      <c r="AE13" s="4">
        <v>0</v>
      </c>
      <c r="AF13" s="2">
        <v>0</v>
      </c>
      <c r="AG13" s="4">
        <v>0</v>
      </c>
      <c r="AH13" s="28">
        <f t="shared" si="8"/>
        <v>2</v>
      </c>
      <c r="AI13" s="4">
        <f t="shared" si="9"/>
        <v>700000000</v>
      </c>
      <c r="AJ13" s="26">
        <f t="shared" si="25"/>
        <v>1.453058872084419E-2</v>
      </c>
      <c r="AK13" s="26">
        <f t="shared" si="10"/>
        <v>1.7561363795442222E-2</v>
      </c>
      <c r="AL13" s="4">
        <v>1432151000</v>
      </c>
      <c r="AM13" s="4">
        <v>752163000</v>
      </c>
      <c r="AN13" s="12">
        <f t="shared" si="11"/>
        <v>-679988000</v>
      </c>
      <c r="AO13" s="12">
        <f t="shared" si="12"/>
        <v>2184314000</v>
      </c>
      <c r="AP13" s="8">
        <v>13649506000</v>
      </c>
      <c r="AQ13" s="8">
        <v>19635203000</v>
      </c>
      <c r="AR13" s="13">
        <f t="shared" si="13"/>
        <v>5985697000</v>
      </c>
      <c r="AS13" s="13">
        <f t="shared" si="14"/>
        <v>33284709000</v>
      </c>
      <c r="AT13" s="5">
        <f t="shared" si="15"/>
        <v>0.1049232844031132</v>
      </c>
      <c r="AU13" s="5">
        <f t="shared" si="16"/>
        <v>3.8306861406016531E-2</v>
      </c>
      <c r="AV13" s="5">
        <f t="shared" si="17"/>
        <v>5.4629274873356694E-3</v>
      </c>
      <c r="AW13" s="5">
        <f t="shared" si="18"/>
        <v>9.4904181251085715E-3</v>
      </c>
      <c r="AX13" s="5">
        <f t="shared" si="19"/>
        <v>6.5625149374146555E-2</v>
      </c>
      <c r="AY13" s="10">
        <f t="shared" si="20"/>
        <v>4.5341954815974368E-2</v>
      </c>
      <c r="AZ13" s="24">
        <v>27</v>
      </c>
      <c r="BA13" s="19">
        <v>1079802016.287219</v>
      </c>
      <c r="BB13" s="17">
        <v>15</v>
      </c>
      <c r="BC13" s="19">
        <v>48909490.424316585</v>
      </c>
      <c r="BD13" s="17">
        <v>10</v>
      </c>
      <c r="BE13" s="19">
        <v>551122917.32230496</v>
      </c>
      <c r="BF13" s="17">
        <v>2</v>
      </c>
      <c r="BG13" s="19">
        <v>479769608.54059738</v>
      </c>
      <c r="BH13" s="26">
        <f t="shared" si="21"/>
        <v>2.2414512855154115E-2</v>
      </c>
      <c r="BI13" s="26">
        <f t="shared" si="22"/>
        <v>1.015262414145445E-3</v>
      </c>
      <c r="BJ13" s="26">
        <f t="shared" si="23"/>
        <v>1.14402006374889E-2</v>
      </c>
      <c r="BK13" s="26">
        <f t="shared" si="24"/>
        <v>9.9590498035197674E-3</v>
      </c>
      <c r="BL13" s="34">
        <f t="shared" si="27"/>
        <v>63517765.663954064</v>
      </c>
      <c r="BM13" s="35">
        <f t="shared" si="26"/>
        <v>1.3185007561855363E-3</v>
      </c>
    </row>
    <row r="14" spans="1:65" x14ac:dyDescent="0.35">
      <c r="A14" s="18">
        <v>13</v>
      </c>
      <c r="B14" t="s">
        <v>254</v>
      </c>
      <c r="C14" s="3" t="s">
        <v>186</v>
      </c>
      <c r="D14" s="17" t="s">
        <v>12</v>
      </c>
      <c r="E14" s="17" t="s">
        <v>13</v>
      </c>
      <c r="F14" s="2">
        <v>0</v>
      </c>
      <c r="G14" s="2">
        <v>0</v>
      </c>
      <c r="H14" s="2">
        <v>0</v>
      </c>
      <c r="I14" s="3" t="s">
        <v>152</v>
      </c>
      <c r="J14" s="2">
        <v>0</v>
      </c>
      <c r="K14" s="2" t="s">
        <v>152</v>
      </c>
      <c r="L14" s="4">
        <v>13578800000</v>
      </c>
      <c r="M14" s="2">
        <v>2</v>
      </c>
      <c r="N14" s="4">
        <v>350000000</v>
      </c>
      <c r="O14" s="2">
        <v>0</v>
      </c>
      <c r="P14" s="4">
        <v>0</v>
      </c>
      <c r="Q14" s="2">
        <v>2</v>
      </c>
      <c r="R14" s="4">
        <v>350000000</v>
      </c>
      <c r="S14" s="5">
        <f t="shared" si="0"/>
        <v>2.5775473532270894E-2</v>
      </c>
      <c r="T14" s="15">
        <f t="shared" si="1"/>
        <v>0</v>
      </c>
      <c r="U14" s="5">
        <f t="shared" si="2"/>
        <v>2.5775473532270894E-2</v>
      </c>
      <c r="V14" s="26">
        <f t="shared" si="3"/>
        <v>2.6068239202162917E-4</v>
      </c>
      <c r="W14" s="26">
        <f t="shared" si="4"/>
        <v>0</v>
      </c>
      <c r="X14" s="26">
        <f t="shared" si="5"/>
        <v>1.6333540224842849E-4</v>
      </c>
      <c r="Y14" s="26">
        <f t="shared" si="6"/>
        <v>20588235.294117648</v>
      </c>
      <c r="Z14" s="26">
        <f t="shared" si="7"/>
        <v>1.5162043254276997E-3</v>
      </c>
      <c r="AA14" s="2">
        <v>0</v>
      </c>
      <c r="AB14" s="2" t="s">
        <v>152</v>
      </c>
      <c r="AC14" s="4" t="s">
        <v>152</v>
      </c>
      <c r="AD14" s="2" t="s">
        <v>152</v>
      </c>
      <c r="AE14" s="4" t="s">
        <v>152</v>
      </c>
      <c r="AF14" s="2" t="s">
        <v>152</v>
      </c>
      <c r="AG14" s="4" t="s">
        <v>152</v>
      </c>
      <c r="AH14" s="28">
        <f t="shared" si="8"/>
        <v>0</v>
      </c>
      <c r="AI14" s="4" t="str">
        <f t="shared" si="9"/>
        <v>na</v>
      </c>
      <c r="AJ14" s="26" t="str">
        <f t="shared" si="25"/>
        <v>na</v>
      </c>
      <c r="AK14" s="26" t="str">
        <f t="shared" si="10"/>
        <v>na</v>
      </c>
      <c r="AL14" s="4">
        <v>24409000</v>
      </c>
      <c r="AM14" s="4">
        <v>214000</v>
      </c>
      <c r="AN14" s="12">
        <f t="shared" si="11"/>
        <v>-24195000</v>
      </c>
      <c r="AO14" s="12">
        <f t="shared" si="12"/>
        <v>24623000</v>
      </c>
      <c r="AP14" s="8">
        <v>3320468000</v>
      </c>
      <c r="AQ14" s="8">
        <v>537265000</v>
      </c>
      <c r="AR14" s="13">
        <f t="shared" si="13"/>
        <v>-2783203000</v>
      </c>
      <c r="AS14" s="13">
        <f t="shared" si="14"/>
        <v>3857733000</v>
      </c>
      <c r="AT14" s="5">
        <f t="shared" si="15"/>
        <v>7.3510721982563906E-3</v>
      </c>
      <c r="AU14" s="5">
        <f t="shared" si="16"/>
        <v>3.9831368133044217E-4</v>
      </c>
      <c r="AV14" s="5">
        <f t="shared" si="17"/>
        <v>1.3289474291610622E-3</v>
      </c>
      <c r="AW14" s="5">
        <f t="shared" si="18"/>
        <v>2.5967999892776539E-4</v>
      </c>
      <c r="AX14" s="5">
        <f t="shared" si="19"/>
        <v>6.3827641778215344E-3</v>
      </c>
      <c r="AY14" s="10">
        <f t="shared" si="20"/>
        <v>1.8133413851003034E-3</v>
      </c>
      <c r="AZ14" s="24">
        <v>31</v>
      </c>
      <c r="BA14" s="19">
        <v>3136697529.0512481</v>
      </c>
      <c r="BB14" s="17">
        <v>0</v>
      </c>
      <c r="BC14" s="19">
        <v>0</v>
      </c>
      <c r="BD14" s="17">
        <v>31</v>
      </c>
      <c r="BE14" s="19">
        <v>3136697529.0512481</v>
      </c>
      <c r="BF14" s="17">
        <v>0</v>
      </c>
      <c r="BG14" s="19">
        <v>0</v>
      </c>
      <c r="BH14" s="26">
        <f t="shared" si="21"/>
        <v>0.23099961182514273</v>
      </c>
      <c r="BI14" s="26">
        <f t="shared" si="22"/>
        <v>0</v>
      </c>
      <c r="BJ14" s="26">
        <f t="shared" si="23"/>
        <v>0.23099961182514273</v>
      </c>
      <c r="BK14" s="26">
        <f t="shared" si="24"/>
        <v>0</v>
      </c>
      <c r="BL14" s="34">
        <f t="shared" si="27"/>
        <v>184511619.35595578</v>
      </c>
      <c r="BM14" s="35">
        <f t="shared" si="26"/>
        <v>1.3588212460302514E-2</v>
      </c>
    </row>
    <row r="15" spans="1:65" x14ac:dyDescent="0.35">
      <c r="A15" s="18">
        <v>14</v>
      </c>
      <c r="B15" t="s">
        <v>255</v>
      </c>
      <c r="C15" s="3" t="s">
        <v>16</v>
      </c>
      <c r="D15" s="17" t="s">
        <v>7</v>
      </c>
      <c r="E15" s="17" t="s">
        <v>13</v>
      </c>
      <c r="F15" s="2">
        <v>0</v>
      </c>
      <c r="G15" s="2">
        <v>0</v>
      </c>
      <c r="H15" s="2">
        <v>1</v>
      </c>
      <c r="I15" s="18">
        <v>2018</v>
      </c>
      <c r="J15" s="2">
        <v>0</v>
      </c>
      <c r="K15" s="2" t="s">
        <v>152</v>
      </c>
      <c r="L15" s="4">
        <v>38474521276.595741</v>
      </c>
      <c r="M15" s="2">
        <v>0</v>
      </c>
      <c r="N15" s="4">
        <v>0</v>
      </c>
      <c r="O15" s="2">
        <v>2</v>
      </c>
      <c r="P15" s="4">
        <v>1420000000</v>
      </c>
      <c r="Q15" s="2">
        <v>2</v>
      </c>
      <c r="R15" s="4">
        <v>1420000000</v>
      </c>
      <c r="S15" s="5">
        <f t="shared" si="0"/>
        <v>0</v>
      </c>
      <c r="T15" s="5">
        <f t="shared" si="1"/>
        <v>3.6907541741495138E-2</v>
      </c>
      <c r="U15" s="5">
        <f t="shared" si="2"/>
        <v>3.6907541741495138E-2</v>
      </c>
      <c r="V15" s="26">
        <f t="shared" si="3"/>
        <v>0</v>
      </c>
      <c r="W15" s="26">
        <f t="shared" si="4"/>
        <v>1.785849032874714E-3</v>
      </c>
      <c r="X15" s="26">
        <f t="shared" si="5"/>
        <v>6.6267506055076692E-4</v>
      </c>
      <c r="Y15" s="26">
        <f t="shared" si="6"/>
        <v>83529411.764705881</v>
      </c>
      <c r="Z15" s="26">
        <f t="shared" si="7"/>
        <v>2.1710318671467727E-3</v>
      </c>
      <c r="AA15" s="2">
        <v>1</v>
      </c>
      <c r="AB15" s="2">
        <v>0</v>
      </c>
      <c r="AC15" s="4">
        <v>0</v>
      </c>
      <c r="AD15" s="2">
        <v>0</v>
      </c>
      <c r="AE15" s="4">
        <v>0</v>
      </c>
      <c r="AF15" s="2">
        <v>0</v>
      </c>
      <c r="AG15" s="4">
        <v>0</v>
      </c>
      <c r="AH15" s="28">
        <f t="shared" si="8"/>
        <v>0</v>
      </c>
      <c r="AI15" s="4">
        <f t="shared" si="9"/>
        <v>0</v>
      </c>
      <c r="AJ15" s="26">
        <f t="shared" si="25"/>
        <v>0</v>
      </c>
      <c r="AK15" s="26">
        <f t="shared" si="10"/>
        <v>0</v>
      </c>
      <c r="AL15" s="4">
        <v>2065479</v>
      </c>
      <c r="AM15" s="4">
        <v>317157</v>
      </c>
      <c r="AN15" s="12">
        <f t="shared" si="11"/>
        <v>-1748322</v>
      </c>
      <c r="AO15" s="12">
        <f t="shared" si="12"/>
        <v>2382636</v>
      </c>
      <c r="AP15" s="8">
        <v>18589050000</v>
      </c>
      <c r="AQ15" s="8">
        <v>14167296000</v>
      </c>
      <c r="AR15" s="13">
        <f t="shared" si="13"/>
        <v>-4421754000</v>
      </c>
      <c r="AS15" s="13">
        <f t="shared" si="14"/>
        <v>32756346000</v>
      </c>
      <c r="AT15" s="5">
        <f t="shared" si="15"/>
        <v>1.1111267116931742E-4</v>
      </c>
      <c r="AU15" s="5">
        <f t="shared" si="16"/>
        <v>2.2386558451238685E-5</v>
      </c>
      <c r="AV15" s="5">
        <f t="shared" si="17"/>
        <v>7.4398760078538458E-3</v>
      </c>
      <c r="AW15" s="5">
        <f t="shared" si="18"/>
        <v>6.847576912862992E-3</v>
      </c>
      <c r="AX15" s="5">
        <f t="shared" si="19"/>
        <v>7.2738149731352826E-5</v>
      </c>
      <c r="AY15" s="10">
        <f t="shared" si="20"/>
        <v>6.1927632130133101E-5</v>
      </c>
      <c r="AZ15" s="24" t="s">
        <v>152</v>
      </c>
      <c r="BA15" s="29" t="s">
        <v>152</v>
      </c>
      <c r="BB15" s="24" t="s">
        <v>152</v>
      </c>
      <c r="BC15" s="29" t="s">
        <v>152</v>
      </c>
      <c r="BD15" s="24" t="s">
        <v>152</v>
      </c>
      <c r="BE15" s="29" t="s">
        <v>152</v>
      </c>
      <c r="BF15" s="24" t="s">
        <v>152</v>
      </c>
      <c r="BG15" s="29" t="s">
        <v>152</v>
      </c>
      <c r="BH15" s="26">
        <f t="shared" si="21"/>
        <v>0</v>
      </c>
      <c r="BI15" s="26">
        <f t="shared" si="22"/>
        <v>0</v>
      </c>
      <c r="BJ15" s="26">
        <f t="shared" si="23"/>
        <v>0</v>
      </c>
      <c r="BK15" s="26">
        <f t="shared" si="24"/>
        <v>0</v>
      </c>
      <c r="BL15" s="34">
        <f t="shared" si="27"/>
        <v>0</v>
      </c>
      <c r="BM15" s="35">
        <f t="shared" si="26"/>
        <v>0</v>
      </c>
    </row>
    <row r="16" spans="1:65" x14ac:dyDescent="0.35">
      <c r="A16" s="18">
        <v>15</v>
      </c>
      <c r="B16" t="s">
        <v>256</v>
      </c>
      <c r="C16" s="3" t="s">
        <v>17</v>
      </c>
      <c r="D16" s="17" t="s">
        <v>1</v>
      </c>
      <c r="E16" s="17" t="s">
        <v>10</v>
      </c>
      <c r="F16" s="2">
        <v>1</v>
      </c>
      <c r="G16" s="2">
        <v>1</v>
      </c>
      <c r="H16" s="2">
        <v>1</v>
      </c>
      <c r="I16" s="18">
        <v>2019</v>
      </c>
      <c r="J16" s="2">
        <v>0</v>
      </c>
      <c r="K16" s="2" t="s">
        <v>152</v>
      </c>
      <c r="L16" s="4">
        <v>302563398919.92755</v>
      </c>
      <c r="M16" s="2">
        <v>15</v>
      </c>
      <c r="N16" s="4">
        <v>3590000000</v>
      </c>
      <c r="O16" s="2">
        <v>46</v>
      </c>
      <c r="P16" s="4">
        <v>25260000000</v>
      </c>
      <c r="Q16" s="2">
        <v>61</v>
      </c>
      <c r="R16" s="4">
        <v>28850000000</v>
      </c>
      <c r="S16" s="5">
        <f t="shared" si="0"/>
        <v>1.1865281831230624E-2</v>
      </c>
      <c r="T16" s="5">
        <f t="shared" si="1"/>
        <v>8.3486634834787063E-2</v>
      </c>
      <c r="U16" s="5">
        <f t="shared" si="2"/>
        <v>9.5351916666017694E-2</v>
      </c>
      <c r="V16" s="26">
        <f t="shared" si="3"/>
        <v>2.6738565353075679E-3</v>
      </c>
      <c r="W16" s="26">
        <f t="shared" si="4"/>
        <v>3.1767990542545969E-2</v>
      </c>
      <c r="X16" s="26">
        <f t="shared" si="5"/>
        <v>1.3463503871049033E-2</v>
      </c>
      <c r="Y16" s="26">
        <f t="shared" si="6"/>
        <v>1697058823.5294118</v>
      </c>
      <c r="Z16" s="26">
        <f t="shared" si="7"/>
        <v>5.6089362744716296E-3</v>
      </c>
      <c r="AA16" s="2">
        <v>1</v>
      </c>
      <c r="AB16" s="11">
        <v>14</v>
      </c>
      <c r="AC16" s="27">
        <v>2639000000</v>
      </c>
      <c r="AD16" s="11">
        <v>5</v>
      </c>
      <c r="AE16" s="27">
        <v>1634400000</v>
      </c>
      <c r="AF16" s="2">
        <v>0</v>
      </c>
      <c r="AG16" s="4">
        <v>0</v>
      </c>
      <c r="AH16" s="28">
        <f t="shared" si="8"/>
        <v>19</v>
      </c>
      <c r="AI16" s="4">
        <f t="shared" si="9"/>
        <v>4273400000</v>
      </c>
      <c r="AJ16" s="26">
        <f t="shared" si="25"/>
        <v>1.4123981999326171E-2</v>
      </c>
      <c r="AK16" s="26">
        <f t="shared" si="10"/>
        <v>0.10720961720491828</v>
      </c>
      <c r="AL16" s="14">
        <v>17335124000</v>
      </c>
      <c r="AM16" s="14">
        <v>1036436000</v>
      </c>
      <c r="AN16" s="12">
        <f t="shared" si="11"/>
        <v>-16298688000</v>
      </c>
      <c r="AO16" s="12">
        <f t="shared" si="12"/>
        <v>18371560000</v>
      </c>
      <c r="AP16" s="8">
        <v>58004860000</v>
      </c>
      <c r="AQ16" s="8">
        <v>47632799000</v>
      </c>
      <c r="AR16" s="13">
        <f t="shared" si="13"/>
        <v>-10372061000</v>
      </c>
      <c r="AS16" s="13">
        <f t="shared" si="14"/>
        <v>105637659000</v>
      </c>
      <c r="AT16" s="5">
        <f t="shared" si="15"/>
        <v>0.29885640617010367</v>
      </c>
      <c r="AU16" s="5">
        <f t="shared" si="16"/>
        <v>2.1758872494559895E-2</v>
      </c>
      <c r="AV16" s="5">
        <f t="shared" si="17"/>
        <v>2.321522435266575E-2</v>
      </c>
      <c r="AW16" s="5">
        <f t="shared" si="18"/>
        <v>2.3022689349290325E-2</v>
      </c>
      <c r="AX16" s="5">
        <f t="shared" si="19"/>
        <v>0.17391108600768973</v>
      </c>
      <c r="AY16" s="10">
        <f t="shared" si="20"/>
        <v>6.0719703921828218E-2</v>
      </c>
      <c r="AZ16" s="24">
        <v>120</v>
      </c>
      <c r="BA16" s="19">
        <v>13120697227.954836</v>
      </c>
      <c r="BB16" s="17">
        <v>79</v>
      </c>
      <c r="BC16" s="19">
        <v>4313536700.984539</v>
      </c>
      <c r="BD16" s="17">
        <v>35</v>
      </c>
      <c r="BE16" s="19">
        <v>8051891621.6969776</v>
      </c>
      <c r="BF16" s="17">
        <v>6</v>
      </c>
      <c r="BG16" s="19">
        <v>755268905.27331805</v>
      </c>
      <c r="BH16" s="26">
        <f t="shared" si="21"/>
        <v>4.3365117111958368E-2</v>
      </c>
      <c r="BI16" s="26">
        <f t="shared" si="22"/>
        <v>1.4256637505999536E-2</v>
      </c>
      <c r="BJ16" s="26">
        <f t="shared" si="23"/>
        <v>2.6612246062941294E-2</v>
      </c>
      <c r="BK16" s="26">
        <f t="shared" si="24"/>
        <v>2.4962335430175333E-3</v>
      </c>
      <c r="BL16" s="34">
        <f t="shared" si="27"/>
        <v>771805719.29146099</v>
      </c>
      <c r="BM16" s="35">
        <f t="shared" si="26"/>
        <v>2.5508892418799043E-3</v>
      </c>
    </row>
    <row r="17" spans="1:65" x14ac:dyDescent="0.35">
      <c r="A17" s="18">
        <v>16</v>
      </c>
      <c r="B17" t="s">
        <v>257</v>
      </c>
      <c r="C17" s="3" t="s">
        <v>18</v>
      </c>
      <c r="D17" s="17" t="s">
        <v>12</v>
      </c>
      <c r="E17" s="17" t="s">
        <v>13</v>
      </c>
      <c r="F17" s="2">
        <v>0</v>
      </c>
      <c r="G17" s="2">
        <v>0</v>
      </c>
      <c r="H17" s="2">
        <v>1</v>
      </c>
      <c r="I17" s="18">
        <v>2019</v>
      </c>
      <c r="J17" s="2">
        <v>0</v>
      </c>
      <c r="K17" s="2" t="s">
        <v>152</v>
      </c>
      <c r="L17" s="4">
        <v>5209000000</v>
      </c>
      <c r="M17" s="2">
        <v>0</v>
      </c>
      <c r="N17" s="4">
        <v>0</v>
      </c>
      <c r="O17" s="2">
        <v>3</v>
      </c>
      <c r="P17" s="4">
        <v>490000000</v>
      </c>
      <c r="Q17" s="2">
        <v>3</v>
      </c>
      <c r="R17" s="4">
        <v>490000000</v>
      </c>
      <c r="S17" s="5">
        <f t="shared" si="0"/>
        <v>0</v>
      </c>
      <c r="T17" s="5">
        <f t="shared" si="1"/>
        <v>9.4067959301209439E-2</v>
      </c>
      <c r="U17" s="5">
        <f t="shared" si="2"/>
        <v>9.4067959301209439E-2</v>
      </c>
      <c r="V17" s="26">
        <f t="shared" si="3"/>
        <v>0</v>
      </c>
      <c r="W17" s="26">
        <f t="shared" si="4"/>
        <v>6.1624368035817587E-4</v>
      </c>
      <c r="X17" s="26">
        <f t="shared" si="5"/>
        <v>2.2866956314779988E-4</v>
      </c>
      <c r="Y17" s="26">
        <f t="shared" si="6"/>
        <v>28823529.411764707</v>
      </c>
      <c r="Z17" s="26">
        <f t="shared" si="7"/>
        <v>5.5334093706593795E-3</v>
      </c>
      <c r="AA17" s="2">
        <v>0</v>
      </c>
      <c r="AB17" s="18" t="s">
        <v>152</v>
      </c>
      <c r="AC17" s="4" t="s">
        <v>152</v>
      </c>
      <c r="AD17" s="2" t="s">
        <v>152</v>
      </c>
      <c r="AE17" s="4" t="s">
        <v>152</v>
      </c>
      <c r="AF17" s="2" t="s">
        <v>152</v>
      </c>
      <c r="AG17" s="4" t="s">
        <v>152</v>
      </c>
      <c r="AH17" s="28">
        <f t="shared" si="8"/>
        <v>0</v>
      </c>
      <c r="AI17" s="4" t="str">
        <f t="shared" si="9"/>
        <v>na</v>
      </c>
      <c r="AJ17" s="26" t="str">
        <f t="shared" si="25"/>
        <v>na</v>
      </c>
      <c r="AK17" s="26" t="str">
        <f t="shared" si="10"/>
        <v>na</v>
      </c>
      <c r="AL17" s="14">
        <v>155688000</v>
      </c>
      <c r="AM17" s="4">
        <v>41000</v>
      </c>
      <c r="AN17" s="12">
        <f t="shared" si="11"/>
        <v>-155647000</v>
      </c>
      <c r="AO17" s="12">
        <f t="shared" si="12"/>
        <v>155729000</v>
      </c>
      <c r="AP17" s="8">
        <v>1581059000</v>
      </c>
      <c r="AQ17" s="8">
        <v>444089000</v>
      </c>
      <c r="AR17" s="13">
        <f t="shared" si="13"/>
        <v>-1136970000</v>
      </c>
      <c r="AS17" s="13">
        <f t="shared" si="14"/>
        <v>2025148000</v>
      </c>
      <c r="AT17" s="5">
        <f t="shared" si="15"/>
        <v>9.8470708556733177E-2</v>
      </c>
      <c r="AU17" s="5">
        <f t="shared" si="16"/>
        <v>9.2323835987831264E-5</v>
      </c>
      <c r="AV17" s="5">
        <f t="shared" si="17"/>
        <v>6.3278558727322774E-4</v>
      </c>
      <c r="AW17" s="5">
        <f t="shared" si="18"/>
        <v>2.1464460004622007E-4</v>
      </c>
      <c r="AX17" s="5">
        <f t="shared" si="19"/>
        <v>7.6897589707023886E-2</v>
      </c>
      <c r="AY17" s="10">
        <f t="shared" si="20"/>
        <v>2.989614129391438E-2</v>
      </c>
      <c r="AZ17" s="24">
        <v>74</v>
      </c>
      <c r="BA17" s="19">
        <v>237145251.16707271</v>
      </c>
      <c r="BB17" s="17">
        <v>21</v>
      </c>
      <c r="BC17" s="19">
        <v>10215340.313144807</v>
      </c>
      <c r="BD17" s="17">
        <v>53</v>
      </c>
      <c r="BE17" s="19">
        <v>226929910.85392791</v>
      </c>
      <c r="BF17" s="17">
        <v>0</v>
      </c>
      <c r="BG17" s="19">
        <v>0</v>
      </c>
      <c r="BH17" s="26">
        <f t="shared" si="21"/>
        <v>4.5526060888284259E-2</v>
      </c>
      <c r="BI17" s="26">
        <f t="shared" si="22"/>
        <v>1.9610943200508366E-3</v>
      </c>
      <c r="BJ17" s="26">
        <f t="shared" si="23"/>
        <v>4.3564966568233422E-2</v>
      </c>
      <c r="BK17" s="26">
        <f t="shared" si="24"/>
        <v>0</v>
      </c>
      <c r="BL17" s="34">
        <f t="shared" si="27"/>
        <v>13949720.65688663</v>
      </c>
      <c r="BM17" s="35">
        <f t="shared" si="26"/>
        <v>2.6780035816637801E-3</v>
      </c>
    </row>
    <row r="18" spans="1:65" x14ac:dyDescent="0.35">
      <c r="A18" s="18">
        <v>17</v>
      </c>
      <c r="B18" t="s">
        <v>258</v>
      </c>
      <c r="C18" s="3" t="s">
        <v>19</v>
      </c>
      <c r="D18" s="17" t="s">
        <v>4</v>
      </c>
      <c r="E18" s="17" t="s">
        <v>5</v>
      </c>
      <c r="F18" s="2">
        <v>3</v>
      </c>
      <c r="G18" s="2">
        <v>0</v>
      </c>
      <c r="H18" s="2">
        <v>1</v>
      </c>
      <c r="I18" s="18">
        <v>2013</v>
      </c>
      <c r="J18" s="2">
        <v>0</v>
      </c>
      <c r="K18" s="2" t="s">
        <v>152</v>
      </c>
      <c r="L18" s="4">
        <v>64409647193.804375</v>
      </c>
      <c r="M18" s="2">
        <v>8</v>
      </c>
      <c r="N18" s="4">
        <v>3460000000</v>
      </c>
      <c r="O18" s="2">
        <v>9</v>
      </c>
      <c r="P18" s="4">
        <v>2720000000</v>
      </c>
      <c r="Q18" s="2">
        <v>17</v>
      </c>
      <c r="R18" s="4">
        <v>6180000000</v>
      </c>
      <c r="S18" s="5">
        <f t="shared" si="0"/>
        <v>5.3718660957559485E-2</v>
      </c>
      <c r="T18" s="5">
        <f t="shared" si="1"/>
        <v>4.2229698787445605E-2</v>
      </c>
      <c r="U18" s="5">
        <f t="shared" si="2"/>
        <v>9.5948359745005096E-2</v>
      </c>
      <c r="V18" s="26">
        <f t="shared" si="3"/>
        <v>2.5770316468423913E-3</v>
      </c>
      <c r="W18" s="26">
        <f t="shared" si="4"/>
        <v>3.4207812460698745E-3</v>
      </c>
      <c r="X18" s="26">
        <f t="shared" si="5"/>
        <v>2.8840365311293943E-3</v>
      </c>
      <c r="Y18" s="26">
        <f t="shared" si="6"/>
        <v>363529411.7647059</v>
      </c>
      <c r="Z18" s="26">
        <f t="shared" si="7"/>
        <v>5.6440211614708878E-3</v>
      </c>
      <c r="AA18" s="2">
        <v>2</v>
      </c>
      <c r="AB18" s="2">
        <v>0</v>
      </c>
      <c r="AC18" s="4">
        <v>0</v>
      </c>
      <c r="AD18" s="11">
        <v>2</v>
      </c>
      <c r="AE18" s="27">
        <v>231000000</v>
      </c>
      <c r="AF18" s="2">
        <v>0</v>
      </c>
      <c r="AG18" s="4">
        <v>0</v>
      </c>
      <c r="AH18" s="28">
        <f t="shared" si="8"/>
        <v>2</v>
      </c>
      <c r="AI18" s="4">
        <f t="shared" si="9"/>
        <v>231000000</v>
      </c>
      <c r="AJ18" s="26">
        <f t="shared" si="25"/>
        <v>3.5864192720220351E-3</v>
      </c>
      <c r="AK18" s="26">
        <f t="shared" si="10"/>
        <v>5.7952500524959339E-3</v>
      </c>
      <c r="AL18" s="14">
        <v>1777676000</v>
      </c>
      <c r="AM18" s="4">
        <v>634666000</v>
      </c>
      <c r="AN18" s="12">
        <f t="shared" si="11"/>
        <v>-1143010000</v>
      </c>
      <c r="AO18" s="12">
        <f t="shared" si="12"/>
        <v>2412342000</v>
      </c>
      <c r="AP18" s="8">
        <v>39476679000</v>
      </c>
      <c r="AQ18" s="8">
        <v>32955122000</v>
      </c>
      <c r="AR18" s="13">
        <f t="shared" si="13"/>
        <v>-6521557000</v>
      </c>
      <c r="AS18" s="13">
        <f t="shared" si="14"/>
        <v>72431801000</v>
      </c>
      <c r="AT18" s="5">
        <f t="shared" si="15"/>
        <v>4.5031042251553126E-2</v>
      </c>
      <c r="AU18" s="5">
        <f t="shared" si="16"/>
        <v>1.9258493414164874E-2</v>
      </c>
      <c r="AV18" s="5">
        <f t="shared" si="17"/>
        <v>1.5799709880916335E-2</v>
      </c>
      <c r="AW18" s="5">
        <f t="shared" si="18"/>
        <v>1.5928426466686605E-2</v>
      </c>
      <c r="AX18" s="5">
        <f t="shared" si="19"/>
        <v>3.3305011979475697E-2</v>
      </c>
      <c r="AY18" s="10">
        <f t="shared" si="20"/>
        <v>3.7453116188347103E-2</v>
      </c>
      <c r="AZ18" s="24">
        <v>112</v>
      </c>
      <c r="BA18" s="19">
        <v>43845023715.92009</v>
      </c>
      <c r="BB18" s="17">
        <v>30</v>
      </c>
      <c r="BC18" s="19">
        <v>523596159.95291084</v>
      </c>
      <c r="BD18" s="17">
        <v>63</v>
      </c>
      <c r="BE18" s="19">
        <v>29055329693.990318</v>
      </c>
      <c r="BF18" s="17">
        <v>19</v>
      </c>
      <c r="BG18" s="19">
        <v>14266097861.976858</v>
      </c>
      <c r="BH18" s="26">
        <f t="shared" si="21"/>
        <v>0.68072137678371858</v>
      </c>
      <c r="BI18" s="26">
        <f t="shared" si="22"/>
        <v>8.1291573974539028E-3</v>
      </c>
      <c r="BJ18" s="26">
        <f t="shared" si="23"/>
        <v>0.45110214012762329</v>
      </c>
      <c r="BK18" s="26">
        <f t="shared" si="24"/>
        <v>0.22149007925864136</v>
      </c>
      <c r="BL18" s="34">
        <f t="shared" si="27"/>
        <v>2579119042.1129465</v>
      </c>
      <c r="BM18" s="35">
        <f t="shared" si="26"/>
        <v>4.0042433928454038E-2</v>
      </c>
    </row>
    <row r="19" spans="1:65" x14ac:dyDescent="0.35">
      <c r="A19" s="18">
        <v>18</v>
      </c>
      <c r="B19" t="s">
        <v>259</v>
      </c>
      <c r="C19" s="3" t="s">
        <v>175</v>
      </c>
      <c r="D19" s="17" t="s">
        <v>4</v>
      </c>
      <c r="E19" s="17" t="s">
        <v>13</v>
      </c>
      <c r="F19" s="2">
        <v>0</v>
      </c>
      <c r="G19" s="2">
        <v>0</v>
      </c>
      <c r="H19" s="2">
        <v>0</v>
      </c>
      <c r="I19" s="3" t="s">
        <v>152</v>
      </c>
      <c r="J19" s="2">
        <v>0</v>
      </c>
      <c r="K19" s="2" t="s">
        <v>152</v>
      </c>
      <c r="L19" s="4">
        <v>533254518108.23444</v>
      </c>
      <c r="M19" s="2">
        <v>10</v>
      </c>
      <c r="N19" s="4">
        <v>4630000000</v>
      </c>
      <c r="O19" s="2">
        <v>0</v>
      </c>
      <c r="P19" s="4">
        <v>0</v>
      </c>
      <c r="Q19" s="2">
        <v>10</v>
      </c>
      <c r="R19" s="4">
        <v>4630000000</v>
      </c>
      <c r="S19" s="5">
        <f t="shared" si="0"/>
        <v>8.6825330921251592E-3</v>
      </c>
      <c r="T19" s="15">
        <f t="shared" si="1"/>
        <v>0</v>
      </c>
      <c r="U19" s="5">
        <f t="shared" si="2"/>
        <v>8.6825330921251592E-3</v>
      </c>
      <c r="V19" s="26">
        <f t="shared" si="3"/>
        <v>3.4484556430289803E-3</v>
      </c>
      <c r="W19" s="26">
        <f t="shared" si="4"/>
        <v>0</v>
      </c>
      <c r="X19" s="26">
        <f t="shared" si="5"/>
        <v>2.1606940354577824E-3</v>
      </c>
      <c r="Y19" s="26">
        <f t="shared" si="6"/>
        <v>272352941.17647058</v>
      </c>
      <c r="Z19" s="26">
        <f t="shared" si="7"/>
        <v>5.1073724071324462E-4</v>
      </c>
      <c r="AA19" s="2">
        <v>2</v>
      </c>
      <c r="AB19" s="2">
        <v>0</v>
      </c>
      <c r="AC19" s="4">
        <v>0</v>
      </c>
      <c r="AD19" s="2">
        <v>0</v>
      </c>
      <c r="AE19" s="4">
        <v>0</v>
      </c>
      <c r="AF19" s="2">
        <v>0</v>
      </c>
      <c r="AG19" s="4">
        <v>0</v>
      </c>
      <c r="AH19" s="28">
        <f t="shared" si="8"/>
        <v>0</v>
      </c>
      <c r="AI19" s="4">
        <f t="shared" si="9"/>
        <v>0</v>
      </c>
      <c r="AJ19" s="26">
        <f t="shared" si="25"/>
        <v>0</v>
      </c>
      <c r="AK19" s="26">
        <f t="shared" si="10"/>
        <v>0</v>
      </c>
      <c r="AL19" s="14">
        <v>18242346000</v>
      </c>
      <c r="AM19" s="4">
        <v>7921361000</v>
      </c>
      <c r="AN19" s="12">
        <f t="shared" si="11"/>
        <v>-10320985000</v>
      </c>
      <c r="AO19" s="12">
        <f t="shared" si="12"/>
        <v>26163707000</v>
      </c>
      <c r="AP19" s="8">
        <v>427766455000</v>
      </c>
      <c r="AQ19" s="8">
        <v>446876870000</v>
      </c>
      <c r="AR19" s="13">
        <f t="shared" si="13"/>
        <v>19110415000</v>
      </c>
      <c r="AS19" s="13">
        <f t="shared" si="14"/>
        <v>874643325000</v>
      </c>
      <c r="AT19" s="5">
        <f t="shared" si="15"/>
        <v>4.2645573973302792E-2</v>
      </c>
      <c r="AU19" s="5">
        <f t="shared" si="16"/>
        <v>1.7726048340787923E-2</v>
      </c>
      <c r="AV19" s="5">
        <f t="shared" si="17"/>
        <v>0.171204520162095</v>
      </c>
      <c r="AW19" s="5">
        <f t="shared" si="18"/>
        <v>0.21599208048624638</v>
      </c>
      <c r="AX19" s="5">
        <f t="shared" si="19"/>
        <v>2.9913573055622415E-2</v>
      </c>
      <c r="AY19" s="10">
        <f t="shared" si="20"/>
        <v>4.906420126137509E-2</v>
      </c>
      <c r="AZ19" s="24" t="s">
        <v>152</v>
      </c>
      <c r="BA19" s="29" t="s">
        <v>152</v>
      </c>
      <c r="BB19" s="24" t="s">
        <v>152</v>
      </c>
      <c r="BC19" s="29" t="s">
        <v>152</v>
      </c>
      <c r="BD19" s="24" t="s">
        <v>152</v>
      </c>
      <c r="BE19" s="29" t="s">
        <v>152</v>
      </c>
      <c r="BF19" s="24" t="s">
        <v>152</v>
      </c>
      <c r="BG19" s="29" t="s">
        <v>152</v>
      </c>
      <c r="BH19" s="26">
        <f t="shared" si="21"/>
        <v>0</v>
      </c>
      <c r="BI19" s="26">
        <f t="shared" si="22"/>
        <v>0</v>
      </c>
      <c r="BJ19" s="26">
        <f t="shared" si="23"/>
        <v>0</v>
      </c>
      <c r="BK19" s="26">
        <f t="shared" si="24"/>
        <v>0</v>
      </c>
      <c r="BL19" s="34">
        <f t="shared" si="27"/>
        <v>0</v>
      </c>
      <c r="BM19" s="35">
        <f t="shared" si="26"/>
        <v>0</v>
      </c>
    </row>
    <row r="20" spans="1:65" x14ac:dyDescent="0.35">
      <c r="A20" s="18">
        <v>19</v>
      </c>
      <c r="B20" t="s">
        <v>260</v>
      </c>
      <c r="C20" s="3" t="s">
        <v>163</v>
      </c>
      <c r="D20" s="17" t="s">
        <v>12</v>
      </c>
      <c r="E20" s="17" t="s">
        <v>10</v>
      </c>
      <c r="F20" s="2">
        <v>0</v>
      </c>
      <c r="G20" s="2">
        <v>0</v>
      </c>
      <c r="H20" s="2">
        <v>0</v>
      </c>
      <c r="I20" s="3" t="s">
        <v>152</v>
      </c>
      <c r="J20" s="2">
        <v>2</v>
      </c>
      <c r="K20" s="2" t="s">
        <v>152</v>
      </c>
      <c r="L20" s="4">
        <v>1982518540.6134</v>
      </c>
      <c r="M20" s="2">
        <v>0</v>
      </c>
      <c r="N20" s="4">
        <v>0</v>
      </c>
      <c r="O20" s="2">
        <v>0</v>
      </c>
      <c r="P20" s="4">
        <v>0</v>
      </c>
      <c r="Q20" s="2">
        <v>0</v>
      </c>
      <c r="R20" s="4">
        <v>0</v>
      </c>
      <c r="S20" s="5">
        <f t="shared" si="0"/>
        <v>0</v>
      </c>
      <c r="T20" s="15">
        <f t="shared" si="1"/>
        <v>0</v>
      </c>
      <c r="U20" s="5">
        <f t="shared" si="2"/>
        <v>0</v>
      </c>
      <c r="V20" s="26">
        <f t="shared" si="3"/>
        <v>0</v>
      </c>
      <c r="W20" s="26">
        <f t="shared" si="4"/>
        <v>0</v>
      </c>
      <c r="X20" s="26">
        <f t="shared" si="5"/>
        <v>0</v>
      </c>
      <c r="Y20" s="26">
        <f t="shared" si="6"/>
        <v>0</v>
      </c>
      <c r="Z20" s="26">
        <f t="shared" si="7"/>
        <v>0</v>
      </c>
      <c r="AA20" s="2">
        <v>0</v>
      </c>
      <c r="AB20" s="2" t="s">
        <v>152</v>
      </c>
      <c r="AC20" s="4" t="s">
        <v>152</v>
      </c>
      <c r="AD20" s="2" t="s">
        <v>152</v>
      </c>
      <c r="AE20" s="4" t="s">
        <v>152</v>
      </c>
      <c r="AF20" s="2" t="s">
        <v>152</v>
      </c>
      <c r="AG20" s="4" t="s">
        <v>152</v>
      </c>
      <c r="AH20" s="28">
        <f t="shared" si="8"/>
        <v>0</v>
      </c>
      <c r="AI20" s="4" t="str">
        <f t="shared" si="9"/>
        <v>na</v>
      </c>
      <c r="AJ20" s="26" t="str">
        <f t="shared" si="25"/>
        <v>na</v>
      </c>
      <c r="AK20" s="26" t="str">
        <f t="shared" si="10"/>
        <v>na</v>
      </c>
      <c r="AL20" s="14">
        <v>116803000</v>
      </c>
      <c r="AM20" s="4">
        <v>648000</v>
      </c>
      <c r="AN20" s="12">
        <f t="shared" si="11"/>
        <v>-116155000</v>
      </c>
      <c r="AO20" s="12">
        <f t="shared" si="12"/>
        <v>117451000</v>
      </c>
      <c r="AP20" s="8">
        <v>985894000</v>
      </c>
      <c r="AQ20" s="8">
        <v>244906000</v>
      </c>
      <c r="AR20" s="13">
        <f t="shared" si="13"/>
        <v>-740988000</v>
      </c>
      <c r="AS20" s="13">
        <f t="shared" si="14"/>
        <v>1230800000</v>
      </c>
      <c r="AT20" s="5">
        <f t="shared" si="15"/>
        <v>0.1184741970232094</v>
      </c>
      <c r="AU20" s="5">
        <f t="shared" si="16"/>
        <v>2.6459131258523678E-3</v>
      </c>
      <c r="AV20" s="5">
        <f t="shared" si="17"/>
        <v>3.9458332281031358E-4</v>
      </c>
      <c r="AW20" s="5">
        <f t="shared" si="18"/>
        <v>1.1837210653477021E-4</v>
      </c>
      <c r="AX20" s="5">
        <f t="shared" si="19"/>
        <v>9.542655183620409E-2</v>
      </c>
      <c r="AY20" s="10">
        <f t="shared" si="20"/>
        <v>5.924332993307601E-2</v>
      </c>
      <c r="AZ20" s="24">
        <v>0</v>
      </c>
      <c r="BA20" s="4" t="s">
        <v>152</v>
      </c>
      <c r="BB20" s="18" t="s">
        <v>152</v>
      </c>
      <c r="BC20" s="4" t="s">
        <v>152</v>
      </c>
      <c r="BD20" s="18" t="s">
        <v>152</v>
      </c>
      <c r="BE20" s="4" t="s">
        <v>152</v>
      </c>
      <c r="BF20" s="18" t="s">
        <v>152</v>
      </c>
      <c r="BG20" s="4" t="s">
        <v>152</v>
      </c>
      <c r="BH20" s="26">
        <f t="shared" si="21"/>
        <v>0</v>
      </c>
      <c r="BI20" s="26">
        <f t="shared" si="22"/>
        <v>0</v>
      </c>
      <c r="BJ20" s="26">
        <f t="shared" si="23"/>
        <v>0</v>
      </c>
      <c r="BK20" s="26">
        <f t="shared" si="24"/>
        <v>0</v>
      </c>
      <c r="BL20" s="34">
        <f t="shared" si="27"/>
        <v>0</v>
      </c>
      <c r="BM20" s="35">
        <f t="shared" si="26"/>
        <v>0</v>
      </c>
    </row>
    <row r="21" spans="1:65" x14ac:dyDescent="0.35">
      <c r="A21" s="18">
        <v>20</v>
      </c>
      <c r="B21" t="s">
        <v>261</v>
      </c>
      <c r="C21" s="3" t="s">
        <v>133</v>
      </c>
      <c r="D21" s="17" t="s">
        <v>9</v>
      </c>
      <c r="E21" s="17" t="s">
        <v>10</v>
      </c>
      <c r="F21" s="2">
        <v>0</v>
      </c>
      <c r="G21" s="2">
        <v>0</v>
      </c>
      <c r="H21" s="2">
        <v>1</v>
      </c>
      <c r="I21" s="18" t="s">
        <v>152</v>
      </c>
      <c r="J21" s="2">
        <v>0</v>
      </c>
      <c r="K21" s="2" t="s">
        <v>152</v>
      </c>
      <c r="L21" s="4">
        <v>14391686309.032972</v>
      </c>
      <c r="M21" s="18">
        <v>1</v>
      </c>
      <c r="N21" s="4">
        <v>240000000</v>
      </c>
      <c r="O21" s="18">
        <v>3</v>
      </c>
      <c r="P21" s="4">
        <v>1490000000</v>
      </c>
      <c r="Q21" s="18">
        <v>4</v>
      </c>
      <c r="R21" s="4">
        <v>1730000000</v>
      </c>
      <c r="S21" s="5">
        <f t="shared" si="0"/>
        <v>1.6676294552735178E-2</v>
      </c>
      <c r="T21" s="5">
        <f t="shared" si="1"/>
        <v>0.1035319953482309</v>
      </c>
      <c r="U21" s="5">
        <f t="shared" si="2"/>
        <v>0.12020828990096608</v>
      </c>
      <c r="V21" s="26">
        <f t="shared" si="3"/>
        <v>1.7875364024340286E-4</v>
      </c>
      <c r="W21" s="26">
        <f t="shared" si="4"/>
        <v>1.8738838443544533E-3</v>
      </c>
      <c r="X21" s="26">
        <f t="shared" si="5"/>
        <v>8.0734355968508937E-4</v>
      </c>
      <c r="Y21" s="26">
        <f t="shared" si="6"/>
        <v>101764705.88235295</v>
      </c>
      <c r="Z21" s="26">
        <f t="shared" si="7"/>
        <v>7.0710758765274171E-3</v>
      </c>
      <c r="AA21" s="2">
        <v>2</v>
      </c>
      <c r="AB21" s="18">
        <v>0</v>
      </c>
      <c r="AC21" s="4">
        <v>0</v>
      </c>
      <c r="AD21" s="2">
        <v>0</v>
      </c>
      <c r="AE21" s="4">
        <v>0</v>
      </c>
      <c r="AF21" s="2">
        <v>0</v>
      </c>
      <c r="AG21" s="4">
        <v>0</v>
      </c>
      <c r="AH21" s="28">
        <f t="shared" si="8"/>
        <v>0</v>
      </c>
      <c r="AI21" s="4">
        <f t="shared" si="9"/>
        <v>0</v>
      </c>
      <c r="AJ21" s="26">
        <f t="shared" si="25"/>
        <v>0</v>
      </c>
      <c r="AK21" s="26">
        <f t="shared" si="10"/>
        <v>0</v>
      </c>
      <c r="AL21" s="14">
        <v>2155750000</v>
      </c>
      <c r="AM21" s="4">
        <v>62786000</v>
      </c>
      <c r="AN21" s="12">
        <f t="shared" si="11"/>
        <v>-2092964000</v>
      </c>
      <c r="AO21" s="12">
        <f t="shared" si="12"/>
        <v>2218536000</v>
      </c>
      <c r="AP21" s="8">
        <v>2928973000</v>
      </c>
      <c r="AQ21" s="8">
        <v>850666000</v>
      </c>
      <c r="AR21" s="13">
        <f t="shared" si="13"/>
        <v>-2078307000</v>
      </c>
      <c r="AS21" s="13">
        <f t="shared" si="14"/>
        <v>3779639000</v>
      </c>
      <c r="AT21" s="5">
        <f t="shared" si="15"/>
        <v>0.73600883313024734</v>
      </c>
      <c r="AU21" s="5">
        <f t="shared" si="16"/>
        <v>7.3808051573708136E-2</v>
      </c>
      <c r="AV21" s="5">
        <f t="shared" si="17"/>
        <v>1.1722597954361145E-3</v>
      </c>
      <c r="AW21" s="5">
        <f t="shared" si="18"/>
        <v>4.1115826634507453E-4</v>
      </c>
      <c r="AX21" s="5">
        <f t="shared" si="19"/>
        <v>0.58697034293486761</v>
      </c>
      <c r="AY21" s="10">
        <f t="shared" si="20"/>
        <v>0.15415399921602871</v>
      </c>
      <c r="AZ21" s="24">
        <v>107</v>
      </c>
      <c r="BA21" s="19">
        <v>1617030787.8226161</v>
      </c>
      <c r="BB21" s="17">
        <v>97</v>
      </c>
      <c r="BC21" s="19">
        <v>1265774443.634197</v>
      </c>
      <c r="BD21" s="17">
        <v>8</v>
      </c>
      <c r="BE21" s="19">
        <v>351256344.18841916</v>
      </c>
      <c r="BF21" s="17">
        <v>2</v>
      </c>
      <c r="BG21" s="19">
        <v>0</v>
      </c>
      <c r="BH21" s="26">
        <f t="shared" si="21"/>
        <v>0.1123586738273807</v>
      </c>
      <c r="BI21" s="26">
        <f t="shared" si="22"/>
        <v>8.7951781080701508E-2</v>
      </c>
      <c r="BJ21" s="26">
        <f t="shared" si="23"/>
        <v>2.4406892746679197E-2</v>
      </c>
      <c r="BK21" s="26">
        <f t="shared" si="24"/>
        <v>0</v>
      </c>
      <c r="BL21" s="34">
        <f t="shared" si="27"/>
        <v>95119458.107212707</v>
      </c>
      <c r="BM21" s="35">
        <f t="shared" si="26"/>
        <v>6.6093337545518049E-3</v>
      </c>
    </row>
    <row r="22" spans="1:65" x14ac:dyDescent="0.35">
      <c r="A22" s="18">
        <v>21</v>
      </c>
      <c r="B22" t="s">
        <v>262</v>
      </c>
      <c r="C22" s="3" t="s">
        <v>191</v>
      </c>
      <c r="D22" s="17" t="s">
        <v>215</v>
      </c>
      <c r="E22" s="17" t="s">
        <v>13</v>
      </c>
      <c r="F22" s="2">
        <v>0</v>
      </c>
      <c r="G22" s="2">
        <v>0</v>
      </c>
      <c r="H22" s="2">
        <v>0</v>
      </c>
      <c r="I22" s="3" t="s">
        <v>152</v>
      </c>
      <c r="J22" s="2">
        <v>0</v>
      </c>
      <c r="K22" s="2" t="s">
        <v>152</v>
      </c>
      <c r="L22" s="4">
        <v>7484113000</v>
      </c>
      <c r="M22" s="18">
        <v>0</v>
      </c>
      <c r="N22" s="4">
        <v>0</v>
      </c>
      <c r="O22" s="18">
        <v>0</v>
      </c>
      <c r="P22" s="4">
        <v>0</v>
      </c>
      <c r="Q22" s="18">
        <v>0</v>
      </c>
      <c r="R22" s="4">
        <v>0</v>
      </c>
      <c r="S22" s="5">
        <f t="shared" si="0"/>
        <v>0</v>
      </c>
      <c r="T22" s="15">
        <f t="shared" si="1"/>
        <v>0</v>
      </c>
      <c r="U22" s="5">
        <f t="shared" si="2"/>
        <v>0</v>
      </c>
      <c r="V22" s="26">
        <f t="shared" si="3"/>
        <v>0</v>
      </c>
      <c r="W22" s="26">
        <f t="shared" si="4"/>
        <v>0</v>
      </c>
      <c r="X22" s="26">
        <f t="shared" si="5"/>
        <v>0</v>
      </c>
      <c r="Y22" s="26">
        <f t="shared" si="6"/>
        <v>0</v>
      </c>
      <c r="Z22" s="26">
        <f t="shared" si="7"/>
        <v>0</v>
      </c>
      <c r="AA22" s="2">
        <v>0</v>
      </c>
      <c r="AB22" s="18" t="s">
        <v>152</v>
      </c>
      <c r="AC22" s="4" t="s">
        <v>152</v>
      </c>
      <c r="AD22" s="18" t="s">
        <v>152</v>
      </c>
      <c r="AE22" s="4" t="s">
        <v>152</v>
      </c>
      <c r="AF22" s="18" t="s">
        <v>152</v>
      </c>
      <c r="AG22" s="4" t="s">
        <v>152</v>
      </c>
      <c r="AH22" s="28">
        <f t="shared" si="8"/>
        <v>0</v>
      </c>
      <c r="AI22" s="4" t="str">
        <f t="shared" si="9"/>
        <v>na</v>
      </c>
      <c r="AJ22" s="26" t="str">
        <f t="shared" si="25"/>
        <v>na</v>
      </c>
      <c r="AK22" s="26" t="str">
        <f t="shared" si="10"/>
        <v>na</v>
      </c>
      <c r="AL22" s="4">
        <v>25093000</v>
      </c>
      <c r="AM22" s="4">
        <v>79000</v>
      </c>
      <c r="AN22" s="12">
        <f t="shared" si="11"/>
        <v>-25014000</v>
      </c>
      <c r="AO22" s="12">
        <f t="shared" si="12"/>
        <v>25172000</v>
      </c>
      <c r="AP22" s="8">
        <v>1119092000</v>
      </c>
      <c r="AQ22" s="8">
        <v>26833000</v>
      </c>
      <c r="AR22" s="13">
        <f t="shared" si="13"/>
        <v>-1092259000</v>
      </c>
      <c r="AS22" s="13">
        <f t="shared" si="14"/>
        <v>1145925000</v>
      </c>
      <c r="AT22" s="5">
        <f t="shared" si="15"/>
        <v>2.2422642642427968E-2</v>
      </c>
      <c r="AU22" s="5">
        <f t="shared" si="16"/>
        <v>2.9441359519994039E-3</v>
      </c>
      <c r="AV22" s="5">
        <f t="shared" si="17"/>
        <v>4.4789301881382733E-4</v>
      </c>
      <c r="AW22" s="5">
        <f t="shared" si="18"/>
        <v>1.2969379005199909E-5</v>
      </c>
      <c r="AX22" s="5">
        <f t="shared" si="19"/>
        <v>2.1966533586403998E-2</v>
      </c>
      <c r="AY22" s="10">
        <f t="shared" si="20"/>
        <v>3.3633912261880599E-3</v>
      </c>
      <c r="AZ22" s="24" t="s">
        <v>152</v>
      </c>
      <c r="BA22" s="29" t="s">
        <v>152</v>
      </c>
      <c r="BB22" s="24" t="s">
        <v>152</v>
      </c>
      <c r="BC22" s="29" t="s">
        <v>152</v>
      </c>
      <c r="BD22" s="24" t="s">
        <v>152</v>
      </c>
      <c r="BE22" s="29" t="s">
        <v>152</v>
      </c>
      <c r="BF22" s="24" t="s">
        <v>152</v>
      </c>
      <c r="BG22" s="29" t="s">
        <v>152</v>
      </c>
      <c r="BH22" s="26">
        <f t="shared" si="21"/>
        <v>0</v>
      </c>
      <c r="BI22" s="26">
        <f t="shared" si="22"/>
        <v>0</v>
      </c>
      <c r="BJ22" s="26">
        <f t="shared" si="23"/>
        <v>0</v>
      </c>
      <c r="BK22" s="26">
        <f t="shared" si="24"/>
        <v>0</v>
      </c>
      <c r="BL22" s="34">
        <f t="shared" si="27"/>
        <v>0</v>
      </c>
      <c r="BM22" s="35">
        <f t="shared" si="26"/>
        <v>0</v>
      </c>
    </row>
    <row r="23" spans="1:65" x14ac:dyDescent="0.35">
      <c r="A23" s="18">
        <v>22</v>
      </c>
      <c r="B23" t="s">
        <v>263</v>
      </c>
      <c r="C23" s="3" t="s">
        <v>214</v>
      </c>
      <c r="D23" s="17" t="s">
        <v>1</v>
      </c>
      <c r="E23" s="17" t="s">
        <v>10</v>
      </c>
      <c r="F23" s="2">
        <v>0</v>
      </c>
      <c r="G23" s="2">
        <v>0</v>
      </c>
      <c r="H23" s="2">
        <v>0</v>
      </c>
      <c r="I23" s="3" t="s">
        <v>152</v>
      </c>
      <c r="J23" s="2">
        <v>0</v>
      </c>
      <c r="K23" s="2" t="s">
        <v>152</v>
      </c>
      <c r="L23" s="4">
        <v>2530547157.566781</v>
      </c>
      <c r="M23" s="18">
        <v>0</v>
      </c>
      <c r="N23" s="4">
        <v>0</v>
      </c>
      <c r="O23" s="18">
        <v>0</v>
      </c>
      <c r="P23" s="4">
        <v>0</v>
      </c>
      <c r="Q23" s="18">
        <v>0</v>
      </c>
      <c r="R23" s="4">
        <v>5060000000</v>
      </c>
      <c r="S23" s="5">
        <f t="shared" si="0"/>
        <v>0</v>
      </c>
      <c r="T23" s="15">
        <f t="shared" si="1"/>
        <v>0</v>
      </c>
      <c r="U23" s="5">
        <f t="shared" si="2"/>
        <v>1.9995675578973939</v>
      </c>
      <c r="V23" s="26">
        <f t="shared" si="3"/>
        <v>0</v>
      </c>
      <c r="W23" s="26">
        <f t="shared" si="4"/>
        <v>0</v>
      </c>
      <c r="X23" s="26">
        <f t="shared" si="5"/>
        <v>2.361363243934423E-3</v>
      </c>
      <c r="Y23" s="26">
        <f t="shared" si="6"/>
        <v>297647058.82352942</v>
      </c>
      <c r="Z23" s="26">
        <f t="shared" si="7"/>
        <v>0.11762162105278788</v>
      </c>
      <c r="AA23" s="2">
        <v>0</v>
      </c>
      <c r="AB23" s="2" t="s">
        <v>152</v>
      </c>
      <c r="AC23" s="4" t="s">
        <v>152</v>
      </c>
      <c r="AD23" s="2" t="s">
        <v>152</v>
      </c>
      <c r="AE23" s="4" t="s">
        <v>152</v>
      </c>
      <c r="AF23" s="2" t="s">
        <v>152</v>
      </c>
      <c r="AG23" s="4" t="s">
        <v>152</v>
      </c>
      <c r="AH23" s="28">
        <f t="shared" si="8"/>
        <v>0</v>
      </c>
      <c r="AI23" s="4" t="str">
        <f t="shared" si="9"/>
        <v>na</v>
      </c>
      <c r="AJ23" s="26" t="str">
        <f t="shared" si="25"/>
        <v>na</v>
      </c>
      <c r="AK23" s="26" t="str">
        <f t="shared" si="10"/>
        <v>na</v>
      </c>
      <c r="AL23" s="14">
        <v>10805000</v>
      </c>
      <c r="AM23" s="14">
        <v>46000</v>
      </c>
      <c r="AN23" s="12">
        <f t="shared" si="11"/>
        <v>-10759000</v>
      </c>
      <c r="AO23" s="12">
        <f t="shared" si="12"/>
        <v>10851000</v>
      </c>
      <c r="AP23" s="8">
        <v>825067000</v>
      </c>
      <c r="AQ23" s="8">
        <v>279132000</v>
      </c>
      <c r="AR23" s="13">
        <f t="shared" si="13"/>
        <v>-545935000</v>
      </c>
      <c r="AS23" s="13">
        <f t="shared" si="14"/>
        <v>1104199000</v>
      </c>
      <c r="AT23" s="5">
        <f t="shared" si="15"/>
        <v>1.3095906150652007E-2</v>
      </c>
      <c r="AU23" s="5">
        <f t="shared" si="16"/>
        <v>1.6479658369516931E-4</v>
      </c>
      <c r="AV23" s="5">
        <f t="shared" si="17"/>
        <v>3.3021570108057968E-4</v>
      </c>
      <c r="AW23" s="5">
        <f t="shared" si="18"/>
        <v>1.3491479523271573E-4</v>
      </c>
      <c r="AX23" s="5">
        <f t="shared" si="19"/>
        <v>9.8270329895245329E-3</v>
      </c>
      <c r="AY23" s="10">
        <f t="shared" si="20"/>
        <v>4.2880054487637589E-3</v>
      </c>
      <c r="AZ23" s="24">
        <v>0</v>
      </c>
      <c r="BA23" s="4" t="s">
        <v>152</v>
      </c>
      <c r="BB23" s="18" t="s">
        <v>152</v>
      </c>
      <c r="BC23" s="4" t="s">
        <v>152</v>
      </c>
      <c r="BD23" s="18" t="s">
        <v>152</v>
      </c>
      <c r="BE23" s="4" t="s">
        <v>152</v>
      </c>
      <c r="BF23" s="18" t="s">
        <v>152</v>
      </c>
      <c r="BG23" s="4" t="s">
        <v>152</v>
      </c>
      <c r="BH23" s="26">
        <f t="shared" si="21"/>
        <v>0</v>
      </c>
      <c r="BI23" s="26">
        <f t="shared" si="22"/>
        <v>0</v>
      </c>
      <c r="BJ23" s="26">
        <f t="shared" si="23"/>
        <v>0</v>
      </c>
      <c r="BK23" s="26">
        <f t="shared" si="24"/>
        <v>0</v>
      </c>
      <c r="BL23" s="34">
        <f t="shared" si="27"/>
        <v>0</v>
      </c>
      <c r="BM23" s="35">
        <f t="shared" si="26"/>
        <v>0</v>
      </c>
    </row>
    <row r="24" spans="1:65" x14ac:dyDescent="0.35">
      <c r="A24" s="18">
        <v>23</v>
      </c>
      <c r="B24" t="s">
        <v>264</v>
      </c>
      <c r="C24" s="3" t="s">
        <v>20</v>
      </c>
      <c r="D24" s="17" t="s">
        <v>12</v>
      </c>
      <c r="E24" s="17" t="s">
        <v>10</v>
      </c>
      <c r="F24" s="2">
        <v>2</v>
      </c>
      <c r="G24" s="2">
        <v>0</v>
      </c>
      <c r="H24" s="2">
        <v>1</v>
      </c>
      <c r="I24" s="18">
        <v>2018</v>
      </c>
      <c r="J24" s="2">
        <v>0</v>
      </c>
      <c r="K24" s="2" t="s">
        <v>152</v>
      </c>
      <c r="L24" s="4">
        <v>40895322850.940666</v>
      </c>
      <c r="M24" s="18">
        <v>1</v>
      </c>
      <c r="N24" s="4">
        <v>170000000</v>
      </c>
      <c r="O24" s="18">
        <v>17</v>
      </c>
      <c r="P24" s="4">
        <v>4890000000</v>
      </c>
      <c r="Q24" s="18">
        <v>18</v>
      </c>
      <c r="R24" s="4">
        <v>5060000000</v>
      </c>
      <c r="S24" s="5">
        <f t="shared" si="0"/>
        <v>4.1569545891502772E-3</v>
      </c>
      <c r="T24" s="5">
        <f t="shared" si="1"/>
        <v>0.11957357612320503</v>
      </c>
      <c r="U24" s="5">
        <f t="shared" si="2"/>
        <v>0.1237305307123553</v>
      </c>
      <c r="V24" s="26">
        <f t="shared" si="3"/>
        <v>1.2661716183907704E-4</v>
      </c>
      <c r="W24" s="26">
        <f t="shared" si="4"/>
        <v>6.1498604019417967E-3</v>
      </c>
      <c r="X24" s="26">
        <f t="shared" si="5"/>
        <v>2.361363243934423E-3</v>
      </c>
      <c r="Y24" s="26">
        <f t="shared" si="6"/>
        <v>297647058.82352942</v>
      </c>
      <c r="Z24" s="26">
        <f t="shared" si="7"/>
        <v>7.2782665124914887E-3</v>
      </c>
      <c r="AA24" s="2">
        <v>3</v>
      </c>
      <c r="AB24" s="18">
        <v>0</v>
      </c>
      <c r="AC24" s="4">
        <v>0</v>
      </c>
      <c r="AD24" s="18">
        <v>0</v>
      </c>
      <c r="AE24" s="4">
        <v>0</v>
      </c>
      <c r="AF24" s="2">
        <v>0</v>
      </c>
      <c r="AG24" s="4">
        <v>0</v>
      </c>
      <c r="AH24" s="28">
        <f t="shared" si="8"/>
        <v>0</v>
      </c>
      <c r="AI24" s="4">
        <f t="shared" si="9"/>
        <v>0</v>
      </c>
      <c r="AJ24" s="26">
        <f t="shared" si="25"/>
        <v>0</v>
      </c>
      <c r="AK24" s="26">
        <f t="shared" si="10"/>
        <v>0</v>
      </c>
      <c r="AL24" s="4">
        <v>2126481000</v>
      </c>
      <c r="AM24" s="4">
        <v>403561000</v>
      </c>
      <c r="AN24" s="12">
        <f t="shared" si="11"/>
        <v>-1722920000</v>
      </c>
      <c r="AO24" s="12">
        <f t="shared" si="12"/>
        <v>2530042000</v>
      </c>
      <c r="AP24" s="8">
        <v>9784564000</v>
      </c>
      <c r="AQ24" s="8">
        <v>8924398000</v>
      </c>
      <c r="AR24" s="13">
        <f t="shared" si="13"/>
        <v>-860166000</v>
      </c>
      <c r="AS24" s="13">
        <f t="shared" si="14"/>
        <v>18708962000</v>
      </c>
      <c r="AT24" s="5">
        <f t="shared" si="15"/>
        <v>0.21733017434399735</v>
      </c>
      <c r="AU24" s="5">
        <f t="shared" si="16"/>
        <v>4.5219968898742524E-2</v>
      </c>
      <c r="AV24" s="5">
        <f t="shared" si="17"/>
        <v>3.916065799538463E-3</v>
      </c>
      <c r="AW24" s="5">
        <f t="shared" si="18"/>
        <v>4.3134908528769823E-3</v>
      </c>
      <c r="AX24" s="5">
        <f t="shared" si="19"/>
        <v>0.13523155373344603</v>
      </c>
      <c r="AY24" s="10">
        <f t="shared" si="20"/>
        <v>6.1866292368487917E-2</v>
      </c>
      <c r="AZ24" s="24">
        <v>103</v>
      </c>
      <c r="BA24" s="19">
        <v>5775620046.4463949</v>
      </c>
      <c r="BB24" s="17">
        <v>73</v>
      </c>
      <c r="BC24" s="19">
        <v>461907741.31260389</v>
      </c>
      <c r="BD24" s="17">
        <v>18</v>
      </c>
      <c r="BE24" s="19">
        <v>3300493884.6819634</v>
      </c>
      <c r="BF24" s="17">
        <v>12</v>
      </c>
      <c r="BG24" s="19">
        <v>2013218420.4518256</v>
      </c>
      <c r="BH24" s="26">
        <f t="shared" si="21"/>
        <v>0.14122935445449222</v>
      </c>
      <c r="BI24" s="26">
        <f t="shared" si="22"/>
        <v>1.1294879441255692E-2</v>
      </c>
      <c r="BJ24" s="26">
        <f t="shared" si="23"/>
        <v>8.0705901178771258E-2</v>
      </c>
      <c r="BK24" s="26">
        <f t="shared" si="24"/>
        <v>4.9228573834465231E-2</v>
      </c>
      <c r="BL24" s="34">
        <f t="shared" si="27"/>
        <v>339742355.67331737</v>
      </c>
      <c r="BM24" s="35">
        <f t="shared" si="26"/>
        <v>8.3076090855583665E-3</v>
      </c>
    </row>
    <row r="25" spans="1:65" x14ac:dyDescent="0.35">
      <c r="A25" s="18">
        <v>24</v>
      </c>
      <c r="B25" t="s">
        <v>265</v>
      </c>
      <c r="C25" s="3" t="s">
        <v>21</v>
      </c>
      <c r="D25" s="17" t="s">
        <v>4</v>
      </c>
      <c r="E25" s="17" t="s">
        <v>5</v>
      </c>
      <c r="F25" s="2">
        <v>0</v>
      </c>
      <c r="G25" s="2">
        <v>0</v>
      </c>
      <c r="H25" s="2">
        <v>1</v>
      </c>
      <c r="I25" s="18">
        <v>2017</v>
      </c>
      <c r="J25" s="2">
        <v>0</v>
      </c>
      <c r="K25" s="2" t="s">
        <v>152</v>
      </c>
      <c r="L25" s="4">
        <v>20202479537.519318</v>
      </c>
      <c r="M25" s="18">
        <v>2</v>
      </c>
      <c r="N25" s="4">
        <v>990000000</v>
      </c>
      <c r="O25" s="18">
        <v>6</v>
      </c>
      <c r="P25" s="4">
        <v>1500000000</v>
      </c>
      <c r="Q25" s="18">
        <v>8</v>
      </c>
      <c r="R25" s="4">
        <v>2490000000</v>
      </c>
      <c r="S25" s="5">
        <f t="shared" si="0"/>
        <v>4.9003885793395194E-2</v>
      </c>
      <c r="T25" s="5">
        <f t="shared" si="1"/>
        <v>7.4248311808174539E-2</v>
      </c>
      <c r="U25" s="5">
        <f t="shared" si="2"/>
        <v>0.12325219760156973</v>
      </c>
      <c r="V25" s="26">
        <f t="shared" si="3"/>
        <v>7.3735876600403681E-4</v>
      </c>
      <c r="W25" s="26">
        <f t="shared" si="4"/>
        <v>1.886460245994416E-3</v>
      </c>
      <c r="X25" s="26">
        <f t="shared" si="5"/>
        <v>1.1620147188531056E-3</v>
      </c>
      <c r="Y25" s="26">
        <f t="shared" si="6"/>
        <v>146470588.2352941</v>
      </c>
      <c r="Z25" s="26">
        <f t="shared" si="7"/>
        <v>7.2501292706805718E-3</v>
      </c>
      <c r="AA25" s="2">
        <v>0</v>
      </c>
      <c r="AB25" s="2" t="s">
        <v>152</v>
      </c>
      <c r="AC25" s="4" t="s">
        <v>152</v>
      </c>
      <c r="AD25" s="2" t="s">
        <v>152</v>
      </c>
      <c r="AE25" s="4" t="s">
        <v>152</v>
      </c>
      <c r="AF25" s="2" t="s">
        <v>152</v>
      </c>
      <c r="AG25" s="4" t="s">
        <v>152</v>
      </c>
      <c r="AH25" s="28">
        <f t="shared" si="8"/>
        <v>0</v>
      </c>
      <c r="AI25" s="4" t="str">
        <f t="shared" si="9"/>
        <v>na</v>
      </c>
      <c r="AJ25" s="26" t="str">
        <f t="shared" si="25"/>
        <v>na</v>
      </c>
      <c r="AK25" s="26" t="str">
        <f t="shared" si="10"/>
        <v>na</v>
      </c>
      <c r="AL25" s="4">
        <v>829556000</v>
      </c>
      <c r="AM25" s="4">
        <v>17149000</v>
      </c>
      <c r="AN25" s="12">
        <f t="shared" si="11"/>
        <v>-812407000</v>
      </c>
      <c r="AO25" s="12">
        <f t="shared" si="12"/>
        <v>846705000</v>
      </c>
      <c r="AP25" s="8">
        <v>11159373000</v>
      </c>
      <c r="AQ25" s="8">
        <v>6578244000</v>
      </c>
      <c r="AR25" s="13">
        <f t="shared" si="13"/>
        <v>-4581129000</v>
      </c>
      <c r="AS25" s="13">
        <f t="shared" si="14"/>
        <v>17737617000</v>
      </c>
      <c r="AT25" s="5">
        <f t="shared" si="15"/>
        <v>7.4337151379383057E-2</v>
      </c>
      <c r="AU25" s="5">
        <f t="shared" si="16"/>
        <v>2.6069267117486065E-3</v>
      </c>
      <c r="AV25" s="5">
        <f t="shared" si="17"/>
        <v>4.466304165376498E-3</v>
      </c>
      <c r="AW25" s="5">
        <f t="shared" si="18"/>
        <v>3.1795080544360409E-3</v>
      </c>
      <c r="AX25" s="5">
        <f t="shared" si="19"/>
        <v>4.7734991684621447E-2</v>
      </c>
      <c r="AY25" s="10">
        <f t="shared" si="20"/>
        <v>4.1910944566360284E-2</v>
      </c>
      <c r="AZ25" s="24">
        <v>29</v>
      </c>
      <c r="BA25" s="19">
        <v>3078201914.6931601</v>
      </c>
      <c r="BB25" s="17">
        <v>20</v>
      </c>
      <c r="BC25" s="19">
        <v>58625691.477180719</v>
      </c>
      <c r="BD25" s="17">
        <v>7</v>
      </c>
      <c r="BE25" s="19">
        <v>2472009080.1990881</v>
      </c>
      <c r="BF25" s="17">
        <v>2</v>
      </c>
      <c r="BG25" s="19">
        <v>547567143.01689136</v>
      </c>
      <c r="BH25" s="26">
        <f t="shared" si="21"/>
        <v>0.1523675303804384</v>
      </c>
      <c r="BI25" s="26">
        <f t="shared" si="22"/>
        <v>2.9019057471783697E-3</v>
      </c>
      <c r="BJ25" s="26">
        <f t="shared" si="23"/>
        <v>0.12236166731950708</v>
      </c>
      <c r="BK25" s="26">
        <f t="shared" si="24"/>
        <v>2.7103957313752966E-2</v>
      </c>
      <c r="BL25" s="34">
        <f t="shared" si="27"/>
        <v>181070700.86430353</v>
      </c>
      <c r="BM25" s="35">
        <f t="shared" si="26"/>
        <v>8.9627959047316706E-3</v>
      </c>
    </row>
    <row r="26" spans="1:65" x14ac:dyDescent="0.35">
      <c r="A26" s="18">
        <v>25</v>
      </c>
      <c r="B26" t="s">
        <v>266</v>
      </c>
      <c r="C26" s="3" t="s">
        <v>22</v>
      </c>
      <c r="D26" s="17" t="s">
        <v>9</v>
      </c>
      <c r="E26" s="17" t="s">
        <v>5</v>
      </c>
      <c r="F26" s="2">
        <v>0</v>
      </c>
      <c r="G26" s="2">
        <v>0</v>
      </c>
      <c r="H26" s="3">
        <v>1</v>
      </c>
      <c r="I26" s="3" t="s">
        <v>152</v>
      </c>
      <c r="J26" s="3">
        <v>0</v>
      </c>
      <c r="K26" s="3" t="s">
        <v>152</v>
      </c>
      <c r="L26" s="4">
        <v>18362348887.587276</v>
      </c>
      <c r="M26" s="18">
        <v>6</v>
      </c>
      <c r="N26" s="4">
        <v>1640000000</v>
      </c>
      <c r="O26" s="3">
        <v>0</v>
      </c>
      <c r="P26" s="4">
        <v>0</v>
      </c>
      <c r="Q26" s="18">
        <v>6</v>
      </c>
      <c r="R26" s="4">
        <v>1640000000</v>
      </c>
      <c r="S26" s="5">
        <f t="shared" si="0"/>
        <v>8.9313192448304907E-2</v>
      </c>
      <c r="T26" s="15">
        <f t="shared" si="1"/>
        <v>0</v>
      </c>
      <c r="U26" s="5">
        <f t="shared" si="2"/>
        <v>8.9313192448304907E-2</v>
      </c>
      <c r="V26" s="26">
        <f t="shared" si="3"/>
        <v>1.2214832083299197E-3</v>
      </c>
      <c r="W26" s="26">
        <f t="shared" si="4"/>
        <v>0</v>
      </c>
      <c r="X26" s="26">
        <f t="shared" si="5"/>
        <v>7.6534302767835064E-4</v>
      </c>
      <c r="Y26" s="26">
        <f t="shared" si="6"/>
        <v>96470588.235294119</v>
      </c>
      <c r="Z26" s="26">
        <f t="shared" si="7"/>
        <v>5.2537172028414656E-3</v>
      </c>
      <c r="AA26" s="2">
        <v>0</v>
      </c>
      <c r="AB26" s="18" t="s">
        <v>152</v>
      </c>
      <c r="AC26" s="4" t="s">
        <v>152</v>
      </c>
      <c r="AD26" s="18" t="s">
        <v>152</v>
      </c>
      <c r="AE26" s="4" t="s">
        <v>152</v>
      </c>
      <c r="AF26" s="2" t="s">
        <v>152</v>
      </c>
      <c r="AG26" s="4" t="s">
        <v>152</v>
      </c>
      <c r="AH26" s="28">
        <f t="shared" si="8"/>
        <v>0</v>
      </c>
      <c r="AI26" s="4" t="str">
        <f t="shared" si="9"/>
        <v>na</v>
      </c>
      <c r="AJ26" s="26" t="str">
        <f t="shared" si="25"/>
        <v>na</v>
      </c>
      <c r="AK26" s="26" t="str">
        <f t="shared" si="10"/>
        <v>na</v>
      </c>
      <c r="AL26" s="8">
        <v>125605000</v>
      </c>
      <c r="AM26" s="4">
        <v>80000</v>
      </c>
      <c r="AN26" s="12">
        <f t="shared" si="11"/>
        <v>-125525000</v>
      </c>
      <c r="AO26" s="12">
        <f t="shared" si="12"/>
        <v>125685000</v>
      </c>
      <c r="AP26" s="8">
        <v>6558523000</v>
      </c>
      <c r="AQ26" s="8">
        <v>5238079000</v>
      </c>
      <c r="AR26" s="13">
        <f t="shared" si="13"/>
        <v>-1320444000</v>
      </c>
      <c r="AS26" s="13">
        <f t="shared" si="14"/>
        <v>11796602000</v>
      </c>
      <c r="AT26" s="5">
        <f t="shared" si="15"/>
        <v>1.9151415646480159E-2</v>
      </c>
      <c r="AU26" s="5">
        <f t="shared" si="16"/>
        <v>1.5272774618328589E-5</v>
      </c>
      <c r="AV26" s="5">
        <f t="shared" si="17"/>
        <v>2.6249107896669081E-3</v>
      </c>
      <c r="AW26" s="5">
        <f t="shared" si="18"/>
        <v>2.5317568594707463E-3</v>
      </c>
      <c r="AX26" s="5">
        <f t="shared" si="19"/>
        <v>1.0654339274987832E-2</v>
      </c>
      <c r="AY26" s="10">
        <f t="shared" si="20"/>
        <v>6.8447125566251238E-3</v>
      </c>
      <c r="AZ26" s="24">
        <v>88</v>
      </c>
      <c r="BA26" s="19">
        <v>1396734348.6575637</v>
      </c>
      <c r="BB26" s="17">
        <v>77</v>
      </c>
      <c r="BC26" s="19">
        <v>306931187.79204851</v>
      </c>
      <c r="BD26" s="17">
        <v>9</v>
      </c>
      <c r="BE26" s="19">
        <v>1089803160.8655152</v>
      </c>
      <c r="BF26" s="17">
        <v>2</v>
      </c>
      <c r="BG26" s="19">
        <v>0</v>
      </c>
      <c r="BH26" s="26">
        <f t="shared" si="21"/>
        <v>7.606512419561634E-2</v>
      </c>
      <c r="BI26" s="26">
        <f t="shared" si="22"/>
        <v>1.6715246490035394E-2</v>
      </c>
      <c r="BJ26" s="26">
        <f t="shared" si="23"/>
        <v>5.934987770558095E-2</v>
      </c>
      <c r="BK26" s="26">
        <f t="shared" si="24"/>
        <v>0</v>
      </c>
      <c r="BL26" s="34">
        <f t="shared" si="27"/>
        <v>82160844.038680211</v>
      </c>
      <c r="BM26" s="35">
        <f t="shared" si="26"/>
        <v>4.474419070330372E-3</v>
      </c>
    </row>
    <row r="27" spans="1:65" x14ac:dyDescent="0.35">
      <c r="A27" s="18">
        <v>26</v>
      </c>
      <c r="B27" t="s">
        <v>267</v>
      </c>
      <c r="C27" s="3" t="s">
        <v>157</v>
      </c>
      <c r="D27" s="17" t="s">
        <v>12</v>
      </c>
      <c r="E27" s="17" t="s">
        <v>5</v>
      </c>
      <c r="F27" s="2">
        <v>3</v>
      </c>
      <c r="G27" s="2">
        <v>0</v>
      </c>
      <c r="H27" s="2">
        <v>0</v>
      </c>
      <c r="I27" s="3" t="s">
        <v>152</v>
      </c>
      <c r="J27" s="2">
        <v>0</v>
      </c>
      <c r="K27" s="2" t="s">
        <v>152</v>
      </c>
      <c r="L27" s="4">
        <v>1877810514260.3599</v>
      </c>
      <c r="M27" s="18">
        <v>83</v>
      </c>
      <c r="N27" s="4">
        <v>70650000000</v>
      </c>
      <c r="O27" s="3">
        <v>0</v>
      </c>
      <c r="P27" s="4">
        <v>0</v>
      </c>
      <c r="Q27" s="18">
        <v>83</v>
      </c>
      <c r="R27" s="4">
        <v>70650000000</v>
      </c>
      <c r="S27" s="5">
        <f t="shared" si="0"/>
        <v>3.76236044390389E-2</v>
      </c>
      <c r="T27" s="15">
        <f t="shared" si="1"/>
        <v>0</v>
      </c>
      <c r="U27" s="5">
        <f t="shared" si="2"/>
        <v>3.76236044390389E-2</v>
      </c>
      <c r="V27" s="26">
        <f t="shared" si="3"/>
        <v>5.2620602846651723E-2</v>
      </c>
      <c r="W27" s="26">
        <f t="shared" si="4"/>
        <v>0</v>
      </c>
      <c r="X27" s="26">
        <f t="shared" si="5"/>
        <v>3.2970417625289919E-2</v>
      </c>
      <c r="Y27" s="26">
        <f t="shared" si="6"/>
        <v>4155882352.9411764</v>
      </c>
      <c r="Z27" s="26">
        <f t="shared" si="7"/>
        <v>2.213153202296406E-3</v>
      </c>
      <c r="AA27" s="2">
        <v>2</v>
      </c>
      <c r="AB27" s="18">
        <v>0</v>
      </c>
      <c r="AC27" s="4">
        <v>0</v>
      </c>
      <c r="AD27" s="2">
        <v>0</v>
      </c>
      <c r="AE27" s="4">
        <v>0</v>
      </c>
      <c r="AF27" s="2">
        <v>0</v>
      </c>
      <c r="AG27" s="4">
        <v>0</v>
      </c>
      <c r="AH27" s="28">
        <f t="shared" si="8"/>
        <v>0</v>
      </c>
      <c r="AI27" s="4">
        <f t="shared" si="9"/>
        <v>0</v>
      </c>
      <c r="AJ27" s="26">
        <f t="shared" si="25"/>
        <v>0</v>
      </c>
      <c r="AK27" s="26">
        <f t="shared" si="10"/>
        <v>0</v>
      </c>
      <c r="AL27" s="4">
        <v>35270401000</v>
      </c>
      <c r="AM27" s="4">
        <v>62871652000</v>
      </c>
      <c r="AN27" s="12">
        <f t="shared" si="11"/>
        <v>27601251000</v>
      </c>
      <c r="AO27" s="12">
        <f t="shared" si="12"/>
        <v>98142053000</v>
      </c>
      <c r="AP27" s="8">
        <v>177341225000</v>
      </c>
      <c r="AQ27" s="8">
        <v>223998669000</v>
      </c>
      <c r="AR27" s="13">
        <f t="shared" si="13"/>
        <v>46657444000</v>
      </c>
      <c r="AS27" s="13">
        <f t="shared" si="14"/>
        <v>401339894000</v>
      </c>
      <c r="AT27" s="5">
        <f t="shared" si="15"/>
        <v>0.198884387992696</v>
      </c>
      <c r="AU27" s="5">
        <f t="shared" si="16"/>
        <v>0.2806786856398687</v>
      </c>
      <c r="AV27" s="5">
        <f t="shared" si="17"/>
        <v>7.0977092701397362E-2</v>
      </c>
      <c r="AW27" s="5">
        <f t="shared" si="18"/>
        <v>0.10826682200727923</v>
      </c>
      <c r="AX27" s="5">
        <f t="shared" si="19"/>
        <v>0.24453600169635764</v>
      </c>
      <c r="AY27" s="10">
        <f t="shared" si="20"/>
        <v>5.2264087486301361E-2</v>
      </c>
      <c r="AZ27" s="24">
        <v>134</v>
      </c>
      <c r="BA27" s="19">
        <v>86545385555.985641</v>
      </c>
      <c r="BB27" s="17">
        <v>3</v>
      </c>
      <c r="BC27" s="19">
        <v>106800.932812163</v>
      </c>
      <c r="BD27" s="17">
        <v>121</v>
      </c>
      <c r="BE27" s="19">
        <v>84174056309.357697</v>
      </c>
      <c r="BF27" s="17">
        <v>10</v>
      </c>
      <c r="BG27" s="19">
        <v>2371222445.6951041</v>
      </c>
      <c r="BH27" s="26">
        <f t="shared" si="21"/>
        <v>4.6088455091047628E-2</v>
      </c>
      <c r="BI27" s="26">
        <f t="shared" si="22"/>
        <v>5.6875244866881685E-8</v>
      </c>
      <c r="BJ27" s="26">
        <f t="shared" si="23"/>
        <v>4.4825639046180622E-2</v>
      </c>
      <c r="BK27" s="26">
        <f t="shared" si="24"/>
        <v>1.2627591696221232E-3</v>
      </c>
      <c r="BL27" s="34">
        <f t="shared" si="27"/>
        <v>5090905032.7050381</v>
      </c>
      <c r="BM27" s="35">
        <f t="shared" si="26"/>
        <v>2.7110855935910368E-3</v>
      </c>
    </row>
    <row r="28" spans="1:65" x14ac:dyDescent="0.35">
      <c r="A28" s="18">
        <v>27</v>
      </c>
      <c r="B28" t="s">
        <v>451</v>
      </c>
      <c r="C28" s="3" t="s">
        <v>473</v>
      </c>
      <c r="D28" s="17" t="s">
        <v>12</v>
      </c>
      <c r="E28" s="17" t="s">
        <v>13</v>
      </c>
      <c r="F28" s="2">
        <v>0</v>
      </c>
      <c r="G28" s="2">
        <v>0</v>
      </c>
      <c r="H28" s="2">
        <v>0</v>
      </c>
      <c r="I28" s="18" t="s">
        <v>152</v>
      </c>
      <c r="J28" s="2">
        <v>0</v>
      </c>
      <c r="K28" s="2" t="s">
        <v>152</v>
      </c>
      <c r="L28" s="4" t="s">
        <v>152</v>
      </c>
      <c r="M28" s="2">
        <v>0</v>
      </c>
      <c r="N28" s="4">
        <v>0</v>
      </c>
      <c r="O28" s="2">
        <v>0</v>
      </c>
      <c r="P28" s="4">
        <v>0</v>
      </c>
      <c r="Q28" s="2">
        <v>0</v>
      </c>
      <c r="R28" s="4">
        <v>0</v>
      </c>
      <c r="S28" s="5">
        <f t="shared" si="0"/>
        <v>0</v>
      </c>
      <c r="T28" s="15">
        <f t="shared" si="1"/>
        <v>0</v>
      </c>
      <c r="U28" s="5">
        <f t="shared" si="2"/>
        <v>0</v>
      </c>
      <c r="V28" s="26">
        <f t="shared" si="3"/>
        <v>0</v>
      </c>
      <c r="W28" s="26">
        <f t="shared" si="4"/>
        <v>0</v>
      </c>
      <c r="X28" s="26">
        <f t="shared" si="5"/>
        <v>0</v>
      </c>
      <c r="Y28" s="26">
        <f t="shared" si="6"/>
        <v>0</v>
      </c>
      <c r="Z28" s="26">
        <f t="shared" si="7"/>
        <v>0</v>
      </c>
      <c r="AA28" s="2">
        <v>0</v>
      </c>
      <c r="AB28" s="18" t="s">
        <v>152</v>
      </c>
      <c r="AC28" s="4" t="s">
        <v>152</v>
      </c>
      <c r="AD28" s="2" t="s">
        <v>152</v>
      </c>
      <c r="AE28" s="4" t="s">
        <v>152</v>
      </c>
      <c r="AF28" s="2" t="s">
        <v>152</v>
      </c>
      <c r="AG28" s="4" t="s">
        <v>152</v>
      </c>
      <c r="AH28" s="28">
        <f t="shared" si="8"/>
        <v>0</v>
      </c>
      <c r="AI28" s="4" t="s">
        <v>152</v>
      </c>
      <c r="AJ28" s="26" t="str">
        <f t="shared" si="25"/>
        <v>na</v>
      </c>
      <c r="AK28" s="26" t="str">
        <f t="shared" si="10"/>
        <v>na</v>
      </c>
      <c r="AL28" s="21">
        <v>10403000</v>
      </c>
      <c r="AM28" s="21">
        <v>495000</v>
      </c>
      <c r="AN28" s="12">
        <f t="shared" si="11"/>
        <v>-9908000</v>
      </c>
      <c r="AO28" s="12">
        <f t="shared" si="12"/>
        <v>10898000</v>
      </c>
      <c r="AP28" s="19">
        <v>1822591000</v>
      </c>
      <c r="AQ28" s="19">
        <v>411592000</v>
      </c>
      <c r="AR28" s="13">
        <f t="shared" si="13"/>
        <v>-1410999000</v>
      </c>
      <c r="AS28" s="13">
        <f t="shared" si="14"/>
        <v>2234183000</v>
      </c>
      <c r="AT28" s="5">
        <f t="shared" si="15"/>
        <v>5.7078082795317215E-3</v>
      </c>
      <c r="AU28" s="5">
        <f t="shared" si="16"/>
        <v>1.2026472817741841E-3</v>
      </c>
      <c r="AV28" s="5">
        <f t="shared" si="17"/>
        <v>7.2945368660745711E-4</v>
      </c>
      <c r="AW28" s="5">
        <f t="shared" si="18"/>
        <v>1.9893760084628036E-4</v>
      </c>
      <c r="AX28" s="5">
        <f t="shared" si="19"/>
        <v>4.8778457270510066E-3</v>
      </c>
      <c r="AY28" s="10" t="str">
        <f t="shared" si="20"/>
        <v>na</v>
      </c>
      <c r="AZ28" s="24">
        <v>0</v>
      </c>
      <c r="BA28" s="4" t="s">
        <v>152</v>
      </c>
      <c r="BB28" s="18" t="s">
        <v>152</v>
      </c>
      <c r="BC28" s="4" t="s">
        <v>152</v>
      </c>
      <c r="BD28" s="18" t="s">
        <v>152</v>
      </c>
      <c r="BE28" s="4" t="s">
        <v>152</v>
      </c>
      <c r="BF28" s="18" t="s">
        <v>152</v>
      </c>
      <c r="BG28" s="4" t="s">
        <v>152</v>
      </c>
      <c r="BH28" s="26">
        <f t="shared" si="21"/>
        <v>0</v>
      </c>
      <c r="BI28" s="26">
        <f t="shared" si="22"/>
        <v>0</v>
      </c>
      <c r="BJ28" s="26">
        <f t="shared" si="23"/>
        <v>0</v>
      </c>
      <c r="BK28" s="26">
        <f t="shared" si="24"/>
        <v>0</v>
      </c>
      <c r="BL28" s="34">
        <f t="shared" si="27"/>
        <v>0</v>
      </c>
      <c r="BM28" s="35">
        <f t="shared" si="26"/>
        <v>0</v>
      </c>
    </row>
    <row r="29" spans="1:65" x14ac:dyDescent="0.35">
      <c r="A29" s="18">
        <v>28</v>
      </c>
      <c r="B29" t="s">
        <v>268</v>
      </c>
      <c r="C29" s="3" t="s">
        <v>143</v>
      </c>
      <c r="D29" s="17" t="s">
        <v>23</v>
      </c>
      <c r="E29" s="17" t="s">
        <v>13</v>
      </c>
      <c r="F29" s="2">
        <v>0</v>
      </c>
      <c r="G29" s="2">
        <v>1</v>
      </c>
      <c r="H29" s="2">
        <v>1</v>
      </c>
      <c r="I29" s="18">
        <v>2018</v>
      </c>
      <c r="J29" s="2">
        <v>0</v>
      </c>
      <c r="K29" s="2" t="s">
        <v>152</v>
      </c>
      <c r="L29" s="4">
        <v>13469422941.391878</v>
      </c>
      <c r="M29" s="2">
        <v>1</v>
      </c>
      <c r="N29" s="4">
        <v>140000000</v>
      </c>
      <c r="O29" s="2">
        <v>3</v>
      </c>
      <c r="P29" s="4">
        <v>3970000000</v>
      </c>
      <c r="Q29" s="2">
        <v>4</v>
      </c>
      <c r="R29" s="4">
        <v>4110000000</v>
      </c>
      <c r="S29" s="5">
        <f t="shared" si="0"/>
        <v>1.0393912241761779E-2</v>
      </c>
      <c r="T29" s="5">
        <f t="shared" si="1"/>
        <v>0.29474165428424476</v>
      </c>
      <c r="U29" s="5">
        <f t="shared" si="2"/>
        <v>0.30513556652600654</v>
      </c>
      <c r="V29" s="26">
        <f t="shared" si="3"/>
        <v>1.0427295680865167E-4</v>
      </c>
      <c r="W29" s="26">
        <f t="shared" si="4"/>
        <v>4.9928314510652213E-3</v>
      </c>
      <c r="X29" s="26">
        <f t="shared" si="5"/>
        <v>1.9180242949744029E-3</v>
      </c>
      <c r="Y29" s="26">
        <f t="shared" si="6"/>
        <v>241764705.88235295</v>
      </c>
      <c r="Z29" s="26">
        <f t="shared" si="7"/>
        <v>1.7949150972118032E-2</v>
      </c>
      <c r="AA29" s="2">
        <v>1</v>
      </c>
      <c r="AB29" s="2">
        <v>0</v>
      </c>
      <c r="AC29" s="4">
        <v>0</v>
      </c>
      <c r="AD29" s="2">
        <v>0</v>
      </c>
      <c r="AE29" s="4">
        <v>0</v>
      </c>
      <c r="AF29" s="2">
        <v>0</v>
      </c>
      <c r="AG29" s="4">
        <v>0</v>
      </c>
      <c r="AH29" s="28">
        <f t="shared" si="8"/>
        <v>0</v>
      </c>
      <c r="AI29" s="4">
        <f t="shared" ref="AI29:AI36" si="28">IFERROR(AC29+AE29,"na")</f>
        <v>0</v>
      </c>
      <c r="AJ29" s="26">
        <f t="shared" si="25"/>
        <v>0</v>
      </c>
      <c r="AK29" s="26">
        <f t="shared" si="10"/>
        <v>0</v>
      </c>
      <c r="AL29" s="4">
        <v>670827000</v>
      </c>
      <c r="AM29" s="4">
        <v>428506000</v>
      </c>
      <c r="AN29" s="12">
        <f t="shared" si="11"/>
        <v>-242321000</v>
      </c>
      <c r="AO29" s="12">
        <f t="shared" si="12"/>
        <v>1099333000</v>
      </c>
      <c r="AP29" s="8">
        <v>5101654000</v>
      </c>
      <c r="AQ29" s="8">
        <v>7249807000</v>
      </c>
      <c r="AR29" s="13">
        <f t="shared" si="13"/>
        <v>2148153000</v>
      </c>
      <c r="AS29" s="13">
        <f t="shared" si="14"/>
        <v>12351461000</v>
      </c>
      <c r="AT29" s="5">
        <f t="shared" si="15"/>
        <v>0.1314920612021121</v>
      </c>
      <c r="AU29" s="5">
        <f t="shared" si="16"/>
        <v>5.9105849300539998E-2</v>
      </c>
      <c r="AV29" s="5">
        <f t="shared" si="17"/>
        <v>2.0418296359938572E-3</v>
      </c>
      <c r="AW29" s="5">
        <f t="shared" si="18"/>
        <v>3.5040992321973448E-3</v>
      </c>
      <c r="AX29" s="5">
        <f t="shared" si="19"/>
        <v>8.9004288642452911E-2</v>
      </c>
      <c r="AY29" s="10">
        <f t="shared" si="20"/>
        <v>8.1616933760519303E-2</v>
      </c>
      <c r="AZ29" s="24">
        <v>26</v>
      </c>
      <c r="BA29" s="19">
        <v>1770880321.4632452</v>
      </c>
      <c r="BB29" s="17">
        <v>0</v>
      </c>
      <c r="BC29" s="19">
        <v>0</v>
      </c>
      <c r="BD29" s="17">
        <v>26</v>
      </c>
      <c r="BE29" s="19">
        <v>1770880321.4632452</v>
      </c>
      <c r="BF29" s="17">
        <v>0</v>
      </c>
      <c r="BG29" s="19">
        <v>0</v>
      </c>
      <c r="BH29" s="26">
        <f t="shared" si="21"/>
        <v>0.13147410465679898</v>
      </c>
      <c r="BI29" s="26">
        <f t="shared" si="22"/>
        <v>0</v>
      </c>
      <c r="BJ29" s="26">
        <f t="shared" si="23"/>
        <v>0.13147410465679898</v>
      </c>
      <c r="BK29" s="26">
        <f t="shared" si="24"/>
        <v>0</v>
      </c>
      <c r="BL29" s="34">
        <f t="shared" si="27"/>
        <v>104169430.67430854</v>
      </c>
      <c r="BM29" s="35">
        <f t="shared" si="26"/>
        <v>7.733770862164647E-3</v>
      </c>
    </row>
    <row r="30" spans="1:65" x14ac:dyDescent="0.35">
      <c r="A30" s="18">
        <v>29</v>
      </c>
      <c r="B30" t="s">
        <v>269</v>
      </c>
      <c r="C30" s="3" t="s">
        <v>24</v>
      </c>
      <c r="D30" s="17" t="s">
        <v>4</v>
      </c>
      <c r="E30" s="17" t="s">
        <v>5</v>
      </c>
      <c r="F30" s="2">
        <v>0</v>
      </c>
      <c r="G30" s="2">
        <v>0</v>
      </c>
      <c r="H30" s="18">
        <v>1</v>
      </c>
      <c r="I30" s="18">
        <v>2015</v>
      </c>
      <c r="J30" s="18">
        <v>0</v>
      </c>
      <c r="K30" s="2" t="s">
        <v>152</v>
      </c>
      <c r="L30" s="4">
        <v>68558815111.619919</v>
      </c>
      <c r="M30" s="2">
        <v>2</v>
      </c>
      <c r="N30" s="4">
        <v>330000000</v>
      </c>
      <c r="O30" s="2">
        <v>1</v>
      </c>
      <c r="P30" s="4">
        <v>130000000</v>
      </c>
      <c r="Q30" s="2">
        <v>3</v>
      </c>
      <c r="R30" s="4">
        <v>460000000</v>
      </c>
      <c r="S30" s="5">
        <f t="shared" si="0"/>
        <v>4.8133854043820668E-3</v>
      </c>
      <c r="T30" s="5">
        <f t="shared" si="1"/>
        <v>1.8961821289989961E-3</v>
      </c>
      <c r="U30" s="5">
        <f t="shared" si="2"/>
        <v>6.7095675333810629E-3</v>
      </c>
      <c r="V30" s="26">
        <f t="shared" si="3"/>
        <v>2.4578625533467897E-4</v>
      </c>
      <c r="W30" s="26">
        <f t="shared" si="4"/>
        <v>1.6349322131951606E-4</v>
      </c>
      <c r="X30" s="26">
        <f t="shared" si="5"/>
        <v>2.1466938581222029E-4</v>
      </c>
      <c r="Y30" s="26">
        <f t="shared" si="6"/>
        <v>27058823.529411763</v>
      </c>
      <c r="Z30" s="26">
        <f t="shared" si="7"/>
        <v>3.9468044314006252E-4</v>
      </c>
      <c r="AA30" s="2">
        <v>0</v>
      </c>
      <c r="AB30" s="18" t="s">
        <v>152</v>
      </c>
      <c r="AC30" s="4" t="s">
        <v>152</v>
      </c>
      <c r="AD30" s="18" t="s">
        <v>152</v>
      </c>
      <c r="AE30" s="4" t="s">
        <v>152</v>
      </c>
      <c r="AF30" s="18" t="s">
        <v>152</v>
      </c>
      <c r="AG30" s="4" t="s">
        <v>152</v>
      </c>
      <c r="AH30" s="28">
        <f t="shared" si="8"/>
        <v>0</v>
      </c>
      <c r="AI30" s="4" t="str">
        <f t="shared" si="28"/>
        <v>na</v>
      </c>
      <c r="AJ30" s="26" t="str">
        <f t="shared" si="25"/>
        <v>na</v>
      </c>
      <c r="AK30" s="26" t="str">
        <f t="shared" si="10"/>
        <v>na</v>
      </c>
      <c r="AL30" s="4">
        <v>1703728000</v>
      </c>
      <c r="AM30" s="4">
        <v>923172000</v>
      </c>
      <c r="AN30" s="12">
        <f t="shared" si="11"/>
        <v>-780556000</v>
      </c>
      <c r="AO30" s="12">
        <f t="shared" si="12"/>
        <v>2626900000</v>
      </c>
      <c r="AP30" s="8">
        <v>37674821000</v>
      </c>
      <c r="AQ30" s="8">
        <v>33351426000</v>
      </c>
      <c r="AR30" s="13">
        <f t="shared" si="13"/>
        <v>-4323395000</v>
      </c>
      <c r="AS30" s="13">
        <f t="shared" si="14"/>
        <v>71026247000</v>
      </c>
      <c r="AT30" s="5">
        <f t="shared" si="15"/>
        <v>4.5221926867283588E-2</v>
      </c>
      <c r="AU30" s="5">
        <f t="shared" si="16"/>
        <v>2.7680135775903555E-2</v>
      </c>
      <c r="AV30" s="5">
        <f t="shared" si="17"/>
        <v>1.5078554141179257E-2</v>
      </c>
      <c r="AW30" s="5">
        <f t="shared" si="18"/>
        <v>1.6119974813024202E-2</v>
      </c>
      <c r="AX30" s="5">
        <f t="shared" si="19"/>
        <v>3.6984919110255116E-2</v>
      </c>
      <c r="AY30" s="10">
        <f t="shared" si="20"/>
        <v>3.8316006420518946E-2</v>
      </c>
      <c r="AZ30" s="24">
        <v>42</v>
      </c>
      <c r="BA30" s="19">
        <v>743441449.33620834</v>
      </c>
      <c r="BB30" s="17">
        <v>0</v>
      </c>
      <c r="BC30" s="19">
        <v>0</v>
      </c>
      <c r="BD30" s="17">
        <v>42</v>
      </c>
      <c r="BE30" s="19">
        <v>743441449.33620834</v>
      </c>
      <c r="BF30" s="17">
        <v>0</v>
      </c>
      <c r="BG30" s="19">
        <v>0</v>
      </c>
      <c r="BH30" s="26">
        <f t="shared" si="21"/>
        <v>1.0843849155295621E-2</v>
      </c>
      <c r="BI30" s="26">
        <f t="shared" si="22"/>
        <v>0</v>
      </c>
      <c r="BJ30" s="26">
        <f t="shared" si="23"/>
        <v>1.0843849155295621E-2</v>
      </c>
      <c r="BK30" s="26">
        <f t="shared" si="24"/>
        <v>0</v>
      </c>
      <c r="BL30" s="34">
        <f t="shared" si="27"/>
        <v>43731849.960953429</v>
      </c>
      <c r="BM30" s="35">
        <f t="shared" si="26"/>
        <v>6.378734797232718E-4</v>
      </c>
    </row>
    <row r="31" spans="1:65" x14ac:dyDescent="0.35">
      <c r="A31" s="18">
        <v>30</v>
      </c>
      <c r="B31" t="s">
        <v>270</v>
      </c>
      <c r="C31" s="3" t="s">
        <v>149</v>
      </c>
      <c r="D31" s="17" t="s">
        <v>9</v>
      </c>
      <c r="E31" s="17" t="s">
        <v>2</v>
      </c>
      <c r="F31" s="2">
        <v>0</v>
      </c>
      <c r="G31" s="2">
        <v>0</v>
      </c>
      <c r="H31" s="3">
        <v>0</v>
      </c>
      <c r="I31" s="3" t="s">
        <v>152</v>
      </c>
      <c r="J31" s="3">
        <v>1</v>
      </c>
      <c r="K31" s="2">
        <v>2018</v>
      </c>
      <c r="L31" s="4">
        <v>15990803569.996128</v>
      </c>
      <c r="M31" s="2">
        <v>0</v>
      </c>
      <c r="N31" s="4">
        <v>0</v>
      </c>
      <c r="O31" s="2">
        <v>0</v>
      </c>
      <c r="P31" s="4">
        <v>0</v>
      </c>
      <c r="Q31" s="2">
        <v>0</v>
      </c>
      <c r="R31" s="4">
        <v>0</v>
      </c>
      <c r="S31" s="5">
        <f t="shared" si="0"/>
        <v>0</v>
      </c>
      <c r="T31" s="15">
        <f t="shared" si="1"/>
        <v>0</v>
      </c>
      <c r="U31" s="5">
        <f t="shared" si="2"/>
        <v>0</v>
      </c>
      <c r="V31" s="26">
        <f t="shared" si="3"/>
        <v>0</v>
      </c>
      <c r="W31" s="26">
        <f t="shared" si="4"/>
        <v>0</v>
      </c>
      <c r="X31" s="26">
        <f t="shared" si="5"/>
        <v>0</v>
      </c>
      <c r="Y31" s="26">
        <f t="shared" si="6"/>
        <v>0</v>
      </c>
      <c r="Z31" s="26">
        <f t="shared" si="7"/>
        <v>0</v>
      </c>
      <c r="AA31" s="2">
        <v>0</v>
      </c>
      <c r="AB31" s="2" t="s">
        <v>152</v>
      </c>
      <c r="AC31" s="4" t="s">
        <v>152</v>
      </c>
      <c r="AD31" s="2" t="s">
        <v>152</v>
      </c>
      <c r="AE31" s="4" t="s">
        <v>152</v>
      </c>
      <c r="AF31" s="2" t="s">
        <v>152</v>
      </c>
      <c r="AG31" s="4" t="s">
        <v>152</v>
      </c>
      <c r="AH31" s="28">
        <f t="shared" si="8"/>
        <v>0</v>
      </c>
      <c r="AI31" s="4" t="str">
        <f t="shared" si="28"/>
        <v>na</v>
      </c>
      <c r="AJ31" s="26" t="str">
        <f t="shared" si="25"/>
        <v>na</v>
      </c>
      <c r="AK31" s="26" t="str">
        <f t="shared" si="10"/>
        <v>na</v>
      </c>
      <c r="AL31" s="4">
        <v>520739000</v>
      </c>
      <c r="AM31" s="4">
        <v>13757000</v>
      </c>
      <c r="AN31" s="12">
        <f t="shared" si="11"/>
        <v>-506982000</v>
      </c>
      <c r="AO31" s="12">
        <f t="shared" si="12"/>
        <v>534496000</v>
      </c>
      <c r="AP31" s="8">
        <v>4259342000</v>
      </c>
      <c r="AQ31" s="8">
        <v>3261124000</v>
      </c>
      <c r="AR31" s="13">
        <f t="shared" si="13"/>
        <v>-998218000</v>
      </c>
      <c r="AS31" s="13">
        <f t="shared" si="14"/>
        <v>7520466000</v>
      </c>
      <c r="AT31" s="5">
        <f t="shared" si="15"/>
        <v>0.1222580858733579</v>
      </c>
      <c r="AU31" s="5">
        <f t="shared" si="16"/>
        <v>4.2184841790744538E-3</v>
      </c>
      <c r="AV31" s="5">
        <f t="shared" si="17"/>
        <v>1.7047119866289142E-3</v>
      </c>
      <c r="AW31" s="5">
        <f t="shared" si="18"/>
        <v>1.5762215607257315E-3</v>
      </c>
      <c r="AX31" s="5">
        <f t="shared" si="19"/>
        <v>7.1072191537066981E-2</v>
      </c>
      <c r="AY31" s="10">
        <f t="shared" si="20"/>
        <v>3.3425212038930036E-2</v>
      </c>
      <c r="AZ31" s="24">
        <v>0</v>
      </c>
      <c r="BA31" s="4" t="s">
        <v>152</v>
      </c>
      <c r="BB31" s="18" t="s">
        <v>152</v>
      </c>
      <c r="BC31" s="4" t="s">
        <v>152</v>
      </c>
      <c r="BD31" s="18" t="s">
        <v>152</v>
      </c>
      <c r="BE31" s="4" t="s">
        <v>152</v>
      </c>
      <c r="BF31" s="18" t="s">
        <v>152</v>
      </c>
      <c r="BG31" s="4" t="s">
        <v>152</v>
      </c>
      <c r="BH31" s="26">
        <f t="shared" si="21"/>
        <v>0</v>
      </c>
      <c r="BI31" s="26">
        <f t="shared" si="22"/>
        <v>0</v>
      </c>
      <c r="BJ31" s="26">
        <f t="shared" si="23"/>
        <v>0</v>
      </c>
      <c r="BK31" s="26">
        <f t="shared" si="24"/>
        <v>0</v>
      </c>
      <c r="BL31" s="34">
        <f t="shared" si="27"/>
        <v>0</v>
      </c>
      <c r="BM31" s="35">
        <f t="shared" si="26"/>
        <v>0</v>
      </c>
    </row>
    <row r="32" spans="1:65" x14ac:dyDescent="0.35">
      <c r="A32" s="18">
        <v>31</v>
      </c>
      <c r="B32" t="s">
        <v>271</v>
      </c>
      <c r="C32" s="3" t="s">
        <v>25</v>
      </c>
      <c r="D32" s="17" t="s">
        <v>9</v>
      </c>
      <c r="E32" s="17" t="s">
        <v>2</v>
      </c>
      <c r="F32" s="2">
        <v>0</v>
      </c>
      <c r="G32" s="2">
        <v>0</v>
      </c>
      <c r="H32" s="2">
        <v>1</v>
      </c>
      <c r="I32" s="18">
        <v>2018</v>
      </c>
      <c r="J32" s="2">
        <v>0</v>
      </c>
      <c r="K32" s="2" t="s">
        <v>152</v>
      </c>
      <c r="L32" s="4">
        <v>3012308945.6267095</v>
      </c>
      <c r="M32" s="2">
        <v>0</v>
      </c>
      <c r="N32" s="4">
        <v>0</v>
      </c>
      <c r="O32" s="2">
        <v>0</v>
      </c>
      <c r="P32" s="4">
        <v>0</v>
      </c>
      <c r="Q32" s="2">
        <v>0</v>
      </c>
      <c r="R32" s="4">
        <v>0</v>
      </c>
      <c r="S32" s="5">
        <f t="shared" si="0"/>
        <v>0</v>
      </c>
      <c r="T32" s="15">
        <f t="shared" si="1"/>
        <v>0</v>
      </c>
      <c r="U32" s="5">
        <f t="shared" si="2"/>
        <v>0</v>
      </c>
      <c r="V32" s="26">
        <f t="shared" si="3"/>
        <v>0</v>
      </c>
      <c r="W32" s="26">
        <f t="shared" si="4"/>
        <v>0</v>
      </c>
      <c r="X32" s="26">
        <f t="shared" si="5"/>
        <v>0</v>
      </c>
      <c r="Y32" s="26">
        <f t="shared" si="6"/>
        <v>0</v>
      </c>
      <c r="Z32" s="26">
        <f t="shared" si="7"/>
        <v>0</v>
      </c>
      <c r="AA32" s="2">
        <v>0</v>
      </c>
      <c r="AB32" s="18" t="s">
        <v>152</v>
      </c>
      <c r="AC32" s="4" t="s">
        <v>152</v>
      </c>
      <c r="AD32" s="18" t="s">
        <v>152</v>
      </c>
      <c r="AE32" s="4" t="s">
        <v>152</v>
      </c>
      <c r="AF32" s="2" t="s">
        <v>152</v>
      </c>
      <c r="AG32" s="4" t="s">
        <v>152</v>
      </c>
      <c r="AH32" s="28">
        <f t="shared" si="8"/>
        <v>0</v>
      </c>
      <c r="AI32" s="4" t="str">
        <f t="shared" si="28"/>
        <v>na</v>
      </c>
      <c r="AJ32" s="26" t="str">
        <f t="shared" si="25"/>
        <v>na</v>
      </c>
      <c r="AK32" s="26" t="str">
        <f t="shared" si="10"/>
        <v>na</v>
      </c>
      <c r="AL32" s="4">
        <v>136273000</v>
      </c>
      <c r="AM32" s="4">
        <v>5550000</v>
      </c>
      <c r="AN32" s="12">
        <f t="shared" si="11"/>
        <v>-130723000</v>
      </c>
      <c r="AO32" s="12">
        <f t="shared" si="12"/>
        <v>141823000</v>
      </c>
      <c r="AP32" s="8">
        <v>887345000</v>
      </c>
      <c r="AQ32" s="8">
        <v>180772000</v>
      </c>
      <c r="AR32" s="13">
        <f t="shared" si="13"/>
        <v>-706573000</v>
      </c>
      <c r="AS32" s="13">
        <f t="shared" si="14"/>
        <v>1068117000</v>
      </c>
      <c r="AT32" s="5">
        <f t="shared" si="15"/>
        <v>0.1535738636043478</v>
      </c>
      <c r="AU32" s="5">
        <f t="shared" si="16"/>
        <v>3.0701657336313144E-2</v>
      </c>
      <c r="AV32" s="5">
        <f t="shared" si="17"/>
        <v>3.5514115977895976E-4</v>
      </c>
      <c r="AW32" s="5">
        <f t="shared" si="18"/>
        <v>8.7373777867849226E-5</v>
      </c>
      <c r="AX32" s="5">
        <f t="shared" si="19"/>
        <v>0.13277852519901845</v>
      </c>
      <c r="AY32" s="10">
        <f t="shared" si="20"/>
        <v>4.7081160186407706E-2</v>
      </c>
      <c r="AZ32" s="24">
        <v>113</v>
      </c>
      <c r="BA32" s="19">
        <v>585558908.34845948</v>
      </c>
      <c r="BB32" s="17">
        <v>110</v>
      </c>
      <c r="BC32" s="19">
        <v>568921147.99284697</v>
      </c>
      <c r="BD32" s="17">
        <v>3</v>
      </c>
      <c r="BE32" s="19">
        <v>16637760.3556125</v>
      </c>
      <c r="BF32" s="17">
        <v>0</v>
      </c>
      <c r="BG32" s="19">
        <v>0</v>
      </c>
      <c r="BH32" s="26">
        <f t="shared" si="21"/>
        <v>0.19438872934948384</v>
      </c>
      <c r="BI32" s="26">
        <f t="shared" si="22"/>
        <v>0.1888654710596038</v>
      </c>
      <c r="BJ32" s="26">
        <f t="shared" si="23"/>
        <v>5.5232582898800311E-3</v>
      </c>
      <c r="BK32" s="26">
        <f t="shared" si="24"/>
        <v>0</v>
      </c>
      <c r="BL32" s="34">
        <f t="shared" si="27"/>
        <v>34444641.667556442</v>
      </c>
      <c r="BM32" s="35">
        <f t="shared" si="26"/>
        <v>1.1434631138204933E-2</v>
      </c>
    </row>
    <row r="33" spans="1:65" x14ac:dyDescent="0.35">
      <c r="A33" s="18">
        <v>32</v>
      </c>
      <c r="B33" t="s">
        <v>275</v>
      </c>
      <c r="C33" s="3" t="s">
        <v>192</v>
      </c>
      <c r="D33" s="17" t="s">
        <v>9</v>
      </c>
      <c r="E33" s="17" t="s">
        <v>10</v>
      </c>
      <c r="F33" s="2">
        <v>0</v>
      </c>
      <c r="G33" s="2">
        <v>0</v>
      </c>
      <c r="H33" s="2">
        <v>1</v>
      </c>
      <c r="I33" s="18">
        <v>2018</v>
      </c>
      <c r="J33" s="2">
        <v>0</v>
      </c>
      <c r="K33" s="2" t="s">
        <v>152</v>
      </c>
      <c r="L33" s="4">
        <v>1981845740.7061462</v>
      </c>
      <c r="M33" s="2">
        <v>0</v>
      </c>
      <c r="N33" s="4">
        <v>0</v>
      </c>
      <c r="O33" s="2">
        <v>1</v>
      </c>
      <c r="P33" s="4">
        <v>130000000</v>
      </c>
      <c r="Q33" s="2">
        <v>1</v>
      </c>
      <c r="R33" s="4">
        <v>130000000</v>
      </c>
      <c r="S33" s="5">
        <f t="shared" si="0"/>
        <v>0</v>
      </c>
      <c r="T33" s="5">
        <f t="shared" si="1"/>
        <v>6.5595418114469409E-2</v>
      </c>
      <c r="U33" s="5">
        <f t="shared" si="2"/>
        <v>6.5595418114469409E-2</v>
      </c>
      <c r="V33" s="26">
        <f t="shared" si="3"/>
        <v>0</v>
      </c>
      <c r="W33" s="26">
        <f t="shared" si="4"/>
        <v>1.6349322131951606E-4</v>
      </c>
      <c r="X33" s="26">
        <f t="shared" si="5"/>
        <v>6.0667435120844866E-5</v>
      </c>
      <c r="Y33" s="26">
        <f t="shared" si="6"/>
        <v>7647058.823529412</v>
      </c>
      <c r="Z33" s="26">
        <f t="shared" si="7"/>
        <v>3.858554006733495E-3</v>
      </c>
      <c r="AA33" s="2">
        <v>0</v>
      </c>
      <c r="AB33" s="18" t="s">
        <v>152</v>
      </c>
      <c r="AC33" s="4" t="s">
        <v>152</v>
      </c>
      <c r="AD33" s="18" t="s">
        <v>152</v>
      </c>
      <c r="AE33" s="4" t="s">
        <v>152</v>
      </c>
      <c r="AF33" s="2" t="s">
        <v>152</v>
      </c>
      <c r="AG33" s="4" t="s">
        <v>152</v>
      </c>
      <c r="AH33" s="28">
        <f t="shared" si="8"/>
        <v>0</v>
      </c>
      <c r="AI33" s="4" t="str">
        <f t="shared" si="28"/>
        <v>na</v>
      </c>
      <c r="AJ33" s="26" t="str">
        <f t="shared" si="25"/>
        <v>na</v>
      </c>
      <c r="AK33" s="26" t="str">
        <f t="shared" si="10"/>
        <v>na</v>
      </c>
      <c r="AL33" s="4">
        <v>40821000</v>
      </c>
      <c r="AM33" s="4">
        <v>68000</v>
      </c>
      <c r="AN33" s="12">
        <f t="shared" si="11"/>
        <v>-40753000</v>
      </c>
      <c r="AO33" s="12">
        <f t="shared" si="12"/>
        <v>40889000</v>
      </c>
      <c r="AP33" s="8">
        <v>789807000</v>
      </c>
      <c r="AQ33" s="8">
        <v>61879000</v>
      </c>
      <c r="AR33" s="13">
        <f t="shared" si="13"/>
        <v>-727928000</v>
      </c>
      <c r="AS33" s="13">
        <f t="shared" si="14"/>
        <v>851686000</v>
      </c>
      <c r="AT33" s="5">
        <f t="shared" si="15"/>
        <v>5.1684778686438587E-2</v>
      </c>
      <c r="AU33" s="5">
        <f t="shared" si="16"/>
        <v>1.0989188577708107E-3</v>
      </c>
      <c r="AV33" s="5">
        <f t="shared" si="17"/>
        <v>3.1610362821849543E-4</v>
      </c>
      <c r="AW33" s="5">
        <f t="shared" si="18"/>
        <v>2.9908403960152251E-5</v>
      </c>
      <c r="AX33" s="5">
        <f t="shared" si="19"/>
        <v>4.8009477671348361E-2</v>
      </c>
      <c r="AY33" s="10">
        <f t="shared" si="20"/>
        <v>2.0631777317557998E-2</v>
      </c>
      <c r="AZ33" s="24">
        <v>85</v>
      </c>
      <c r="BA33" s="19">
        <v>611101411.19392717</v>
      </c>
      <c r="BB33" s="17">
        <v>79</v>
      </c>
      <c r="BC33" s="19">
        <v>604429871.12164521</v>
      </c>
      <c r="BD33" s="17">
        <v>4</v>
      </c>
      <c r="BE33" s="19">
        <v>804822.50858124765</v>
      </c>
      <c r="BF33" s="17">
        <v>2</v>
      </c>
      <c r="BG33" s="19">
        <v>5866717.5637008101</v>
      </c>
      <c r="BH33" s="26">
        <f t="shared" si="21"/>
        <v>0.30834963521236886</v>
      </c>
      <c r="BI33" s="26">
        <f t="shared" si="22"/>
        <v>0.3049833085930706</v>
      </c>
      <c r="BJ33" s="26">
        <f t="shared" si="23"/>
        <v>4.0609745352556222E-4</v>
      </c>
      <c r="BK33" s="26">
        <f t="shared" si="24"/>
        <v>2.9602291657727384E-3</v>
      </c>
      <c r="BL33" s="34">
        <f t="shared" si="27"/>
        <v>35947141.834936894</v>
      </c>
      <c r="BM33" s="35">
        <f t="shared" si="26"/>
        <v>1.81382138360217E-2</v>
      </c>
    </row>
    <row r="34" spans="1:65" x14ac:dyDescent="0.35">
      <c r="A34" s="18">
        <v>33</v>
      </c>
      <c r="B34" t="s">
        <v>272</v>
      </c>
      <c r="C34" s="3" t="s">
        <v>26</v>
      </c>
      <c r="D34" s="17" t="s">
        <v>23</v>
      </c>
      <c r="E34" s="17" t="s">
        <v>10</v>
      </c>
      <c r="F34" s="2">
        <v>4</v>
      </c>
      <c r="G34" s="2">
        <v>1</v>
      </c>
      <c r="H34" s="2">
        <v>1</v>
      </c>
      <c r="I34" s="18">
        <v>2013</v>
      </c>
      <c r="J34" s="2">
        <v>0</v>
      </c>
      <c r="K34" s="2" t="s">
        <v>152</v>
      </c>
      <c r="L34" s="4">
        <v>27089389786.968418</v>
      </c>
      <c r="M34" s="2">
        <v>15</v>
      </c>
      <c r="N34" s="4">
        <v>5690000000</v>
      </c>
      <c r="O34" s="2">
        <v>32</v>
      </c>
      <c r="P34" s="4">
        <v>12530000000</v>
      </c>
      <c r="Q34" s="2">
        <v>47</v>
      </c>
      <c r="R34" s="4">
        <v>18220000000</v>
      </c>
      <c r="S34" s="5">
        <f t="shared" si="0"/>
        <v>0.21004533674424897</v>
      </c>
      <c r="T34" s="5">
        <f t="shared" si="1"/>
        <v>0.46254271870042873</v>
      </c>
      <c r="U34" s="5">
        <f t="shared" si="2"/>
        <v>0.6725880554446777</v>
      </c>
      <c r="V34" s="26">
        <f t="shared" si="3"/>
        <v>4.2379508874373431E-3</v>
      </c>
      <c r="W34" s="26">
        <f t="shared" si="4"/>
        <v>1.5758231254873356E-2</v>
      </c>
      <c r="X34" s="26">
        <f t="shared" si="5"/>
        <v>8.5027743684753347E-3</v>
      </c>
      <c r="Y34" s="26">
        <f t="shared" si="6"/>
        <v>1071764705.8823529</v>
      </c>
      <c r="Z34" s="26">
        <f t="shared" si="7"/>
        <v>3.9564003261451632E-2</v>
      </c>
      <c r="AA34" s="2">
        <v>1</v>
      </c>
      <c r="AB34" s="11">
        <v>2</v>
      </c>
      <c r="AC34" s="27">
        <v>135000000</v>
      </c>
      <c r="AD34" s="11">
        <v>1</v>
      </c>
      <c r="AE34" s="27">
        <v>50000000</v>
      </c>
      <c r="AF34" s="2">
        <v>0</v>
      </c>
      <c r="AG34" s="4">
        <v>0</v>
      </c>
      <c r="AH34" s="28">
        <f t="shared" si="8"/>
        <v>3</v>
      </c>
      <c r="AI34" s="4">
        <f t="shared" si="28"/>
        <v>185000000</v>
      </c>
      <c r="AJ34" s="26">
        <f t="shared" si="25"/>
        <v>6.8292420558323476E-3</v>
      </c>
      <c r="AK34" s="26">
        <f t="shared" si="10"/>
        <v>4.641217574509731E-3</v>
      </c>
      <c r="AL34" s="4">
        <v>7585748000</v>
      </c>
      <c r="AM34" s="4">
        <v>1012148000</v>
      </c>
      <c r="AN34" s="12">
        <f t="shared" si="11"/>
        <v>-6573600000</v>
      </c>
      <c r="AO34" s="12">
        <f t="shared" si="12"/>
        <v>8597896000</v>
      </c>
      <c r="AP34" s="8">
        <v>20279485000</v>
      </c>
      <c r="AQ34" s="8">
        <v>14824722000</v>
      </c>
      <c r="AR34" s="13">
        <f t="shared" si="13"/>
        <v>-5454763000</v>
      </c>
      <c r="AS34" s="13">
        <f t="shared" si="14"/>
        <v>35104207000</v>
      </c>
      <c r="AT34" s="5">
        <f t="shared" si="15"/>
        <v>0.37406018939830077</v>
      </c>
      <c r="AU34" s="5">
        <f t="shared" si="16"/>
        <v>6.827433256421267E-2</v>
      </c>
      <c r="AV34" s="5">
        <f t="shared" si="17"/>
        <v>8.1164370370262039E-3</v>
      </c>
      <c r="AW34" s="5">
        <f t="shared" si="18"/>
        <v>7.1653351568861179E-3</v>
      </c>
      <c r="AX34" s="5">
        <f t="shared" si="19"/>
        <v>0.24492494589038857</v>
      </c>
      <c r="AY34" s="10">
        <f t="shared" si="20"/>
        <v>0.31738979975606874</v>
      </c>
      <c r="AZ34" s="24">
        <v>308</v>
      </c>
      <c r="BA34" s="19">
        <v>14819153501.184505</v>
      </c>
      <c r="BB34" s="17">
        <v>199</v>
      </c>
      <c r="BC34" s="19">
        <v>3733341709.0953841</v>
      </c>
      <c r="BD34" s="17">
        <v>97</v>
      </c>
      <c r="BE34" s="19">
        <v>10598719750.883251</v>
      </c>
      <c r="BF34" s="17">
        <v>12</v>
      </c>
      <c r="BG34" s="19">
        <v>487092041.20587224</v>
      </c>
      <c r="BH34" s="26">
        <f t="shared" si="21"/>
        <v>0.5470464125520238</v>
      </c>
      <c r="BI34" s="26">
        <f t="shared" si="22"/>
        <v>0.13781564437052546</v>
      </c>
      <c r="BJ34" s="26">
        <f t="shared" si="23"/>
        <v>0.39124985222006942</v>
      </c>
      <c r="BK34" s="26">
        <f t="shared" si="24"/>
        <v>1.7980915961429002E-2</v>
      </c>
      <c r="BL34" s="34">
        <f t="shared" si="27"/>
        <v>871714911.83438265</v>
      </c>
      <c r="BM34" s="35">
        <f t="shared" si="26"/>
        <v>3.2179200738354341E-2</v>
      </c>
    </row>
    <row r="35" spans="1:65" x14ac:dyDescent="0.35">
      <c r="A35" s="18">
        <v>34</v>
      </c>
      <c r="B35" t="s">
        <v>273</v>
      </c>
      <c r="C35" s="3" t="s">
        <v>27</v>
      </c>
      <c r="D35" s="17" t="s">
        <v>9</v>
      </c>
      <c r="E35" s="17" t="s">
        <v>10</v>
      </c>
      <c r="F35" s="2">
        <v>0</v>
      </c>
      <c r="G35" s="2">
        <v>0</v>
      </c>
      <c r="H35" s="2">
        <v>1</v>
      </c>
      <c r="I35" s="18">
        <v>2015</v>
      </c>
      <c r="J35" s="2">
        <v>0</v>
      </c>
      <c r="K35" s="2" t="s">
        <v>152</v>
      </c>
      <c r="L35" s="4">
        <v>39007354359.279823</v>
      </c>
      <c r="M35" s="2">
        <v>15</v>
      </c>
      <c r="N35" s="4">
        <v>5970000000</v>
      </c>
      <c r="O35" s="2">
        <v>10</v>
      </c>
      <c r="P35" s="4">
        <v>3990000000</v>
      </c>
      <c r="Q35" s="2">
        <v>25</v>
      </c>
      <c r="R35" s="4">
        <v>9960000000</v>
      </c>
      <c r="S35" s="5">
        <f t="shared" si="0"/>
        <v>0.15304806229648182</v>
      </c>
      <c r="T35" s="5">
        <f t="shared" si="1"/>
        <v>0.10228840344438232</v>
      </c>
      <c r="U35" s="5">
        <f t="shared" si="2"/>
        <v>0.25533646574086416</v>
      </c>
      <c r="V35" s="26">
        <f t="shared" si="3"/>
        <v>4.4464968010546465E-3</v>
      </c>
      <c r="W35" s="26">
        <f t="shared" si="4"/>
        <v>5.017984254345147E-3</v>
      </c>
      <c r="X35" s="26">
        <f t="shared" si="5"/>
        <v>4.6480588754124223E-3</v>
      </c>
      <c r="Y35" s="26">
        <f t="shared" si="6"/>
        <v>585882352.94117641</v>
      </c>
      <c r="Z35" s="26">
        <f t="shared" si="7"/>
        <v>1.5019792102403772E-2</v>
      </c>
      <c r="AA35" s="2">
        <v>0</v>
      </c>
      <c r="AB35" s="18" t="s">
        <v>152</v>
      </c>
      <c r="AC35" s="4" t="s">
        <v>152</v>
      </c>
      <c r="AD35" s="18" t="s">
        <v>152</v>
      </c>
      <c r="AE35" s="4" t="s">
        <v>152</v>
      </c>
      <c r="AF35" s="2" t="s">
        <v>152</v>
      </c>
      <c r="AG35" s="4" t="s">
        <v>152</v>
      </c>
      <c r="AH35" s="28">
        <f t="shared" si="8"/>
        <v>0</v>
      </c>
      <c r="AI35" s="4" t="str">
        <f t="shared" si="28"/>
        <v>na</v>
      </c>
      <c r="AJ35" s="26" t="str">
        <f t="shared" si="25"/>
        <v>na</v>
      </c>
      <c r="AK35" s="26" t="str">
        <f t="shared" si="10"/>
        <v>na</v>
      </c>
      <c r="AL35" s="14">
        <v>1676311000</v>
      </c>
      <c r="AM35" s="14">
        <v>1015043000</v>
      </c>
      <c r="AN35" s="12">
        <f t="shared" si="11"/>
        <v>-661268000</v>
      </c>
      <c r="AO35" s="12">
        <f t="shared" si="12"/>
        <v>2691354000</v>
      </c>
      <c r="AP35" s="8">
        <v>6165015000</v>
      </c>
      <c r="AQ35" s="8">
        <v>5721600000</v>
      </c>
      <c r="AR35" s="13">
        <f t="shared" si="13"/>
        <v>-443415000</v>
      </c>
      <c r="AS35" s="13">
        <f t="shared" si="14"/>
        <v>11886615000</v>
      </c>
      <c r="AT35" s="5">
        <f t="shared" si="15"/>
        <v>0.27190704321076264</v>
      </c>
      <c r="AU35" s="5">
        <f t="shared" si="16"/>
        <v>0.17740544602908279</v>
      </c>
      <c r="AV35" s="5">
        <f t="shared" si="17"/>
        <v>2.4674174950607528E-3</v>
      </c>
      <c r="AW35" s="5">
        <f t="shared" si="18"/>
        <v>2.7654604001100063E-3</v>
      </c>
      <c r="AX35" s="5">
        <f t="shared" si="19"/>
        <v>0.22641887534844865</v>
      </c>
      <c r="AY35" s="10">
        <f t="shared" si="20"/>
        <v>6.8996066106178477E-2</v>
      </c>
      <c r="AZ35" s="24">
        <v>132</v>
      </c>
      <c r="BA35" s="19">
        <v>6758834345.7368317</v>
      </c>
      <c r="BB35" s="17">
        <v>103</v>
      </c>
      <c r="BC35" s="19">
        <v>1578225644.3265741</v>
      </c>
      <c r="BD35" s="17">
        <v>18</v>
      </c>
      <c r="BE35" s="19">
        <v>4176630992.847837</v>
      </c>
      <c r="BF35" s="17">
        <v>11</v>
      </c>
      <c r="BG35" s="19">
        <v>1003977708.5624185</v>
      </c>
      <c r="BH35" s="26">
        <f t="shared" si="21"/>
        <v>0.17327077051891651</v>
      </c>
      <c r="BI35" s="26">
        <f t="shared" si="22"/>
        <v>4.0459694594773644E-2</v>
      </c>
      <c r="BJ35" s="26">
        <f t="shared" si="23"/>
        <v>0.10707291128689991</v>
      </c>
      <c r="BK35" s="26">
        <f t="shared" si="24"/>
        <v>2.5738164637242895E-2</v>
      </c>
      <c r="BL35" s="34">
        <f t="shared" si="27"/>
        <v>397578490.92569596</v>
      </c>
      <c r="BM35" s="35">
        <f t="shared" si="26"/>
        <v>1.0192398265818617E-2</v>
      </c>
    </row>
    <row r="36" spans="1:65" x14ac:dyDescent="0.35">
      <c r="A36" s="18">
        <v>35</v>
      </c>
      <c r="B36" t="s">
        <v>274</v>
      </c>
      <c r="C36" s="3" t="s">
        <v>158</v>
      </c>
      <c r="D36" s="17" t="s">
        <v>215</v>
      </c>
      <c r="E36" s="17" t="s">
        <v>13</v>
      </c>
      <c r="F36" s="2">
        <v>2</v>
      </c>
      <c r="G36" s="2">
        <v>0</v>
      </c>
      <c r="H36" s="2">
        <v>0</v>
      </c>
      <c r="I36" s="3" t="s">
        <v>152</v>
      </c>
      <c r="J36" s="2">
        <v>0</v>
      </c>
      <c r="K36" s="2" t="s">
        <v>152</v>
      </c>
      <c r="L36" s="4">
        <v>1741576393905.9792</v>
      </c>
      <c r="M36" s="2">
        <v>71</v>
      </c>
      <c r="N36" s="4">
        <v>57130000000</v>
      </c>
      <c r="O36" s="2">
        <v>0</v>
      </c>
      <c r="P36" s="4">
        <v>0</v>
      </c>
      <c r="Q36" s="2">
        <v>71</v>
      </c>
      <c r="R36" s="4">
        <v>57130000000</v>
      </c>
      <c r="S36" s="5">
        <f t="shared" si="0"/>
        <v>3.2803614127927955E-2</v>
      </c>
      <c r="T36" s="15">
        <f t="shared" si="1"/>
        <v>0</v>
      </c>
      <c r="U36" s="5">
        <f t="shared" si="2"/>
        <v>3.2803614127927955E-2</v>
      </c>
      <c r="V36" s="26">
        <f t="shared" si="3"/>
        <v>4.2550814446273358E-2</v>
      </c>
      <c r="W36" s="26">
        <f t="shared" si="4"/>
        <v>0</v>
      </c>
      <c r="X36" s="26">
        <f t="shared" si="5"/>
        <v>2.6661004372722053E-2</v>
      </c>
      <c r="Y36" s="26">
        <f t="shared" si="6"/>
        <v>3360588235.2941175</v>
      </c>
      <c r="Z36" s="26">
        <f t="shared" si="7"/>
        <v>1.9296243604663501E-3</v>
      </c>
      <c r="AA36" s="2">
        <v>2</v>
      </c>
      <c r="AB36" s="2">
        <v>0</v>
      </c>
      <c r="AC36" s="4">
        <v>0</v>
      </c>
      <c r="AD36" s="2">
        <v>0</v>
      </c>
      <c r="AE36" s="4">
        <v>0</v>
      </c>
      <c r="AF36" s="2">
        <v>0</v>
      </c>
      <c r="AG36" s="4">
        <v>0</v>
      </c>
      <c r="AH36" s="28">
        <f t="shared" si="8"/>
        <v>0</v>
      </c>
      <c r="AI36" s="4">
        <f t="shared" si="28"/>
        <v>0</v>
      </c>
      <c r="AJ36" s="26">
        <f t="shared" si="25"/>
        <v>0</v>
      </c>
      <c r="AK36" s="26">
        <f t="shared" si="10"/>
        <v>0</v>
      </c>
      <c r="AL36" s="4">
        <v>56516369000</v>
      </c>
      <c r="AM36" s="4">
        <v>17521099000</v>
      </c>
      <c r="AN36" s="12">
        <f t="shared" si="11"/>
        <v>-38995270000</v>
      </c>
      <c r="AO36" s="12">
        <f t="shared" si="12"/>
        <v>74037468000</v>
      </c>
      <c r="AP36" s="8">
        <v>453157225000</v>
      </c>
      <c r="AQ36" s="8">
        <v>446562311000</v>
      </c>
      <c r="AR36" s="13">
        <f t="shared" si="13"/>
        <v>-6594914000</v>
      </c>
      <c r="AS36" s="13">
        <f t="shared" si="14"/>
        <v>899719536000</v>
      </c>
      <c r="AT36" s="5">
        <f t="shared" si="15"/>
        <v>0.12471691033945227</v>
      </c>
      <c r="AU36" s="5">
        <f t="shared" si="16"/>
        <v>3.923550771842902E-2</v>
      </c>
      <c r="AV36" s="5">
        <f t="shared" si="17"/>
        <v>0.18136664144015577</v>
      </c>
      <c r="AW36" s="5">
        <f t="shared" si="18"/>
        <v>0.21584004251470026</v>
      </c>
      <c r="AX36" s="5">
        <f t="shared" si="19"/>
        <v>8.2289496934964859E-2</v>
      </c>
      <c r="AY36" s="10">
        <f t="shared" si="20"/>
        <v>4.2511754442163728E-2</v>
      </c>
      <c r="AZ36" s="24" t="s">
        <v>152</v>
      </c>
      <c r="BA36" s="29" t="s">
        <v>152</v>
      </c>
      <c r="BB36" s="24" t="s">
        <v>152</v>
      </c>
      <c r="BC36" s="29" t="s">
        <v>152</v>
      </c>
      <c r="BD36" s="24" t="s">
        <v>152</v>
      </c>
      <c r="BE36" s="29" t="s">
        <v>152</v>
      </c>
      <c r="BF36" s="24" t="s">
        <v>152</v>
      </c>
      <c r="BG36" s="29" t="s">
        <v>152</v>
      </c>
      <c r="BH36" s="26">
        <f t="shared" si="21"/>
        <v>0</v>
      </c>
      <c r="BI36" s="26">
        <f t="shared" si="22"/>
        <v>0</v>
      </c>
      <c r="BJ36" s="26">
        <f t="shared" si="23"/>
        <v>0</v>
      </c>
      <c r="BK36" s="26">
        <f t="shared" si="24"/>
        <v>0</v>
      </c>
      <c r="BL36" s="34">
        <f t="shared" si="27"/>
        <v>0</v>
      </c>
      <c r="BM36" s="35">
        <f t="shared" si="26"/>
        <v>0</v>
      </c>
    </row>
    <row r="37" spans="1:65" x14ac:dyDescent="0.35">
      <c r="A37" s="18">
        <v>36</v>
      </c>
      <c r="B37" t="s">
        <v>452</v>
      </c>
      <c r="C37" s="3" t="s">
        <v>474</v>
      </c>
      <c r="D37" s="17" t="s">
        <v>12</v>
      </c>
      <c r="E37" s="17" t="s">
        <v>13</v>
      </c>
      <c r="F37" s="2">
        <v>0</v>
      </c>
      <c r="G37" s="2">
        <v>0</v>
      </c>
      <c r="H37" s="2">
        <v>0</v>
      </c>
      <c r="I37" s="2" t="s">
        <v>152</v>
      </c>
      <c r="J37" s="2">
        <v>0</v>
      </c>
      <c r="K37" s="2" t="s">
        <v>152</v>
      </c>
      <c r="L37" s="19">
        <v>5935769350.7740307</v>
      </c>
      <c r="M37" s="2">
        <v>0</v>
      </c>
      <c r="N37" s="4">
        <v>0</v>
      </c>
      <c r="O37" s="2">
        <v>0</v>
      </c>
      <c r="P37" s="4">
        <v>0</v>
      </c>
      <c r="Q37" s="2">
        <v>0</v>
      </c>
      <c r="R37" s="4">
        <v>0</v>
      </c>
      <c r="S37" s="5">
        <f t="shared" si="0"/>
        <v>0</v>
      </c>
      <c r="T37" s="15">
        <f t="shared" si="1"/>
        <v>0</v>
      </c>
      <c r="U37" s="5">
        <f t="shared" si="2"/>
        <v>0</v>
      </c>
      <c r="V37" s="26">
        <f t="shared" si="3"/>
        <v>0</v>
      </c>
      <c r="W37" s="26">
        <f t="shared" si="4"/>
        <v>0</v>
      </c>
      <c r="X37" s="26">
        <f t="shared" si="5"/>
        <v>0</v>
      </c>
      <c r="Y37" s="26">
        <f t="shared" si="6"/>
        <v>0</v>
      </c>
      <c r="Z37" s="26">
        <f t="shared" si="7"/>
        <v>0</v>
      </c>
      <c r="AA37" s="2">
        <v>0</v>
      </c>
      <c r="AB37" s="18" t="s">
        <v>152</v>
      </c>
      <c r="AC37" s="4" t="s">
        <v>152</v>
      </c>
      <c r="AD37" s="18" t="s">
        <v>152</v>
      </c>
      <c r="AE37" s="4" t="s">
        <v>152</v>
      </c>
      <c r="AF37" s="2" t="s">
        <v>152</v>
      </c>
      <c r="AG37" s="4" t="s">
        <v>152</v>
      </c>
      <c r="AH37" s="28">
        <f t="shared" si="8"/>
        <v>0</v>
      </c>
      <c r="AI37" s="4" t="s">
        <v>152</v>
      </c>
      <c r="AJ37" s="26" t="str">
        <f t="shared" si="25"/>
        <v>na</v>
      </c>
      <c r="AK37" s="26" t="str">
        <f t="shared" si="10"/>
        <v>na</v>
      </c>
      <c r="AL37" s="21">
        <v>38326000</v>
      </c>
      <c r="AM37" s="21">
        <v>82000</v>
      </c>
      <c r="AN37" s="12">
        <f t="shared" si="11"/>
        <v>-38244000</v>
      </c>
      <c r="AO37" s="12">
        <f t="shared" si="12"/>
        <v>38408000</v>
      </c>
      <c r="AP37" s="19">
        <v>4477846000</v>
      </c>
      <c r="AQ37" s="19">
        <v>1535610000</v>
      </c>
      <c r="AR37" s="13">
        <f t="shared" si="13"/>
        <v>-2942236000</v>
      </c>
      <c r="AS37" s="13">
        <f t="shared" si="14"/>
        <v>6013456000</v>
      </c>
      <c r="AT37" s="5">
        <f t="shared" si="15"/>
        <v>8.5590259245181717E-3</v>
      </c>
      <c r="AU37" s="5">
        <f t="shared" si="16"/>
        <v>5.33989750001628E-5</v>
      </c>
      <c r="AV37" s="5">
        <f t="shared" si="17"/>
        <v>1.7921636136469759E-3</v>
      </c>
      <c r="AW37" s="5">
        <f t="shared" si="18"/>
        <v>7.4221697514907149E-4</v>
      </c>
      <c r="AX37" s="5">
        <f t="shared" si="19"/>
        <v>6.3870094002517024E-3</v>
      </c>
      <c r="AY37" s="10">
        <f t="shared" si="20"/>
        <v>6.4706018260280874E-3</v>
      </c>
      <c r="AZ37" s="24">
        <v>0</v>
      </c>
      <c r="BA37" s="4" t="s">
        <v>152</v>
      </c>
      <c r="BB37" s="18" t="s">
        <v>152</v>
      </c>
      <c r="BC37" s="4" t="s">
        <v>152</v>
      </c>
      <c r="BD37" s="18" t="s">
        <v>152</v>
      </c>
      <c r="BE37" s="4" t="s">
        <v>152</v>
      </c>
      <c r="BF37" s="18" t="s">
        <v>152</v>
      </c>
      <c r="BG37" s="4" t="s">
        <v>152</v>
      </c>
      <c r="BH37" s="26">
        <f t="shared" si="21"/>
        <v>0</v>
      </c>
      <c r="BI37" s="26">
        <f t="shared" si="22"/>
        <v>0</v>
      </c>
      <c r="BJ37" s="26">
        <f t="shared" si="23"/>
        <v>0</v>
      </c>
      <c r="BK37" s="26">
        <f t="shared" si="24"/>
        <v>0</v>
      </c>
      <c r="BL37" s="34">
        <f t="shared" si="27"/>
        <v>0</v>
      </c>
      <c r="BM37" s="35">
        <f t="shared" si="26"/>
        <v>0</v>
      </c>
    </row>
    <row r="38" spans="1:65" x14ac:dyDescent="0.35">
      <c r="A38" s="18">
        <v>37</v>
      </c>
      <c r="B38" t="s">
        <v>276</v>
      </c>
      <c r="C38" s="3" t="s">
        <v>187</v>
      </c>
      <c r="D38" s="17" t="s">
        <v>9</v>
      </c>
      <c r="E38" s="17" t="s">
        <v>2</v>
      </c>
      <c r="F38" s="2">
        <v>0</v>
      </c>
      <c r="G38" s="2">
        <v>0</v>
      </c>
      <c r="H38" s="2">
        <v>0</v>
      </c>
      <c r="I38" s="3" t="s">
        <v>152</v>
      </c>
      <c r="J38" s="2">
        <v>0</v>
      </c>
      <c r="K38" s="2" t="s">
        <v>152</v>
      </c>
      <c r="L38" s="4">
        <v>2220307318.7488565</v>
      </c>
      <c r="M38" s="2">
        <v>0</v>
      </c>
      <c r="N38" s="4">
        <v>0</v>
      </c>
      <c r="O38" s="2">
        <v>0</v>
      </c>
      <c r="P38" s="4">
        <v>0</v>
      </c>
      <c r="Q38" s="2">
        <v>0</v>
      </c>
      <c r="R38" s="4">
        <v>0</v>
      </c>
      <c r="S38" s="5">
        <f t="shared" si="0"/>
        <v>0</v>
      </c>
      <c r="T38" s="15">
        <f t="shared" si="1"/>
        <v>0</v>
      </c>
      <c r="U38" s="5">
        <f t="shared" si="2"/>
        <v>0</v>
      </c>
      <c r="V38" s="26">
        <f t="shared" si="3"/>
        <v>0</v>
      </c>
      <c r="W38" s="26">
        <f t="shared" si="4"/>
        <v>0</v>
      </c>
      <c r="X38" s="26">
        <f t="shared" si="5"/>
        <v>0</v>
      </c>
      <c r="Y38" s="26">
        <f t="shared" si="6"/>
        <v>0</v>
      </c>
      <c r="Z38" s="26">
        <f t="shared" si="7"/>
        <v>0</v>
      </c>
      <c r="AA38" s="2">
        <v>0</v>
      </c>
      <c r="AB38" s="2" t="s">
        <v>152</v>
      </c>
      <c r="AC38" s="4" t="s">
        <v>152</v>
      </c>
      <c r="AD38" s="2" t="s">
        <v>152</v>
      </c>
      <c r="AE38" s="4" t="s">
        <v>152</v>
      </c>
      <c r="AF38" s="2" t="s">
        <v>152</v>
      </c>
      <c r="AG38" s="4" t="s">
        <v>152</v>
      </c>
      <c r="AH38" s="28">
        <f t="shared" si="8"/>
        <v>0</v>
      </c>
      <c r="AI38" s="4" t="str">
        <f t="shared" ref="AI38:AI68" si="29">IFERROR(AC38+AE38,"na")</f>
        <v>na</v>
      </c>
      <c r="AJ38" s="26" t="str">
        <f t="shared" si="25"/>
        <v>na</v>
      </c>
      <c r="AK38" s="26" t="str">
        <f t="shared" si="10"/>
        <v>na</v>
      </c>
      <c r="AL38" s="4">
        <v>103158000</v>
      </c>
      <c r="AM38" s="4">
        <v>7442000</v>
      </c>
      <c r="AN38" s="12">
        <f t="shared" si="11"/>
        <v>-95716000</v>
      </c>
      <c r="AO38" s="12">
        <f t="shared" si="12"/>
        <v>110600000</v>
      </c>
      <c r="AP38" s="8">
        <v>567832000</v>
      </c>
      <c r="AQ38" s="8">
        <v>125191000</v>
      </c>
      <c r="AR38" s="13">
        <f t="shared" si="13"/>
        <v>-442641000</v>
      </c>
      <c r="AS38" s="13">
        <f t="shared" si="14"/>
        <v>693023000</v>
      </c>
      <c r="AT38" s="5">
        <f t="shared" si="15"/>
        <v>0.18166993054283662</v>
      </c>
      <c r="AU38" s="5">
        <f t="shared" si="16"/>
        <v>5.9445167783626615E-2</v>
      </c>
      <c r="AV38" s="5">
        <f t="shared" si="17"/>
        <v>2.2726280650660821E-4</v>
      </c>
      <c r="AW38" s="5">
        <f t="shared" si="18"/>
        <v>6.0509429696268848E-5</v>
      </c>
      <c r="AX38" s="5">
        <f t="shared" si="19"/>
        <v>0.15959066293615073</v>
      </c>
      <c r="AY38" s="10">
        <f t="shared" si="20"/>
        <v>4.9812924123640287E-2</v>
      </c>
      <c r="AZ38" s="24">
        <v>107</v>
      </c>
      <c r="BA38" s="19">
        <v>474603128.61500078</v>
      </c>
      <c r="BB38" s="17">
        <v>101</v>
      </c>
      <c r="BC38" s="19">
        <v>287310403.61804402</v>
      </c>
      <c r="BD38" s="17">
        <v>1</v>
      </c>
      <c r="BE38" s="19">
        <v>119460798.289351</v>
      </c>
      <c r="BF38" s="17">
        <v>5</v>
      </c>
      <c r="BG38" s="19">
        <v>67831926.707605794</v>
      </c>
      <c r="BH38" s="26">
        <f t="shared" si="21"/>
        <v>0.21375560248229047</v>
      </c>
      <c r="BI38" s="26">
        <f t="shared" si="22"/>
        <v>0.12940118748063376</v>
      </c>
      <c r="BJ38" s="26">
        <f t="shared" si="23"/>
        <v>5.3803722250786064E-2</v>
      </c>
      <c r="BK38" s="26">
        <f t="shared" si="24"/>
        <v>3.0550692750870675E-2</v>
      </c>
      <c r="BL38" s="34">
        <f t="shared" si="27"/>
        <v>27917831.095000047</v>
      </c>
      <c r="BM38" s="35">
        <f t="shared" si="26"/>
        <v>1.2573858969546499E-2</v>
      </c>
    </row>
    <row r="39" spans="1:65" x14ac:dyDescent="0.35">
      <c r="A39" s="18">
        <v>38</v>
      </c>
      <c r="B39" t="s">
        <v>277</v>
      </c>
      <c r="C39" s="3" t="s">
        <v>28</v>
      </c>
      <c r="D39" s="17" t="s">
        <v>9</v>
      </c>
      <c r="E39" s="17" t="s">
        <v>2</v>
      </c>
      <c r="F39" s="2">
        <v>0</v>
      </c>
      <c r="G39" s="2">
        <v>0</v>
      </c>
      <c r="H39" s="2">
        <v>1</v>
      </c>
      <c r="I39" s="18">
        <v>2018</v>
      </c>
      <c r="J39" s="2">
        <v>1</v>
      </c>
      <c r="K39" s="2">
        <v>2006</v>
      </c>
      <c r="L39" s="4">
        <v>11314951342.780731</v>
      </c>
      <c r="M39" s="2">
        <v>5</v>
      </c>
      <c r="N39" s="4">
        <v>7730000000</v>
      </c>
      <c r="O39" s="18">
        <v>3</v>
      </c>
      <c r="P39" s="4">
        <v>550000000</v>
      </c>
      <c r="Q39" s="2">
        <v>8</v>
      </c>
      <c r="R39" s="4">
        <v>8280000000</v>
      </c>
      <c r="S39" s="5">
        <f t="shared" si="0"/>
        <v>0.6831668794521123</v>
      </c>
      <c r="T39" s="5">
        <f t="shared" si="1"/>
        <v>4.8608251448727269E-2</v>
      </c>
      <c r="U39" s="5">
        <f t="shared" si="2"/>
        <v>0.73177513090083957</v>
      </c>
      <c r="V39" s="26">
        <f t="shared" si="3"/>
        <v>5.7573568295062674E-3</v>
      </c>
      <c r="W39" s="26">
        <f t="shared" si="4"/>
        <v>6.9170209019795261E-4</v>
      </c>
      <c r="X39" s="26">
        <f t="shared" si="5"/>
        <v>3.8640489446199653E-3</v>
      </c>
      <c r="Y39" s="26">
        <f t="shared" si="6"/>
        <v>487058823.52941179</v>
      </c>
      <c r="Z39" s="26">
        <f t="shared" si="7"/>
        <v>4.3045595935343503E-2</v>
      </c>
      <c r="AA39" s="2">
        <v>0</v>
      </c>
      <c r="AB39" s="18" t="s">
        <v>152</v>
      </c>
      <c r="AC39" s="4" t="s">
        <v>152</v>
      </c>
      <c r="AD39" s="18" t="s">
        <v>152</v>
      </c>
      <c r="AE39" s="4" t="s">
        <v>152</v>
      </c>
      <c r="AF39" s="2" t="s">
        <v>152</v>
      </c>
      <c r="AG39" s="4" t="s">
        <v>152</v>
      </c>
      <c r="AH39" s="28">
        <f t="shared" si="8"/>
        <v>0</v>
      </c>
      <c r="AI39" s="4" t="str">
        <f t="shared" si="29"/>
        <v>na</v>
      </c>
      <c r="AJ39" s="26" t="str">
        <f t="shared" si="25"/>
        <v>na</v>
      </c>
      <c r="AK39" s="26" t="str">
        <f t="shared" si="10"/>
        <v>na</v>
      </c>
      <c r="AL39" s="14">
        <v>278769000</v>
      </c>
      <c r="AM39" s="14">
        <v>439827000</v>
      </c>
      <c r="AN39" s="12">
        <f t="shared" si="11"/>
        <v>161058000</v>
      </c>
      <c r="AO39" s="12">
        <f t="shared" si="12"/>
        <v>718596000</v>
      </c>
      <c r="AP39" s="8">
        <v>1006326000</v>
      </c>
      <c r="AQ39" s="8">
        <v>1319682000</v>
      </c>
      <c r="AR39" s="13">
        <f t="shared" si="13"/>
        <v>313356000</v>
      </c>
      <c r="AS39" s="13">
        <f t="shared" si="14"/>
        <v>2326008000</v>
      </c>
      <c r="AT39" s="5">
        <f t="shared" si="15"/>
        <v>0.27701659303247655</v>
      </c>
      <c r="AU39" s="5">
        <f t="shared" si="16"/>
        <v>0.3332825635266678</v>
      </c>
      <c r="AV39" s="5">
        <f t="shared" si="17"/>
        <v>4.0276080076601708E-4</v>
      </c>
      <c r="AW39" s="5">
        <f t="shared" si="18"/>
        <v>6.3785100526740309E-4</v>
      </c>
      <c r="AX39" s="5">
        <f t="shared" si="19"/>
        <v>0.3089396081182868</v>
      </c>
      <c r="AY39" s="10">
        <f t="shared" si="20"/>
        <v>6.3508536469181129E-2</v>
      </c>
      <c r="AZ39" s="24">
        <v>96</v>
      </c>
      <c r="BA39" s="19">
        <v>4127853844.9958119</v>
      </c>
      <c r="BB39" s="17">
        <v>85</v>
      </c>
      <c r="BC39" s="19">
        <v>2946617135.621397</v>
      </c>
      <c r="BD39" s="17">
        <v>6</v>
      </c>
      <c r="BE39" s="19">
        <v>736995321.85174417</v>
      </c>
      <c r="BF39" s="17">
        <v>5</v>
      </c>
      <c r="BG39" s="19">
        <v>444241387.52267027</v>
      </c>
      <c r="BH39" s="26">
        <f t="shared" si="21"/>
        <v>0.3648141048020947</v>
      </c>
      <c r="BI39" s="26">
        <f t="shared" si="22"/>
        <v>0.26041801209347881</v>
      </c>
      <c r="BJ39" s="26">
        <f t="shared" si="23"/>
        <v>6.5134643492918656E-2</v>
      </c>
      <c r="BK39" s="26">
        <f t="shared" si="24"/>
        <v>3.9261449215697179E-2</v>
      </c>
      <c r="BL39" s="34">
        <f t="shared" si="27"/>
        <v>242814932.05857718</v>
      </c>
      <c r="BM39" s="35">
        <f t="shared" si="26"/>
        <v>2.145965322365263E-2</v>
      </c>
    </row>
    <row r="40" spans="1:65" x14ac:dyDescent="0.35">
      <c r="A40" s="18">
        <v>39</v>
      </c>
      <c r="B40" t="s">
        <v>278</v>
      </c>
      <c r="C40" s="3" t="s">
        <v>29</v>
      </c>
      <c r="D40" s="17" t="s">
        <v>12</v>
      </c>
      <c r="E40" s="17" t="s">
        <v>13</v>
      </c>
      <c r="F40" s="2">
        <v>2</v>
      </c>
      <c r="G40" s="2">
        <v>1</v>
      </c>
      <c r="H40" s="2">
        <v>1</v>
      </c>
      <c r="I40" s="18">
        <v>2018</v>
      </c>
      <c r="J40" s="2">
        <v>0</v>
      </c>
      <c r="K40" s="2" t="s">
        <v>152</v>
      </c>
      <c r="L40" s="4">
        <v>279385487344.5257</v>
      </c>
      <c r="M40" s="2">
        <v>2</v>
      </c>
      <c r="N40" s="4">
        <v>2100000000</v>
      </c>
      <c r="O40" s="18">
        <v>11</v>
      </c>
      <c r="P40" s="4">
        <v>13110000000</v>
      </c>
      <c r="Q40" s="2">
        <v>13</v>
      </c>
      <c r="R40" s="4">
        <v>15210000000</v>
      </c>
      <c r="S40" s="5">
        <f t="shared" si="0"/>
        <v>7.5164963647892484E-3</v>
      </c>
      <c r="T40" s="5">
        <f t="shared" si="1"/>
        <v>4.6924413020184311E-2</v>
      </c>
      <c r="U40" s="5">
        <f t="shared" si="2"/>
        <v>5.4440909384973556E-2</v>
      </c>
      <c r="V40" s="26">
        <f t="shared" si="3"/>
        <v>1.5640943521297752E-3</v>
      </c>
      <c r="W40" s="26">
        <f t="shared" si="4"/>
        <v>1.6487662549991195E-2</v>
      </c>
      <c r="X40" s="26">
        <f t="shared" si="5"/>
        <v>7.0980899091388494E-3</v>
      </c>
      <c r="Y40" s="26">
        <f t="shared" si="6"/>
        <v>894705882.35294116</v>
      </c>
      <c r="Z40" s="26">
        <f t="shared" si="7"/>
        <v>3.2024064344102093E-3</v>
      </c>
      <c r="AA40" s="2">
        <v>2</v>
      </c>
      <c r="AB40" s="2">
        <v>0</v>
      </c>
      <c r="AC40" s="4">
        <v>0</v>
      </c>
      <c r="AD40" s="2">
        <v>0</v>
      </c>
      <c r="AE40" s="4">
        <v>0</v>
      </c>
      <c r="AF40" s="2">
        <v>0</v>
      </c>
      <c r="AG40" s="4">
        <v>0</v>
      </c>
      <c r="AH40" s="28">
        <f t="shared" si="8"/>
        <v>0</v>
      </c>
      <c r="AI40" s="4">
        <f t="shared" si="29"/>
        <v>0</v>
      </c>
      <c r="AJ40" s="26">
        <f t="shared" si="25"/>
        <v>0</v>
      </c>
      <c r="AK40" s="26">
        <f t="shared" si="10"/>
        <v>0</v>
      </c>
      <c r="AL40" s="4">
        <v>14642138000</v>
      </c>
      <c r="AM40" s="4">
        <v>21677089000</v>
      </c>
      <c r="AN40" s="12">
        <f t="shared" si="11"/>
        <v>7034951000</v>
      </c>
      <c r="AO40" s="12">
        <f t="shared" si="12"/>
        <v>36319227000</v>
      </c>
      <c r="AP40" s="8">
        <v>64119106000</v>
      </c>
      <c r="AQ40" s="8">
        <v>69145962000</v>
      </c>
      <c r="AR40" s="13">
        <f t="shared" si="13"/>
        <v>5026856000</v>
      </c>
      <c r="AS40" s="13">
        <f t="shared" si="14"/>
        <v>133265068000</v>
      </c>
      <c r="AT40" s="5">
        <f t="shared" si="15"/>
        <v>0.22835842408657414</v>
      </c>
      <c r="AU40" s="5">
        <f t="shared" si="16"/>
        <v>0.31349754017450793</v>
      </c>
      <c r="AV40" s="5">
        <f t="shared" si="17"/>
        <v>2.5662322624041445E-2</v>
      </c>
      <c r="AW40" s="5">
        <f t="shared" si="18"/>
        <v>3.3420794836848317E-2</v>
      </c>
      <c r="AX40" s="5">
        <f t="shared" si="19"/>
        <v>0.27253373704803124</v>
      </c>
      <c r="AY40" s="10">
        <f t="shared" si="20"/>
        <v>0.12999682748450264</v>
      </c>
      <c r="AZ40" s="24">
        <v>32</v>
      </c>
      <c r="BA40" s="19">
        <v>1502672359.4791894</v>
      </c>
      <c r="BB40" s="17">
        <v>8</v>
      </c>
      <c r="BC40" s="19">
        <v>6355155.097238021</v>
      </c>
      <c r="BD40" s="17">
        <v>21</v>
      </c>
      <c r="BE40" s="19">
        <v>1215003113.1098843</v>
      </c>
      <c r="BF40" s="17">
        <v>3</v>
      </c>
      <c r="BG40" s="19">
        <v>281314091.27206707</v>
      </c>
      <c r="BH40" s="26">
        <f t="shared" si="21"/>
        <v>5.3784911083307671E-3</v>
      </c>
      <c r="BI40" s="26">
        <f t="shared" si="22"/>
        <v>2.2746904850505452E-5</v>
      </c>
      <c r="BJ40" s="26">
        <f t="shared" si="23"/>
        <v>4.3488411823324122E-3</v>
      </c>
      <c r="BK40" s="26">
        <f t="shared" si="24"/>
        <v>1.0069030211478491E-3</v>
      </c>
      <c r="BL40" s="34">
        <f t="shared" si="27"/>
        <v>88392491.734069958</v>
      </c>
      <c r="BM40" s="35">
        <f t="shared" si="26"/>
        <v>3.1638182990180978E-4</v>
      </c>
    </row>
    <row r="41" spans="1:65" x14ac:dyDescent="0.35">
      <c r="A41" s="18">
        <v>40</v>
      </c>
      <c r="B41" t="s">
        <v>279</v>
      </c>
      <c r="C41" s="3" t="s">
        <v>30</v>
      </c>
      <c r="D41" s="17" t="s">
        <v>23</v>
      </c>
      <c r="E41" s="17" t="s">
        <v>5</v>
      </c>
      <c r="F41" s="2">
        <v>0</v>
      </c>
      <c r="G41" s="2" t="s">
        <v>152</v>
      </c>
      <c r="H41" s="2">
        <v>1</v>
      </c>
      <c r="I41" s="2">
        <v>2013</v>
      </c>
      <c r="J41" s="2">
        <v>0</v>
      </c>
      <c r="K41" s="2" t="s">
        <v>152</v>
      </c>
      <c r="L41" s="4" t="s">
        <v>152</v>
      </c>
      <c r="M41" s="2">
        <v>0</v>
      </c>
      <c r="N41" s="4">
        <v>0</v>
      </c>
      <c r="O41" s="2">
        <v>0</v>
      </c>
      <c r="P41" s="4">
        <v>0</v>
      </c>
      <c r="Q41" s="2">
        <v>0</v>
      </c>
      <c r="R41" s="4">
        <v>0</v>
      </c>
      <c r="S41" s="5">
        <f t="shared" si="0"/>
        <v>0</v>
      </c>
      <c r="T41" s="15">
        <f t="shared" si="1"/>
        <v>0</v>
      </c>
      <c r="U41" s="5">
        <f t="shared" si="2"/>
        <v>0</v>
      </c>
      <c r="V41" s="26">
        <f t="shared" si="3"/>
        <v>0</v>
      </c>
      <c r="W41" s="26">
        <f t="shared" si="4"/>
        <v>0</v>
      </c>
      <c r="X41" s="26">
        <f t="shared" si="5"/>
        <v>0</v>
      </c>
      <c r="Y41" s="26">
        <f t="shared" si="6"/>
        <v>0</v>
      </c>
      <c r="Z41" s="26">
        <f t="shared" si="7"/>
        <v>0</v>
      </c>
      <c r="AA41" s="2">
        <v>1</v>
      </c>
      <c r="AB41" s="11">
        <v>7</v>
      </c>
      <c r="AC41" s="27">
        <v>1610000000</v>
      </c>
      <c r="AD41" s="11">
        <v>4</v>
      </c>
      <c r="AE41" s="27">
        <v>1500000000</v>
      </c>
      <c r="AF41" s="2">
        <v>0</v>
      </c>
      <c r="AG41" s="4">
        <v>0</v>
      </c>
      <c r="AH41" s="28">
        <f t="shared" si="8"/>
        <v>11</v>
      </c>
      <c r="AI41" s="4">
        <f t="shared" si="29"/>
        <v>3110000000</v>
      </c>
      <c r="AJ41" s="26" t="str">
        <f t="shared" si="25"/>
        <v>na</v>
      </c>
      <c r="AK41" s="26">
        <f t="shared" si="10"/>
        <v>7.8022630576893306E-2</v>
      </c>
      <c r="AL41" s="4" t="s">
        <v>152</v>
      </c>
      <c r="AM41" s="4" t="s">
        <v>152</v>
      </c>
      <c r="AN41" s="12" t="str">
        <f t="shared" si="11"/>
        <v>na</v>
      </c>
      <c r="AO41" s="12" t="str">
        <f t="shared" si="12"/>
        <v>na</v>
      </c>
      <c r="AP41" s="4">
        <v>2068950255000</v>
      </c>
      <c r="AQ41" s="4">
        <v>2498569866000</v>
      </c>
      <c r="AR41" s="13">
        <f t="shared" si="13"/>
        <v>429619611000</v>
      </c>
      <c r="AS41" s="13">
        <f t="shared" si="14"/>
        <v>4567520121000</v>
      </c>
      <c r="AT41" s="4" t="s">
        <v>152</v>
      </c>
      <c r="AU41" s="4" t="s">
        <v>152</v>
      </c>
      <c r="AV41" s="5" t="str">
        <f t="shared" si="17"/>
        <v>na</v>
      </c>
      <c r="AW41" s="5" t="str">
        <f t="shared" si="18"/>
        <v>na</v>
      </c>
      <c r="AX41" s="4" t="s">
        <v>152</v>
      </c>
      <c r="AY41" s="4" t="s">
        <v>152</v>
      </c>
      <c r="AZ41" s="24" t="s">
        <v>152</v>
      </c>
      <c r="BA41" s="29" t="s">
        <v>152</v>
      </c>
      <c r="BB41" s="24" t="s">
        <v>152</v>
      </c>
      <c r="BC41" s="29" t="s">
        <v>152</v>
      </c>
      <c r="BD41" s="24" t="s">
        <v>152</v>
      </c>
      <c r="BE41" s="29" t="s">
        <v>152</v>
      </c>
      <c r="BF41" s="24" t="s">
        <v>152</v>
      </c>
      <c r="BG41" s="29" t="s">
        <v>152</v>
      </c>
      <c r="BH41" s="26">
        <f t="shared" si="21"/>
        <v>0</v>
      </c>
      <c r="BI41" s="26">
        <f t="shared" si="22"/>
        <v>0</v>
      </c>
      <c r="BJ41" s="26">
        <f t="shared" si="23"/>
        <v>0</v>
      </c>
      <c r="BK41" s="26">
        <f t="shared" si="24"/>
        <v>0</v>
      </c>
      <c r="BL41" s="34">
        <f t="shared" si="27"/>
        <v>0</v>
      </c>
      <c r="BM41" s="35">
        <f t="shared" si="26"/>
        <v>0</v>
      </c>
    </row>
    <row r="42" spans="1:65" x14ac:dyDescent="0.35">
      <c r="A42" s="18">
        <v>41</v>
      </c>
      <c r="B42" t="s">
        <v>280</v>
      </c>
      <c r="C42" s="3" t="s">
        <v>155</v>
      </c>
      <c r="D42" s="17" t="s">
        <v>12</v>
      </c>
      <c r="E42" s="17" t="s">
        <v>5</v>
      </c>
      <c r="F42" s="2">
        <v>0</v>
      </c>
      <c r="G42" s="2">
        <v>0</v>
      </c>
      <c r="H42" s="2">
        <v>0</v>
      </c>
      <c r="I42" s="3" t="s">
        <v>152</v>
      </c>
      <c r="J42" s="2">
        <v>0</v>
      </c>
      <c r="K42" s="2" t="s">
        <v>152</v>
      </c>
      <c r="L42" s="4">
        <v>323429888934.25677</v>
      </c>
      <c r="M42" s="2">
        <v>7</v>
      </c>
      <c r="N42" s="4">
        <v>2440000000</v>
      </c>
      <c r="O42" s="2">
        <v>0</v>
      </c>
      <c r="P42" s="4">
        <v>0</v>
      </c>
      <c r="Q42" s="2">
        <v>7</v>
      </c>
      <c r="R42" s="4">
        <v>2440000000</v>
      </c>
      <c r="S42" s="5">
        <f t="shared" si="0"/>
        <v>7.5441388798051867E-3</v>
      </c>
      <c r="T42" s="15">
        <f t="shared" si="1"/>
        <v>0</v>
      </c>
      <c r="U42" s="5">
        <f t="shared" si="2"/>
        <v>7.5441388798051867E-3</v>
      </c>
      <c r="V42" s="26">
        <f t="shared" si="3"/>
        <v>1.8173286758079291E-3</v>
      </c>
      <c r="W42" s="26">
        <f t="shared" si="4"/>
        <v>0</v>
      </c>
      <c r="X42" s="26">
        <f t="shared" si="5"/>
        <v>1.1386810899604728E-3</v>
      </c>
      <c r="Y42" s="26">
        <f t="shared" si="6"/>
        <v>143529411.7647059</v>
      </c>
      <c r="Z42" s="26">
        <f t="shared" si="7"/>
        <v>4.4377287528265809E-4</v>
      </c>
      <c r="AA42" s="2">
        <v>0</v>
      </c>
      <c r="AB42" s="18" t="s">
        <v>152</v>
      </c>
      <c r="AC42" s="4" t="s">
        <v>152</v>
      </c>
      <c r="AD42" s="18" t="s">
        <v>152</v>
      </c>
      <c r="AE42" s="4" t="s">
        <v>152</v>
      </c>
      <c r="AF42" s="2" t="s">
        <v>152</v>
      </c>
      <c r="AG42" s="4" t="s">
        <v>152</v>
      </c>
      <c r="AH42" s="28">
        <f t="shared" si="8"/>
        <v>0</v>
      </c>
      <c r="AI42" s="4" t="str">
        <f t="shared" si="29"/>
        <v>na</v>
      </c>
      <c r="AJ42" s="26" t="str">
        <f t="shared" si="25"/>
        <v>na</v>
      </c>
      <c r="AK42" s="26" t="str">
        <f t="shared" si="10"/>
        <v>na</v>
      </c>
      <c r="AL42" s="4">
        <v>10483257000</v>
      </c>
      <c r="AM42" s="4">
        <v>4564929000</v>
      </c>
      <c r="AN42" s="12">
        <f t="shared" si="11"/>
        <v>-5918328000</v>
      </c>
      <c r="AO42" s="12">
        <f t="shared" si="12"/>
        <v>15048186000</v>
      </c>
      <c r="AP42" s="8">
        <v>50413025000</v>
      </c>
      <c r="AQ42" s="8">
        <v>39496225000</v>
      </c>
      <c r="AR42" s="13">
        <f t="shared" si="13"/>
        <v>-10916800000</v>
      </c>
      <c r="AS42" s="13">
        <f t="shared" si="14"/>
        <v>89909250000</v>
      </c>
      <c r="AT42" s="5">
        <f t="shared" ref="AT42:AT73" si="30">IFERROR(AL42/AP42,"na")</f>
        <v>0.20794739058011297</v>
      </c>
      <c r="AU42" s="5">
        <f t="shared" ref="AU42:AU73" si="31">IFERROR(AM42/AQ42,"na")</f>
        <v>0.1155788686133928</v>
      </c>
      <c r="AV42" s="5">
        <f t="shared" si="17"/>
        <v>2.0176752183723008E-2</v>
      </c>
      <c r="AW42" s="5">
        <f t="shared" si="18"/>
        <v>1.9089982905364733E-2</v>
      </c>
      <c r="AX42" s="5">
        <f t="shared" ref="AX42:AX73" si="32">IFERROR(AO42/AS42,"na")</f>
        <v>0.167370832255858</v>
      </c>
      <c r="AY42" s="10">
        <f t="shared" ref="AY42:AY73" si="33">IFERROR(AO42/L42,"na")</f>
        <v>4.6526887325057421E-2</v>
      </c>
      <c r="AZ42" s="24">
        <v>46</v>
      </c>
      <c r="BA42" s="19">
        <v>672303255.93577743</v>
      </c>
      <c r="BB42" s="17">
        <v>34</v>
      </c>
      <c r="BC42" s="19">
        <v>59405922.509903975</v>
      </c>
      <c r="BD42" s="17">
        <v>9</v>
      </c>
      <c r="BE42" s="19">
        <v>510473727.21455789</v>
      </c>
      <c r="BF42" s="17">
        <v>3</v>
      </c>
      <c r="BG42" s="19">
        <v>102423606.21131551</v>
      </c>
      <c r="BH42" s="26">
        <f t="shared" si="21"/>
        <v>2.0786676771002936E-3</v>
      </c>
      <c r="BI42" s="26">
        <f t="shared" si="22"/>
        <v>1.8367480725313965E-4</v>
      </c>
      <c r="BJ42" s="26">
        <f t="shared" si="23"/>
        <v>1.5783133986059072E-3</v>
      </c>
      <c r="BK42" s="26">
        <f t="shared" si="24"/>
        <v>3.1667947124124649E-4</v>
      </c>
      <c r="BL42" s="34">
        <f t="shared" si="27"/>
        <v>39547250.349163376</v>
      </c>
      <c r="BM42" s="35">
        <f t="shared" si="26"/>
        <v>1.2227456924119372E-4</v>
      </c>
    </row>
    <row r="43" spans="1:65" x14ac:dyDescent="0.35">
      <c r="A43" s="18">
        <v>42</v>
      </c>
      <c r="B43" t="s">
        <v>281</v>
      </c>
      <c r="C43" s="3" t="s">
        <v>134</v>
      </c>
      <c r="D43" s="17" t="s">
        <v>9</v>
      </c>
      <c r="E43" s="17" t="s">
        <v>10</v>
      </c>
      <c r="F43" s="2">
        <v>0</v>
      </c>
      <c r="G43" s="2">
        <v>0</v>
      </c>
      <c r="H43" s="2">
        <v>1</v>
      </c>
      <c r="I43" s="18" t="s">
        <v>152</v>
      </c>
      <c r="J43" s="2">
        <v>0</v>
      </c>
      <c r="K43" s="2" t="s">
        <v>152</v>
      </c>
      <c r="L43" s="4">
        <v>1165839899.8026922</v>
      </c>
      <c r="M43" s="2">
        <v>0</v>
      </c>
      <c r="N43" s="4">
        <v>0</v>
      </c>
      <c r="O43" s="2">
        <v>0</v>
      </c>
      <c r="P43" s="4">
        <v>0</v>
      </c>
      <c r="Q43" s="2">
        <v>0</v>
      </c>
      <c r="R43" s="4">
        <v>0</v>
      </c>
      <c r="S43" s="5">
        <f t="shared" si="0"/>
        <v>0</v>
      </c>
      <c r="T43" s="15">
        <f t="shared" si="1"/>
        <v>0</v>
      </c>
      <c r="U43" s="5">
        <f t="shared" si="2"/>
        <v>0</v>
      </c>
      <c r="V43" s="26">
        <f t="shared" si="3"/>
        <v>0</v>
      </c>
      <c r="W43" s="26">
        <f t="shared" si="4"/>
        <v>0</v>
      </c>
      <c r="X43" s="26">
        <f t="shared" si="5"/>
        <v>0</v>
      </c>
      <c r="Y43" s="26">
        <f t="shared" si="6"/>
        <v>0</v>
      </c>
      <c r="Z43" s="26">
        <f t="shared" si="7"/>
        <v>0</v>
      </c>
      <c r="AA43" s="2">
        <v>0</v>
      </c>
      <c r="AB43" s="2" t="s">
        <v>152</v>
      </c>
      <c r="AC43" s="4" t="s">
        <v>152</v>
      </c>
      <c r="AD43" s="2" t="s">
        <v>152</v>
      </c>
      <c r="AE43" s="4" t="s">
        <v>152</v>
      </c>
      <c r="AF43" s="2" t="s">
        <v>152</v>
      </c>
      <c r="AG43" s="4" t="s">
        <v>152</v>
      </c>
      <c r="AH43" s="28">
        <f t="shared" si="8"/>
        <v>0</v>
      </c>
      <c r="AI43" s="4" t="str">
        <f t="shared" si="29"/>
        <v>na</v>
      </c>
      <c r="AJ43" s="26" t="str">
        <f t="shared" si="25"/>
        <v>na</v>
      </c>
      <c r="AK43" s="26" t="str">
        <f t="shared" si="10"/>
        <v>na</v>
      </c>
      <c r="AL43" s="4">
        <v>19759000</v>
      </c>
      <c r="AM43" s="4">
        <v>14000</v>
      </c>
      <c r="AN43" s="12">
        <f t="shared" si="11"/>
        <v>-19745000</v>
      </c>
      <c r="AO43" s="12">
        <f t="shared" si="12"/>
        <v>19773000</v>
      </c>
      <c r="AP43" s="8">
        <v>203688000</v>
      </c>
      <c r="AQ43" s="8">
        <v>49638000</v>
      </c>
      <c r="AR43" s="13">
        <f t="shared" si="13"/>
        <v>-154050000</v>
      </c>
      <c r="AS43" s="13">
        <f t="shared" si="14"/>
        <v>253326000</v>
      </c>
      <c r="AT43" s="5">
        <f t="shared" si="30"/>
        <v>9.7006205569302076E-2</v>
      </c>
      <c r="AU43" s="5">
        <f t="shared" si="31"/>
        <v>2.8204198396389861E-4</v>
      </c>
      <c r="AV43" s="5">
        <f t="shared" si="17"/>
        <v>8.1521834859109749E-5</v>
      </c>
      <c r="AW43" s="5">
        <f t="shared" si="18"/>
        <v>2.3991876982078528E-5</v>
      </c>
      <c r="AX43" s="5">
        <f t="shared" si="32"/>
        <v>7.80535752350726E-2</v>
      </c>
      <c r="AY43" s="10">
        <f t="shared" si="33"/>
        <v>1.6960304758266036E-2</v>
      </c>
      <c r="AZ43" s="24">
        <v>68</v>
      </c>
      <c r="BA43" s="19">
        <v>348572569.68054128</v>
      </c>
      <c r="BB43" s="17">
        <v>64</v>
      </c>
      <c r="BC43" s="19">
        <v>201306498.51118547</v>
      </c>
      <c r="BD43" s="17">
        <v>2</v>
      </c>
      <c r="BE43" s="19">
        <v>77587.527207982697</v>
      </c>
      <c r="BF43" s="17">
        <v>2</v>
      </c>
      <c r="BG43" s="19">
        <v>147188483.64214787</v>
      </c>
      <c r="BH43" s="26">
        <f t="shared" si="21"/>
        <v>0.29898836859120537</v>
      </c>
      <c r="BI43" s="26">
        <f t="shared" si="22"/>
        <v>0.17267079171441529</v>
      </c>
      <c r="BJ43" s="26">
        <f t="shared" si="23"/>
        <v>6.655075642986115E-5</v>
      </c>
      <c r="BK43" s="26">
        <f t="shared" si="24"/>
        <v>0.12625102612036027</v>
      </c>
      <c r="BL43" s="34">
        <f t="shared" si="27"/>
        <v>20504268.804737721</v>
      </c>
      <c r="BM43" s="35">
        <f t="shared" si="26"/>
        <v>1.7587551093600315E-2</v>
      </c>
    </row>
    <row r="44" spans="1:65" x14ac:dyDescent="0.35">
      <c r="A44" s="18">
        <v>43</v>
      </c>
      <c r="B44" t="s">
        <v>388</v>
      </c>
      <c r="C44" s="3" t="s">
        <v>135</v>
      </c>
      <c r="D44" s="17" t="s">
        <v>9</v>
      </c>
      <c r="E44" s="17" t="s">
        <v>10</v>
      </c>
      <c r="F44" s="2">
        <v>0</v>
      </c>
      <c r="G44" s="2">
        <v>0</v>
      </c>
      <c r="H44" s="2">
        <v>1</v>
      </c>
      <c r="I44" s="2" t="s">
        <v>152</v>
      </c>
      <c r="J44" s="2">
        <v>0</v>
      </c>
      <c r="K44" s="2" t="s">
        <v>152</v>
      </c>
      <c r="L44" s="4">
        <v>12693562947.785587</v>
      </c>
      <c r="M44" s="2">
        <v>10</v>
      </c>
      <c r="N44" s="4">
        <v>4280000000</v>
      </c>
      <c r="O44" s="2">
        <v>12</v>
      </c>
      <c r="P44" s="4">
        <v>6710000000</v>
      </c>
      <c r="Q44" s="2">
        <v>22</v>
      </c>
      <c r="R44" s="4">
        <v>10990000000</v>
      </c>
      <c r="S44" s="5">
        <f t="shared" si="0"/>
        <v>0.33717877459666695</v>
      </c>
      <c r="T44" s="15">
        <f t="shared" si="1"/>
        <v>0.5286143872765503</v>
      </c>
      <c r="U44" s="5">
        <f t="shared" si="2"/>
        <v>0.86579316187321731</v>
      </c>
      <c r="V44" s="26">
        <f t="shared" si="3"/>
        <v>3.1877732510073513E-3</v>
      </c>
      <c r="W44" s="26">
        <f t="shared" si="4"/>
        <v>8.438765500415021E-3</v>
      </c>
      <c r="X44" s="26">
        <f t="shared" si="5"/>
        <v>5.1287316306006542E-3</v>
      </c>
      <c r="Y44" s="26">
        <f t="shared" si="6"/>
        <v>646470588.2352941</v>
      </c>
      <c r="Z44" s="26">
        <f t="shared" si="7"/>
        <v>5.0929009521953957E-2</v>
      </c>
      <c r="AA44" s="2">
        <v>0</v>
      </c>
      <c r="AB44" s="18" t="s">
        <v>152</v>
      </c>
      <c r="AC44" s="4" t="s">
        <v>152</v>
      </c>
      <c r="AD44" s="18" t="s">
        <v>152</v>
      </c>
      <c r="AE44" s="4" t="s">
        <v>152</v>
      </c>
      <c r="AF44" s="2" t="s">
        <v>152</v>
      </c>
      <c r="AG44" s="4" t="s">
        <v>152</v>
      </c>
      <c r="AH44" s="28">
        <f t="shared" si="8"/>
        <v>0</v>
      </c>
      <c r="AI44" s="4" t="str">
        <f t="shared" si="29"/>
        <v>na</v>
      </c>
      <c r="AJ44" s="26" t="str">
        <f t="shared" si="25"/>
        <v>na</v>
      </c>
      <c r="AK44" s="26" t="str">
        <f t="shared" si="10"/>
        <v>na</v>
      </c>
      <c r="AL44" s="4">
        <v>256304000</v>
      </c>
      <c r="AM44" s="4">
        <v>3333674000</v>
      </c>
      <c r="AN44" s="12">
        <f t="shared" si="11"/>
        <v>3077370000</v>
      </c>
      <c r="AO44" s="12">
        <f t="shared" si="12"/>
        <v>3589978000</v>
      </c>
      <c r="AP44" s="8">
        <v>2302133000</v>
      </c>
      <c r="AQ44" s="8">
        <v>5577729000</v>
      </c>
      <c r="AR44" s="13">
        <f t="shared" si="13"/>
        <v>3275596000</v>
      </c>
      <c r="AS44" s="13">
        <f t="shared" si="14"/>
        <v>7879862000</v>
      </c>
      <c r="AT44" s="5">
        <f t="shared" si="30"/>
        <v>0.11133327223057921</v>
      </c>
      <c r="AU44" s="5">
        <f t="shared" si="31"/>
        <v>0.59767586413753693</v>
      </c>
      <c r="AV44" s="5">
        <f t="shared" si="17"/>
        <v>9.2138027890551692E-4</v>
      </c>
      <c r="AW44" s="5">
        <f t="shared" si="18"/>
        <v>2.6959222371443631E-3</v>
      </c>
      <c r="AX44" s="5">
        <f t="shared" si="32"/>
        <v>0.45558894305509412</v>
      </c>
      <c r="AY44" s="10">
        <f t="shared" si="33"/>
        <v>0.28281878104415731</v>
      </c>
      <c r="AZ44" s="24">
        <v>168</v>
      </c>
      <c r="BA44" s="19">
        <v>14102108181.011784</v>
      </c>
      <c r="BB44" s="17">
        <v>142</v>
      </c>
      <c r="BC44" s="19">
        <v>8393094901.1244373</v>
      </c>
      <c r="BD44" s="17">
        <v>10</v>
      </c>
      <c r="BE44" s="19">
        <v>2265789246.255024</v>
      </c>
      <c r="BF44" s="17">
        <v>16</v>
      </c>
      <c r="BG44" s="19">
        <v>3443224033.6323285</v>
      </c>
      <c r="BH44" s="26">
        <f t="shared" si="21"/>
        <v>1.1109653167530806</v>
      </c>
      <c r="BI44" s="26">
        <f t="shared" si="22"/>
        <v>0.66120875089595132</v>
      </c>
      <c r="BJ44" s="26">
        <f t="shared" si="23"/>
        <v>0.17849907512770435</v>
      </c>
      <c r="BK44" s="26">
        <f t="shared" si="24"/>
        <v>0.27125749072942557</v>
      </c>
      <c r="BL44" s="34">
        <f t="shared" si="27"/>
        <v>829535775.35363436</v>
      </c>
      <c r="BM44" s="35">
        <f t="shared" si="26"/>
        <v>6.535090098547533E-2</v>
      </c>
    </row>
    <row r="45" spans="1:65" x14ac:dyDescent="0.35">
      <c r="A45" s="18">
        <v>44</v>
      </c>
      <c r="B45" t="s">
        <v>289</v>
      </c>
      <c r="C45" s="3" t="s">
        <v>193</v>
      </c>
      <c r="D45" s="17" t="s">
        <v>9</v>
      </c>
      <c r="E45" s="17" t="s">
        <v>2</v>
      </c>
      <c r="F45" s="2">
        <v>1</v>
      </c>
      <c r="G45" s="2">
        <v>0</v>
      </c>
      <c r="H45" s="2">
        <v>1</v>
      </c>
      <c r="I45" s="18">
        <v>2021</v>
      </c>
      <c r="J45" s="2">
        <v>0</v>
      </c>
      <c r="K45" s="2" t="s">
        <v>152</v>
      </c>
      <c r="L45" s="4">
        <v>50400746171.423866</v>
      </c>
      <c r="M45" s="2">
        <v>28</v>
      </c>
      <c r="N45" s="4">
        <v>16340000000</v>
      </c>
      <c r="O45" s="2">
        <v>0</v>
      </c>
      <c r="P45" s="4">
        <v>0</v>
      </c>
      <c r="Q45" s="2">
        <v>28</v>
      </c>
      <c r="R45" s="4">
        <v>16340000000</v>
      </c>
      <c r="S45" s="5">
        <f t="shared" si="0"/>
        <v>0.32420154940611629</v>
      </c>
      <c r="T45" s="15">
        <f t="shared" si="1"/>
        <v>0</v>
      </c>
      <c r="U45" s="5">
        <f t="shared" si="2"/>
        <v>0.32420154940611629</v>
      </c>
      <c r="V45" s="26">
        <f t="shared" si="3"/>
        <v>1.2170143673238345E-2</v>
      </c>
      <c r="W45" s="26">
        <f t="shared" si="4"/>
        <v>0</v>
      </c>
      <c r="X45" s="26">
        <f t="shared" si="5"/>
        <v>7.625429922112347E-3</v>
      </c>
      <c r="Y45" s="26">
        <f t="shared" si="6"/>
        <v>961176470.58823526</v>
      </c>
      <c r="Z45" s="26">
        <f t="shared" si="7"/>
        <v>1.9070679376830369E-2</v>
      </c>
      <c r="AA45" s="2">
        <v>0</v>
      </c>
      <c r="AB45" s="18" t="s">
        <v>152</v>
      </c>
      <c r="AC45" s="4" t="s">
        <v>152</v>
      </c>
      <c r="AD45" s="2" t="s">
        <v>152</v>
      </c>
      <c r="AE45" s="4" t="s">
        <v>152</v>
      </c>
      <c r="AF45" s="2" t="s">
        <v>152</v>
      </c>
      <c r="AG45" s="4" t="s">
        <v>152</v>
      </c>
      <c r="AH45" s="28">
        <f t="shared" si="8"/>
        <v>0</v>
      </c>
      <c r="AI45" s="4" t="str">
        <f t="shared" si="29"/>
        <v>na</v>
      </c>
      <c r="AJ45" s="26" t="str">
        <f t="shared" si="25"/>
        <v>na</v>
      </c>
      <c r="AK45" s="26" t="str">
        <f t="shared" si="10"/>
        <v>na</v>
      </c>
      <c r="AL45" s="4">
        <v>2055303000</v>
      </c>
      <c r="AM45" s="4">
        <v>3565623000</v>
      </c>
      <c r="AN45" s="12">
        <f t="shared" si="11"/>
        <v>1510320000</v>
      </c>
      <c r="AO45" s="12">
        <f t="shared" si="12"/>
        <v>5620926000</v>
      </c>
      <c r="AP45" s="8">
        <v>8824802000</v>
      </c>
      <c r="AQ45" s="8">
        <v>13382299000</v>
      </c>
      <c r="AR45" s="13">
        <f t="shared" si="13"/>
        <v>4557497000</v>
      </c>
      <c r="AS45" s="13">
        <f t="shared" si="14"/>
        <v>22207101000</v>
      </c>
      <c r="AT45" s="5">
        <f t="shared" si="30"/>
        <v>0.23290074950123527</v>
      </c>
      <c r="AU45" s="5">
        <f t="shared" si="31"/>
        <v>0.26644323221294042</v>
      </c>
      <c r="AV45" s="5">
        <f t="shared" si="17"/>
        <v>3.5319412597126076E-3</v>
      </c>
      <c r="AW45" s="5">
        <f t="shared" si="18"/>
        <v>6.4681588973244785E-3</v>
      </c>
      <c r="AX45" s="5">
        <f t="shared" si="32"/>
        <v>0.25311390262060768</v>
      </c>
      <c r="AY45" s="10">
        <f t="shared" si="33"/>
        <v>0.11152465840251674</v>
      </c>
      <c r="AZ45" s="24">
        <v>249</v>
      </c>
      <c r="BA45" s="19">
        <v>13037513170.499128</v>
      </c>
      <c r="BB45" s="17">
        <v>154</v>
      </c>
      <c r="BC45" s="19">
        <v>1001809010.4741279</v>
      </c>
      <c r="BD45" s="17">
        <v>62</v>
      </c>
      <c r="BE45" s="19">
        <v>10544151469.910511</v>
      </c>
      <c r="BF45" s="17">
        <v>33</v>
      </c>
      <c r="BG45" s="19">
        <v>1491552690.11449</v>
      </c>
      <c r="BH45" s="26">
        <f t="shared" si="21"/>
        <v>0.2586769871651447</v>
      </c>
      <c r="BI45" s="26">
        <f t="shared" si="22"/>
        <v>1.9876868629419855E-2</v>
      </c>
      <c r="BJ45" s="26">
        <f t="shared" si="23"/>
        <v>0.20920625726546915</v>
      </c>
      <c r="BK45" s="26">
        <f t="shared" si="24"/>
        <v>2.959386127025572E-2</v>
      </c>
      <c r="BL45" s="34">
        <f t="shared" si="27"/>
        <v>766912539.44112515</v>
      </c>
      <c r="BM45" s="35">
        <f t="shared" si="26"/>
        <v>1.5216293362655571E-2</v>
      </c>
    </row>
    <row r="46" spans="1:65" x14ac:dyDescent="0.35">
      <c r="A46" s="18">
        <v>45</v>
      </c>
      <c r="B46" t="s">
        <v>282</v>
      </c>
      <c r="C46" s="3" t="s">
        <v>31</v>
      </c>
      <c r="D46" s="18" t="s">
        <v>23</v>
      </c>
      <c r="E46" s="18" t="s">
        <v>5</v>
      </c>
      <c r="F46" s="2">
        <v>0</v>
      </c>
      <c r="G46" s="2">
        <v>0</v>
      </c>
      <c r="H46" s="2">
        <v>1</v>
      </c>
      <c r="I46" s="18">
        <v>2018</v>
      </c>
      <c r="J46" s="2">
        <v>0</v>
      </c>
      <c r="K46" s="2" t="s">
        <v>152</v>
      </c>
      <c r="L46" s="4" t="s">
        <v>152</v>
      </c>
      <c r="M46" s="2">
        <v>0</v>
      </c>
      <c r="N46" s="4">
        <v>0</v>
      </c>
      <c r="O46" s="2">
        <v>0</v>
      </c>
      <c r="P46" s="4">
        <v>0</v>
      </c>
      <c r="Q46" s="2">
        <v>0</v>
      </c>
      <c r="R46" s="4">
        <v>0</v>
      </c>
      <c r="S46" s="5">
        <f t="shared" si="0"/>
        <v>0</v>
      </c>
      <c r="T46" s="15">
        <f t="shared" si="1"/>
        <v>0</v>
      </c>
      <c r="U46" s="5">
        <f t="shared" si="2"/>
        <v>0</v>
      </c>
      <c r="V46" s="26">
        <f t="shared" si="3"/>
        <v>0</v>
      </c>
      <c r="W46" s="26">
        <f t="shared" si="4"/>
        <v>0</v>
      </c>
      <c r="X46" s="26">
        <f t="shared" si="5"/>
        <v>0</v>
      </c>
      <c r="Y46" s="26">
        <f t="shared" si="6"/>
        <v>0</v>
      </c>
      <c r="Z46" s="26">
        <f t="shared" si="7"/>
        <v>0</v>
      </c>
      <c r="AA46" s="2">
        <v>1</v>
      </c>
      <c r="AB46" s="11">
        <v>1</v>
      </c>
      <c r="AC46" s="27">
        <v>20000000</v>
      </c>
      <c r="AD46" s="2">
        <v>0</v>
      </c>
      <c r="AE46" s="4">
        <v>0</v>
      </c>
      <c r="AF46" s="2">
        <v>0</v>
      </c>
      <c r="AG46" s="4">
        <v>0</v>
      </c>
      <c r="AH46" s="28">
        <f t="shared" si="8"/>
        <v>1</v>
      </c>
      <c r="AI46" s="4">
        <f t="shared" si="29"/>
        <v>20000000</v>
      </c>
      <c r="AJ46" s="26" t="str">
        <f t="shared" si="25"/>
        <v>na</v>
      </c>
      <c r="AK46" s="26">
        <f t="shared" si="10"/>
        <v>5.0175325129834928E-4</v>
      </c>
      <c r="AL46" s="14">
        <v>42699000</v>
      </c>
      <c r="AM46" s="14">
        <v>1266000</v>
      </c>
      <c r="AN46" s="12">
        <f t="shared" si="11"/>
        <v>-41433000</v>
      </c>
      <c r="AO46" s="12">
        <f t="shared" si="12"/>
        <v>43965000</v>
      </c>
      <c r="AP46" s="8">
        <v>198303000</v>
      </c>
      <c r="AQ46" s="8">
        <v>32222000</v>
      </c>
      <c r="AR46" s="13">
        <f t="shared" si="13"/>
        <v>-166081000</v>
      </c>
      <c r="AS46" s="13">
        <f t="shared" si="14"/>
        <v>230525000</v>
      </c>
      <c r="AT46" s="5">
        <f t="shared" si="30"/>
        <v>0.21532200723135808</v>
      </c>
      <c r="AU46" s="5">
        <f t="shared" si="31"/>
        <v>3.9289926137421639E-2</v>
      </c>
      <c r="AV46" s="5">
        <f t="shared" si="17"/>
        <v>7.9366601950365474E-5</v>
      </c>
      <c r="AW46" s="5">
        <f t="shared" si="18"/>
        <v>1.5574081552772761E-5</v>
      </c>
      <c r="AX46" s="5">
        <f t="shared" si="32"/>
        <v>0.19071684199110725</v>
      </c>
      <c r="AY46" s="10" t="str">
        <f t="shared" si="33"/>
        <v>na</v>
      </c>
      <c r="AZ46" s="24">
        <v>34</v>
      </c>
      <c r="BA46" s="19">
        <v>131478490.98164041</v>
      </c>
      <c r="BB46" s="17">
        <v>31</v>
      </c>
      <c r="BC46" s="19">
        <v>129493135.9661479</v>
      </c>
      <c r="BD46" s="17">
        <v>2</v>
      </c>
      <c r="BE46" s="19">
        <v>0</v>
      </c>
      <c r="BF46" s="17">
        <v>1</v>
      </c>
      <c r="BG46" s="19">
        <v>1985355.0154925101</v>
      </c>
      <c r="BH46" s="26">
        <f t="shared" si="21"/>
        <v>0</v>
      </c>
      <c r="BI46" s="26">
        <f t="shared" si="22"/>
        <v>0</v>
      </c>
      <c r="BJ46" s="26">
        <f t="shared" si="23"/>
        <v>0</v>
      </c>
      <c r="BK46" s="26">
        <f t="shared" si="24"/>
        <v>0</v>
      </c>
      <c r="BL46" s="34">
        <f t="shared" si="27"/>
        <v>7734028.8812729651</v>
      </c>
      <c r="BM46" s="35">
        <f t="shared" si="26"/>
        <v>0</v>
      </c>
    </row>
    <row r="47" spans="1:65" x14ac:dyDescent="0.35">
      <c r="A47" s="18">
        <v>46</v>
      </c>
      <c r="B47" t="s">
        <v>283</v>
      </c>
      <c r="C47" s="3" t="s">
        <v>32</v>
      </c>
      <c r="D47" s="17" t="s">
        <v>12</v>
      </c>
      <c r="E47" s="17" t="s">
        <v>5</v>
      </c>
      <c r="F47" s="2">
        <v>0</v>
      </c>
      <c r="G47" s="2">
        <v>1</v>
      </c>
      <c r="H47" s="2">
        <v>1</v>
      </c>
      <c r="I47" s="18">
        <v>2018</v>
      </c>
      <c r="J47" s="2">
        <v>1</v>
      </c>
      <c r="K47" s="2">
        <v>2007</v>
      </c>
      <c r="L47" s="4">
        <v>63951114302.259895</v>
      </c>
      <c r="M47" s="2">
        <v>2</v>
      </c>
      <c r="N47" s="4">
        <v>340000000</v>
      </c>
      <c r="O47" s="2">
        <v>1</v>
      </c>
      <c r="P47" s="4">
        <v>470000000</v>
      </c>
      <c r="Q47" s="2">
        <v>3</v>
      </c>
      <c r="R47" s="4">
        <v>810000000</v>
      </c>
      <c r="S47" s="5">
        <f t="shared" si="0"/>
        <v>5.3165609967797721E-3</v>
      </c>
      <c r="T47" s="5">
        <f t="shared" si="1"/>
        <v>7.3493637308426263E-3</v>
      </c>
      <c r="U47" s="5">
        <f t="shared" si="2"/>
        <v>1.2665924727622398E-2</v>
      </c>
      <c r="V47" s="26">
        <f t="shared" si="3"/>
        <v>2.5323432367815407E-4</v>
      </c>
      <c r="W47" s="26">
        <f t="shared" si="4"/>
        <v>5.9109087707825037E-4</v>
      </c>
      <c r="X47" s="26">
        <f t="shared" si="5"/>
        <v>3.7800478806064878E-4</v>
      </c>
      <c r="Y47" s="26">
        <f t="shared" si="6"/>
        <v>47647058.823529415</v>
      </c>
      <c r="Z47" s="26">
        <f t="shared" si="7"/>
        <v>7.4505439574249399E-4</v>
      </c>
      <c r="AA47" s="2">
        <v>0</v>
      </c>
      <c r="AB47" s="2" t="s">
        <v>152</v>
      </c>
      <c r="AC47" s="4" t="s">
        <v>152</v>
      </c>
      <c r="AD47" s="2" t="s">
        <v>152</v>
      </c>
      <c r="AE47" s="4" t="s">
        <v>152</v>
      </c>
      <c r="AF47" s="2" t="s">
        <v>152</v>
      </c>
      <c r="AG47" s="4" t="s">
        <v>152</v>
      </c>
      <c r="AH47" s="28">
        <f t="shared" si="8"/>
        <v>0</v>
      </c>
      <c r="AI47" s="4" t="str">
        <f t="shared" si="29"/>
        <v>na</v>
      </c>
      <c r="AJ47" s="26" t="str">
        <f t="shared" si="25"/>
        <v>na</v>
      </c>
      <c r="AK47" s="26" t="str">
        <f t="shared" si="10"/>
        <v>na</v>
      </c>
      <c r="AL47" s="4">
        <v>2123512000</v>
      </c>
      <c r="AM47" s="4">
        <v>122060000</v>
      </c>
      <c r="AN47" s="12">
        <f t="shared" si="11"/>
        <v>-2001452000</v>
      </c>
      <c r="AO47" s="12">
        <f t="shared" si="12"/>
        <v>2245572000</v>
      </c>
      <c r="AP47" s="8">
        <v>16108703000</v>
      </c>
      <c r="AQ47" s="8">
        <v>11452817000</v>
      </c>
      <c r="AR47" s="13">
        <f t="shared" si="13"/>
        <v>-4655886000</v>
      </c>
      <c r="AS47" s="13">
        <f t="shared" si="14"/>
        <v>27561520000</v>
      </c>
      <c r="AT47" s="5">
        <f t="shared" si="30"/>
        <v>0.13182389668491623</v>
      </c>
      <c r="AU47" s="5">
        <f t="shared" si="31"/>
        <v>1.0657639950066434E-2</v>
      </c>
      <c r="AV47" s="5">
        <f t="shared" si="17"/>
        <v>6.4471693264229893E-3</v>
      </c>
      <c r="AW47" s="5">
        <f t="shared" si="18"/>
        <v>5.535569051175665E-3</v>
      </c>
      <c r="AX47" s="5">
        <f t="shared" si="32"/>
        <v>8.1474896885222581E-2</v>
      </c>
      <c r="AY47" s="10">
        <f t="shared" si="33"/>
        <v>3.5113883854884551E-2</v>
      </c>
      <c r="AZ47" s="24">
        <v>49</v>
      </c>
      <c r="BA47" s="19">
        <v>2307465109.615099</v>
      </c>
      <c r="BB47" s="17">
        <v>32</v>
      </c>
      <c r="BC47" s="19">
        <v>612464513.52537298</v>
      </c>
      <c r="BD47" s="17">
        <v>14</v>
      </c>
      <c r="BE47" s="19">
        <v>1539869204.1605048</v>
      </c>
      <c r="BF47" s="17">
        <v>3</v>
      </c>
      <c r="BG47" s="19">
        <v>155131391.92922124</v>
      </c>
      <c r="BH47" s="26">
        <f t="shared" si="21"/>
        <v>3.6081702950617051E-2</v>
      </c>
      <c r="BI47" s="26">
        <f t="shared" si="22"/>
        <v>9.5770733662373392E-3</v>
      </c>
      <c r="BJ47" s="26">
        <f t="shared" si="23"/>
        <v>2.4078848679358965E-2</v>
      </c>
      <c r="BK47" s="26">
        <f t="shared" si="24"/>
        <v>2.4257809050207469E-3</v>
      </c>
      <c r="BL47" s="34">
        <f t="shared" si="27"/>
        <v>135733241.74206465</v>
      </c>
      <c r="BM47" s="35">
        <f t="shared" si="26"/>
        <v>2.1224531147421796E-3</v>
      </c>
    </row>
    <row r="48" spans="1:65" x14ac:dyDescent="0.35">
      <c r="A48" s="18">
        <v>47</v>
      </c>
      <c r="B48" t="s">
        <v>329</v>
      </c>
      <c r="C48" s="3" t="s">
        <v>194</v>
      </c>
      <c r="D48" s="17" t="s">
        <v>9</v>
      </c>
      <c r="E48" s="17" t="s">
        <v>10</v>
      </c>
      <c r="F48" s="2">
        <v>0</v>
      </c>
      <c r="G48" s="2">
        <v>0</v>
      </c>
      <c r="H48" s="2">
        <v>1</v>
      </c>
      <c r="I48" s="18">
        <v>2017</v>
      </c>
      <c r="J48" s="2">
        <v>0</v>
      </c>
      <c r="K48" s="2" t="s">
        <v>152</v>
      </c>
      <c r="L48" s="4">
        <v>58539424929.724831</v>
      </c>
      <c r="M48" s="2">
        <v>3</v>
      </c>
      <c r="N48" s="4">
        <v>1620000000</v>
      </c>
      <c r="O48" s="2">
        <v>10</v>
      </c>
      <c r="P48" s="4">
        <v>3250000000</v>
      </c>
      <c r="Q48" s="2">
        <v>13</v>
      </c>
      <c r="R48" s="4">
        <v>4870000000</v>
      </c>
      <c r="S48" s="5">
        <f t="shared" si="0"/>
        <v>2.7673657572563636E-2</v>
      </c>
      <c r="T48" s="5">
        <f t="shared" si="1"/>
        <v>5.5518140191871491E-2</v>
      </c>
      <c r="U48" s="5">
        <f t="shared" si="2"/>
        <v>8.3191797764435124E-2</v>
      </c>
      <c r="V48" s="26">
        <f t="shared" si="3"/>
        <v>1.2065870716429694E-3</v>
      </c>
      <c r="W48" s="26">
        <f t="shared" si="4"/>
        <v>4.0873305329879013E-3</v>
      </c>
      <c r="X48" s="26">
        <f t="shared" si="5"/>
        <v>2.2726954541424193E-3</v>
      </c>
      <c r="Y48" s="26">
        <f t="shared" si="6"/>
        <v>286470588.2352941</v>
      </c>
      <c r="Z48" s="26">
        <f t="shared" si="7"/>
        <v>4.8936351626138307E-3</v>
      </c>
      <c r="AA48" s="2">
        <v>2</v>
      </c>
      <c r="AB48" s="2">
        <v>0</v>
      </c>
      <c r="AC48" s="4">
        <v>0</v>
      </c>
      <c r="AD48" s="2">
        <v>0</v>
      </c>
      <c r="AE48" s="4">
        <v>0</v>
      </c>
      <c r="AF48" s="2">
        <v>0</v>
      </c>
      <c r="AG48" s="4">
        <v>0</v>
      </c>
      <c r="AH48" s="28">
        <f t="shared" si="8"/>
        <v>0</v>
      </c>
      <c r="AI48" s="4">
        <f t="shared" si="29"/>
        <v>0</v>
      </c>
      <c r="AJ48" s="26">
        <f t="shared" si="25"/>
        <v>0</v>
      </c>
      <c r="AK48" s="26">
        <f t="shared" si="10"/>
        <v>0</v>
      </c>
      <c r="AL48" s="4">
        <v>1801977</v>
      </c>
      <c r="AM48" s="4">
        <v>371260</v>
      </c>
      <c r="AN48" s="12">
        <f t="shared" si="11"/>
        <v>-1430717</v>
      </c>
      <c r="AO48" s="12">
        <f t="shared" si="12"/>
        <v>2173237</v>
      </c>
      <c r="AP48" s="8">
        <v>10482561000</v>
      </c>
      <c r="AQ48" s="8">
        <v>12717852000</v>
      </c>
      <c r="AR48" s="13">
        <f t="shared" si="13"/>
        <v>2235291000</v>
      </c>
      <c r="AS48" s="13">
        <f t="shared" si="14"/>
        <v>23200413000</v>
      </c>
      <c r="AT48" s="5">
        <f t="shared" si="30"/>
        <v>1.7190236240933871E-4</v>
      </c>
      <c r="AU48" s="5">
        <f t="shared" si="31"/>
        <v>2.9192036516858349E-5</v>
      </c>
      <c r="AV48" s="5">
        <f t="shared" si="17"/>
        <v>4.195424407635916E-3</v>
      </c>
      <c r="AW48" s="5">
        <f t="shared" si="18"/>
        <v>6.1470071449349567E-3</v>
      </c>
      <c r="AX48" s="5">
        <f t="shared" si="32"/>
        <v>9.3672341091514185E-5</v>
      </c>
      <c r="AY48" s="10">
        <f t="shared" si="33"/>
        <v>3.7124331211126836E-5</v>
      </c>
      <c r="AZ48" s="24">
        <v>94</v>
      </c>
      <c r="BA48" s="19">
        <v>3399096727.9645572</v>
      </c>
      <c r="BB48" s="17">
        <v>85</v>
      </c>
      <c r="BC48" s="19">
        <v>1322772802.478085</v>
      </c>
      <c r="BD48" s="17">
        <v>7</v>
      </c>
      <c r="BE48" s="19">
        <v>2076323925.4864721</v>
      </c>
      <c r="BF48" s="17">
        <v>2</v>
      </c>
      <c r="BG48" s="19">
        <v>0</v>
      </c>
      <c r="BH48" s="26">
        <f t="shared" si="21"/>
        <v>5.806508574426706E-2</v>
      </c>
      <c r="BI48" s="26">
        <f t="shared" si="22"/>
        <v>2.2596272581530172E-2</v>
      </c>
      <c r="BJ48" s="26">
        <f t="shared" si="23"/>
        <v>3.5468813162736888E-2</v>
      </c>
      <c r="BK48" s="26">
        <f t="shared" si="24"/>
        <v>0</v>
      </c>
      <c r="BL48" s="34">
        <f t="shared" si="27"/>
        <v>199946866.3508563</v>
      </c>
      <c r="BM48" s="35">
        <f t="shared" si="26"/>
        <v>3.4155932790745332E-3</v>
      </c>
    </row>
    <row r="49" spans="1:65" x14ac:dyDescent="0.35">
      <c r="A49" s="18">
        <v>48</v>
      </c>
      <c r="B49" t="s">
        <v>284</v>
      </c>
      <c r="C49" s="3" t="s">
        <v>33</v>
      </c>
      <c r="D49" s="17" t="s">
        <v>4</v>
      </c>
      <c r="E49" s="17" t="s">
        <v>13</v>
      </c>
      <c r="F49" s="2">
        <v>1</v>
      </c>
      <c r="G49" s="2">
        <v>0</v>
      </c>
      <c r="H49" s="2">
        <v>1</v>
      </c>
      <c r="I49" s="18">
        <v>2017</v>
      </c>
      <c r="J49" s="2">
        <v>0</v>
      </c>
      <c r="K49" s="2" t="s">
        <v>152</v>
      </c>
      <c r="L49" s="4">
        <v>60752588976.317482</v>
      </c>
      <c r="M49" s="2">
        <v>0</v>
      </c>
      <c r="N49" s="4">
        <v>0</v>
      </c>
      <c r="O49" s="2">
        <v>3</v>
      </c>
      <c r="P49" s="4">
        <v>690000000</v>
      </c>
      <c r="Q49" s="2">
        <v>3</v>
      </c>
      <c r="R49" s="4">
        <v>690000000</v>
      </c>
      <c r="S49" s="5">
        <f t="shared" si="0"/>
        <v>0</v>
      </c>
      <c r="T49" s="5">
        <f t="shared" si="1"/>
        <v>1.135754066824996E-2</v>
      </c>
      <c r="U49" s="5">
        <f t="shared" si="2"/>
        <v>1.135754066824996E-2</v>
      </c>
      <c r="V49" s="26">
        <f t="shared" si="3"/>
        <v>0</v>
      </c>
      <c r="W49" s="26">
        <f t="shared" si="4"/>
        <v>8.6777171315743137E-4</v>
      </c>
      <c r="X49" s="26">
        <f t="shared" si="5"/>
        <v>3.2200407871833044E-4</v>
      </c>
      <c r="Y49" s="26">
        <f t="shared" si="6"/>
        <v>40588235.294117644</v>
      </c>
      <c r="Z49" s="26">
        <f t="shared" si="7"/>
        <v>6.6809062754411529E-4</v>
      </c>
      <c r="AA49" s="2">
        <v>3</v>
      </c>
      <c r="AB49" s="18">
        <v>0</v>
      </c>
      <c r="AC49" s="4">
        <v>0</v>
      </c>
      <c r="AD49" s="2">
        <v>0</v>
      </c>
      <c r="AE49" s="4">
        <v>0</v>
      </c>
      <c r="AF49" s="2">
        <v>0</v>
      </c>
      <c r="AG49" s="4">
        <v>0</v>
      </c>
      <c r="AH49" s="28">
        <f t="shared" si="8"/>
        <v>0</v>
      </c>
      <c r="AI49" s="4">
        <f t="shared" si="29"/>
        <v>0</v>
      </c>
      <c r="AJ49" s="26">
        <f t="shared" si="25"/>
        <v>0</v>
      </c>
      <c r="AK49" s="26">
        <f t="shared" si="10"/>
        <v>0</v>
      </c>
      <c r="AL49" s="4">
        <v>804121000</v>
      </c>
      <c r="AM49" s="4">
        <v>120454000</v>
      </c>
      <c r="AN49" s="12">
        <f t="shared" si="11"/>
        <v>-683667000</v>
      </c>
      <c r="AO49" s="12">
        <f t="shared" si="12"/>
        <v>924575000</v>
      </c>
      <c r="AP49" s="8">
        <v>28004414000</v>
      </c>
      <c r="AQ49" s="8">
        <v>17063050000</v>
      </c>
      <c r="AR49" s="13">
        <f t="shared" si="13"/>
        <v>-10941364000</v>
      </c>
      <c r="AS49" s="13">
        <f t="shared" si="14"/>
        <v>45067464000</v>
      </c>
      <c r="AT49" s="5">
        <f t="shared" si="30"/>
        <v>2.8714080573155359E-2</v>
      </c>
      <c r="AU49" s="5">
        <f t="shared" si="31"/>
        <v>7.0593475375152741E-3</v>
      </c>
      <c r="AV49" s="5">
        <f t="shared" si="17"/>
        <v>1.120817727816141E-2</v>
      </c>
      <c r="AW49" s="5">
        <f t="shared" si="18"/>
        <v>8.2472016708782601E-3</v>
      </c>
      <c r="AX49" s="5">
        <f t="shared" si="32"/>
        <v>2.0515354491657218E-2</v>
      </c>
      <c r="AY49" s="10">
        <f t="shared" si="33"/>
        <v>1.521869299035827E-2</v>
      </c>
      <c r="AZ49" s="24" t="s">
        <v>152</v>
      </c>
      <c r="BA49" s="29" t="s">
        <v>152</v>
      </c>
      <c r="BB49" s="24" t="s">
        <v>152</v>
      </c>
      <c r="BC49" s="29" t="s">
        <v>152</v>
      </c>
      <c r="BD49" s="24" t="s">
        <v>152</v>
      </c>
      <c r="BE49" s="29" t="s">
        <v>152</v>
      </c>
      <c r="BF49" s="24" t="s">
        <v>152</v>
      </c>
      <c r="BG49" s="29" t="s">
        <v>152</v>
      </c>
      <c r="BH49" s="26">
        <f t="shared" si="21"/>
        <v>0</v>
      </c>
      <c r="BI49" s="26">
        <f t="shared" si="22"/>
        <v>0</v>
      </c>
      <c r="BJ49" s="26">
        <f t="shared" si="23"/>
        <v>0</v>
      </c>
      <c r="BK49" s="26">
        <f t="shared" si="24"/>
        <v>0</v>
      </c>
      <c r="BL49" s="34">
        <f t="shared" si="27"/>
        <v>0</v>
      </c>
      <c r="BM49" s="35">
        <f t="shared" si="26"/>
        <v>0</v>
      </c>
    </row>
    <row r="50" spans="1:65" x14ac:dyDescent="0.35">
      <c r="A50" s="18">
        <v>49</v>
      </c>
      <c r="B50" t="s">
        <v>285</v>
      </c>
      <c r="C50" s="3" t="s">
        <v>34</v>
      </c>
      <c r="D50" s="17" t="s">
        <v>12</v>
      </c>
      <c r="E50" s="17" t="s">
        <v>5</v>
      </c>
      <c r="F50" s="2">
        <v>0</v>
      </c>
      <c r="G50" s="2">
        <v>0</v>
      </c>
      <c r="H50" s="2">
        <v>1</v>
      </c>
      <c r="I50" s="18">
        <v>2019</v>
      </c>
      <c r="J50" s="2">
        <v>0</v>
      </c>
      <c r="K50" s="2" t="s">
        <v>152</v>
      </c>
      <c r="L50" s="4">
        <v>103131000000</v>
      </c>
      <c r="M50" s="2">
        <v>1</v>
      </c>
      <c r="N50" s="4">
        <v>500000000</v>
      </c>
      <c r="O50" s="2">
        <v>2</v>
      </c>
      <c r="P50" s="4">
        <v>240000000</v>
      </c>
      <c r="Q50" s="2">
        <v>3</v>
      </c>
      <c r="R50" s="4">
        <v>740000000</v>
      </c>
      <c r="S50" s="5">
        <f t="shared" si="0"/>
        <v>4.8482027712327038E-3</v>
      </c>
      <c r="T50" s="5">
        <f t="shared" si="1"/>
        <v>2.3271373301916977E-3</v>
      </c>
      <c r="U50" s="5">
        <f t="shared" si="2"/>
        <v>7.1753401014244024E-3</v>
      </c>
      <c r="V50" s="26">
        <f t="shared" si="3"/>
        <v>3.7240341717375598E-4</v>
      </c>
      <c r="W50" s="26">
        <f t="shared" si="4"/>
        <v>3.0183363935910656E-4</v>
      </c>
      <c r="X50" s="26">
        <f t="shared" si="5"/>
        <v>3.4533770761096307E-4</v>
      </c>
      <c r="Y50" s="26">
        <f t="shared" si="6"/>
        <v>43529411.764705881</v>
      </c>
      <c r="Z50" s="26">
        <f t="shared" si="7"/>
        <v>4.2207882949555302E-4</v>
      </c>
      <c r="AA50" s="2">
        <v>0</v>
      </c>
      <c r="AB50" s="18" t="s">
        <v>152</v>
      </c>
      <c r="AC50" s="4" t="s">
        <v>152</v>
      </c>
      <c r="AD50" s="18" t="s">
        <v>152</v>
      </c>
      <c r="AE50" s="4" t="s">
        <v>152</v>
      </c>
      <c r="AF50" s="2" t="s">
        <v>152</v>
      </c>
      <c r="AG50" s="4" t="s">
        <v>152</v>
      </c>
      <c r="AH50" s="28">
        <f t="shared" si="8"/>
        <v>0</v>
      </c>
      <c r="AI50" s="4" t="str">
        <f t="shared" si="29"/>
        <v>na</v>
      </c>
      <c r="AJ50" s="26" t="str">
        <f t="shared" si="25"/>
        <v>na</v>
      </c>
      <c r="AK50" s="26" t="str">
        <f t="shared" si="10"/>
        <v>na</v>
      </c>
      <c r="AL50" s="14">
        <v>790430000</v>
      </c>
      <c r="AM50" s="14">
        <v>491944000</v>
      </c>
      <c r="AN50" s="12">
        <f t="shared" si="11"/>
        <v>-298486000</v>
      </c>
      <c r="AO50" s="12">
        <f t="shared" si="12"/>
        <v>1282374000</v>
      </c>
      <c r="AP50" s="8">
        <v>5756952000</v>
      </c>
      <c r="AQ50" s="8">
        <v>1694809000</v>
      </c>
      <c r="AR50" s="13">
        <f t="shared" si="13"/>
        <v>-4062143000</v>
      </c>
      <c r="AS50" s="13">
        <f t="shared" si="14"/>
        <v>7451761000</v>
      </c>
      <c r="AT50" s="5">
        <f t="shared" si="30"/>
        <v>0.13730008518396541</v>
      </c>
      <c r="AU50" s="5">
        <f t="shared" si="31"/>
        <v>0.29026515672267494</v>
      </c>
      <c r="AV50" s="5">
        <f t="shared" si="17"/>
        <v>2.3040988680522248E-3</v>
      </c>
      <c r="AW50" s="5">
        <f t="shared" si="18"/>
        <v>8.1916372609934984E-4</v>
      </c>
      <c r="AX50" s="5">
        <f t="shared" si="32"/>
        <v>0.17209006032265392</v>
      </c>
      <c r="AY50" s="10">
        <f t="shared" si="33"/>
        <v>1.2434418361113536E-2</v>
      </c>
      <c r="AZ50" s="24">
        <v>118</v>
      </c>
      <c r="BA50" s="19">
        <v>8611964867.0887985</v>
      </c>
      <c r="BB50" s="17">
        <v>69</v>
      </c>
      <c r="BC50" s="19">
        <v>3389033867.9750204</v>
      </c>
      <c r="BD50" s="17">
        <v>27</v>
      </c>
      <c r="BE50" s="19">
        <v>3153882808.8466272</v>
      </c>
      <c r="BF50" s="17">
        <v>22</v>
      </c>
      <c r="BG50" s="19">
        <v>2069048190.2671511</v>
      </c>
      <c r="BH50" s="26">
        <f t="shared" si="21"/>
        <v>8.3505103868757202E-2</v>
      </c>
      <c r="BI50" s="26">
        <f t="shared" si="22"/>
        <v>3.2861446781035968E-2</v>
      </c>
      <c r="BJ50" s="26">
        <f t="shared" si="23"/>
        <v>3.0581326747986807E-2</v>
      </c>
      <c r="BK50" s="26">
        <f t="shared" si="24"/>
        <v>2.0062330339734428E-2</v>
      </c>
      <c r="BL50" s="34">
        <f t="shared" si="27"/>
        <v>506586168.65228224</v>
      </c>
      <c r="BM50" s="35">
        <f t="shared" si="26"/>
        <v>4.9120649334563051E-3</v>
      </c>
    </row>
    <row r="51" spans="1:65" x14ac:dyDescent="0.35">
      <c r="A51" s="18">
        <v>50</v>
      </c>
      <c r="B51" t="s">
        <v>286</v>
      </c>
      <c r="C51" s="3" t="s">
        <v>195</v>
      </c>
      <c r="D51" s="17" t="s">
        <v>12</v>
      </c>
      <c r="E51" s="17" t="s">
        <v>13</v>
      </c>
      <c r="F51" s="2">
        <v>0</v>
      </c>
      <c r="G51" s="2">
        <v>0</v>
      </c>
      <c r="H51" s="2">
        <v>0</v>
      </c>
      <c r="I51" s="3" t="s">
        <v>152</v>
      </c>
      <c r="J51" s="2">
        <v>0</v>
      </c>
      <c r="K51" s="2" t="s">
        <v>152</v>
      </c>
      <c r="L51" s="4">
        <v>3101787709.4972067</v>
      </c>
      <c r="M51" s="2">
        <v>0</v>
      </c>
      <c r="N51" s="4">
        <v>0</v>
      </c>
      <c r="O51" s="2">
        <v>0</v>
      </c>
      <c r="P51" s="4">
        <v>0</v>
      </c>
      <c r="Q51" s="2">
        <v>0</v>
      </c>
      <c r="R51" s="4">
        <v>0</v>
      </c>
      <c r="S51" s="5">
        <f t="shared" si="0"/>
        <v>0</v>
      </c>
      <c r="T51" s="15">
        <f t="shared" si="1"/>
        <v>0</v>
      </c>
      <c r="U51" s="5">
        <f t="shared" si="2"/>
        <v>0</v>
      </c>
      <c r="V51" s="26">
        <f t="shared" si="3"/>
        <v>0</v>
      </c>
      <c r="W51" s="26">
        <f t="shared" si="4"/>
        <v>0</v>
      </c>
      <c r="X51" s="26">
        <f t="shared" si="5"/>
        <v>0</v>
      </c>
      <c r="Y51" s="26">
        <f t="shared" si="6"/>
        <v>0</v>
      </c>
      <c r="Z51" s="26">
        <f t="shared" si="7"/>
        <v>0</v>
      </c>
      <c r="AA51" s="2">
        <v>0</v>
      </c>
      <c r="AB51" s="18" t="s">
        <v>152</v>
      </c>
      <c r="AC51" s="4" t="s">
        <v>152</v>
      </c>
      <c r="AD51" s="2" t="s">
        <v>152</v>
      </c>
      <c r="AE51" s="4" t="s">
        <v>152</v>
      </c>
      <c r="AF51" s="2" t="s">
        <v>152</v>
      </c>
      <c r="AG51" s="4" t="s">
        <v>152</v>
      </c>
      <c r="AH51" s="28">
        <f t="shared" si="8"/>
        <v>0</v>
      </c>
      <c r="AI51" s="4" t="str">
        <f t="shared" si="29"/>
        <v>na</v>
      </c>
      <c r="AJ51" s="26" t="str">
        <f t="shared" si="25"/>
        <v>na</v>
      </c>
      <c r="AK51" s="26" t="str">
        <f t="shared" si="10"/>
        <v>na</v>
      </c>
      <c r="AL51" s="4">
        <v>37699000</v>
      </c>
      <c r="AM51" s="14">
        <v>13000</v>
      </c>
      <c r="AN51" s="12">
        <f t="shared" si="11"/>
        <v>-37686000</v>
      </c>
      <c r="AO51" s="12">
        <f t="shared" si="12"/>
        <v>37712000</v>
      </c>
      <c r="AP51" s="8">
        <v>1201848000</v>
      </c>
      <c r="AQ51" s="8">
        <v>96336000</v>
      </c>
      <c r="AR51" s="13">
        <f t="shared" si="13"/>
        <v>-1105512000</v>
      </c>
      <c r="AS51" s="13">
        <f t="shared" si="14"/>
        <v>1298184000</v>
      </c>
      <c r="AT51" s="5">
        <f t="shared" si="30"/>
        <v>3.1367527341227844E-2</v>
      </c>
      <c r="AU51" s="5">
        <f t="shared" si="31"/>
        <v>1.349443614017605E-4</v>
      </c>
      <c r="AV51" s="5">
        <f t="shared" si="17"/>
        <v>4.8101436599972189E-4</v>
      </c>
      <c r="AW51" s="5">
        <f t="shared" si="18"/>
        <v>4.6562743481717983E-5</v>
      </c>
      <c r="AX51" s="5">
        <f t="shared" si="32"/>
        <v>2.9049811120765625E-2</v>
      </c>
      <c r="AY51" s="10">
        <f t="shared" si="33"/>
        <v>1.2158149922553221E-2</v>
      </c>
      <c r="AZ51" s="24">
        <v>2</v>
      </c>
      <c r="BA51" s="19">
        <v>0</v>
      </c>
      <c r="BB51" s="17">
        <v>0</v>
      </c>
      <c r="BC51" s="19">
        <v>0</v>
      </c>
      <c r="BD51" s="17">
        <v>2</v>
      </c>
      <c r="BE51" s="19">
        <v>0</v>
      </c>
      <c r="BF51" s="17">
        <v>0</v>
      </c>
      <c r="BG51" s="19">
        <v>0</v>
      </c>
      <c r="BH51" s="26">
        <f t="shared" si="21"/>
        <v>0</v>
      </c>
      <c r="BI51" s="26">
        <f t="shared" si="22"/>
        <v>0</v>
      </c>
      <c r="BJ51" s="26">
        <f t="shared" si="23"/>
        <v>0</v>
      </c>
      <c r="BK51" s="26">
        <f t="shared" si="24"/>
        <v>0</v>
      </c>
      <c r="BL51" s="34">
        <f t="shared" si="27"/>
        <v>0</v>
      </c>
      <c r="BM51" s="35">
        <f t="shared" si="26"/>
        <v>0</v>
      </c>
    </row>
    <row r="52" spans="1:65" x14ac:dyDescent="0.35">
      <c r="A52" s="18">
        <v>51</v>
      </c>
      <c r="B52" t="s">
        <v>287</v>
      </c>
      <c r="C52" s="3" t="s">
        <v>35</v>
      </c>
      <c r="D52" s="17" t="s">
        <v>4</v>
      </c>
      <c r="E52" s="17" t="s">
        <v>13</v>
      </c>
      <c r="F52" s="2">
        <v>0</v>
      </c>
      <c r="G52" s="2">
        <v>0</v>
      </c>
      <c r="H52" s="2">
        <v>1</v>
      </c>
      <c r="I52" s="18">
        <v>2019</v>
      </c>
      <c r="J52" s="2">
        <v>0</v>
      </c>
      <c r="K52" s="2" t="s">
        <v>152</v>
      </c>
      <c r="L52" s="4">
        <v>24949065263.629242</v>
      </c>
      <c r="M52" s="2">
        <v>1</v>
      </c>
      <c r="N52" s="4">
        <v>130000000</v>
      </c>
      <c r="O52" s="2">
        <v>1</v>
      </c>
      <c r="P52" s="4">
        <v>170000000</v>
      </c>
      <c r="Q52" s="2">
        <v>2</v>
      </c>
      <c r="R52" s="4">
        <v>300000000</v>
      </c>
      <c r="S52" s="5">
        <f t="shared" si="0"/>
        <v>5.2106160542020009E-3</v>
      </c>
      <c r="T52" s="5">
        <f t="shared" si="1"/>
        <v>6.8138825324180006E-3</v>
      </c>
      <c r="U52" s="5">
        <f t="shared" si="2"/>
        <v>1.2024498586620002E-2</v>
      </c>
      <c r="V52" s="26">
        <f t="shared" si="3"/>
        <v>9.6824888465176558E-5</v>
      </c>
      <c r="W52" s="26">
        <f t="shared" si="4"/>
        <v>2.1379882787936715E-4</v>
      </c>
      <c r="X52" s="26">
        <f t="shared" si="5"/>
        <v>1.4000177335579583E-4</v>
      </c>
      <c r="Y52" s="26">
        <f t="shared" si="6"/>
        <v>17647058.823529411</v>
      </c>
      <c r="Z52" s="26">
        <f t="shared" si="7"/>
        <v>7.0732344627176481E-4</v>
      </c>
      <c r="AA52" s="2">
        <v>1</v>
      </c>
      <c r="AB52" s="18">
        <v>0</v>
      </c>
      <c r="AC52" s="4">
        <v>0</v>
      </c>
      <c r="AD52" s="18">
        <v>0</v>
      </c>
      <c r="AE52" s="4">
        <v>0</v>
      </c>
      <c r="AF52" s="2">
        <v>0</v>
      </c>
      <c r="AG52" s="4">
        <v>0</v>
      </c>
      <c r="AH52" s="28">
        <f t="shared" si="8"/>
        <v>0</v>
      </c>
      <c r="AI52" s="4">
        <f t="shared" si="29"/>
        <v>0</v>
      </c>
      <c r="AJ52" s="26">
        <f t="shared" si="25"/>
        <v>0</v>
      </c>
      <c r="AK52" s="26">
        <f t="shared" si="10"/>
        <v>0</v>
      </c>
      <c r="AL52" s="4">
        <v>461258000</v>
      </c>
      <c r="AM52" s="4">
        <v>38578000</v>
      </c>
      <c r="AN52" s="12">
        <f t="shared" si="11"/>
        <v>-422680000</v>
      </c>
      <c r="AO52" s="12">
        <f t="shared" si="12"/>
        <v>499836000</v>
      </c>
      <c r="AP52" s="8">
        <v>9179163000</v>
      </c>
      <c r="AQ52" s="8">
        <v>3520899000</v>
      </c>
      <c r="AR52" s="13">
        <f t="shared" si="13"/>
        <v>-5658264000</v>
      </c>
      <c r="AS52" s="13">
        <f t="shared" si="14"/>
        <v>12700062000</v>
      </c>
      <c r="AT52" s="5">
        <f t="shared" si="30"/>
        <v>5.025055116681118E-2</v>
      </c>
      <c r="AU52" s="5">
        <f t="shared" si="31"/>
        <v>1.0956860733579691E-2</v>
      </c>
      <c r="AV52" s="5">
        <f t="shared" si="17"/>
        <v>3.6737667915186486E-3</v>
      </c>
      <c r="AW52" s="5">
        <f t="shared" si="18"/>
        <v>1.7017804036085925E-3</v>
      </c>
      <c r="AX52" s="5">
        <f t="shared" si="32"/>
        <v>3.9356973217926021E-2</v>
      </c>
      <c r="AY52" s="10">
        <f t="shared" si="33"/>
        <v>2.0034257585139319E-2</v>
      </c>
      <c r="AZ52" s="24" t="s">
        <v>152</v>
      </c>
      <c r="BA52" s="29" t="s">
        <v>152</v>
      </c>
      <c r="BB52" s="24" t="s">
        <v>152</v>
      </c>
      <c r="BC52" s="29" t="s">
        <v>152</v>
      </c>
      <c r="BD52" s="24" t="s">
        <v>152</v>
      </c>
      <c r="BE52" s="29" t="s">
        <v>152</v>
      </c>
      <c r="BF52" s="24" t="s">
        <v>152</v>
      </c>
      <c r="BG52" s="29" t="s">
        <v>152</v>
      </c>
      <c r="BH52" s="26">
        <f t="shared" si="21"/>
        <v>0</v>
      </c>
      <c r="BI52" s="26">
        <f t="shared" si="22"/>
        <v>0</v>
      </c>
      <c r="BJ52" s="26">
        <f t="shared" si="23"/>
        <v>0</v>
      </c>
      <c r="BK52" s="26">
        <f t="shared" si="24"/>
        <v>0</v>
      </c>
      <c r="BL52" s="34">
        <f t="shared" si="27"/>
        <v>0</v>
      </c>
      <c r="BM52" s="35">
        <f t="shared" si="26"/>
        <v>0</v>
      </c>
    </row>
    <row r="53" spans="1:65" x14ac:dyDescent="0.35">
      <c r="A53" s="18">
        <v>52</v>
      </c>
      <c r="B53" t="s">
        <v>288</v>
      </c>
      <c r="C53" s="3" t="s">
        <v>36</v>
      </c>
      <c r="D53" s="17" t="s">
        <v>4</v>
      </c>
      <c r="E53" s="17" t="s">
        <v>13</v>
      </c>
      <c r="F53" s="2">
        <v>0</v>
      </c>
      <c r="G53" s="2">
        <v>0</v>
      </c>
      <c r="H53" s="2">
        <v>1</v>
      </c>
      <c r="I53" s="18">
        <v>2015</v>
      </c>
      <c r="J53" s="2">
        <v>0</v>
      </c>
      <c r="K53" s="2" t="s">
        <v>152</v>
      </c>
      <c r="L53" s="4">
        <v>252498032247.16284</v>
      </c>
      <c r="M53" s="2">
        <v>1</v>
      </c>
      <c r="N53" s="4">
        <v>100000000</v>
      </c>
      <c r="O53" s="2">
        <v>4</v>
      </c>
      <c r="P53" s="4">
        <v>860000000</v>
      </c>
      <c r="Q53" s="2">
        <v>5</v>
      </c>
      <c r="R53" s="4">
        <v>960000000</v>
      </c>
      <c r="S53" s="5">
        <f t="shared" si="0"/>
        <v>3.960426903529805E-4</v>
      </c>
      <c r="T53" s="5">
        <f t="shared" si="1"/>
        <v>3.4059671370356322E-3</v>
      </c>
      <c r="U53" s="5">
        <f t="shared" si="2"/>
        <v>3.8020098273886128E-3</v>
      </c>
      <c r="V53" s="26">
        <f t="shared" si="3"/>
        <v>7.4480683434751193E-5</v>
      </c>
      <c r="W53" s="26">
        <f t="shared" si="4"/>
        <v>1.0815705410367985E-3</v>
      </c>
      <c r="X53" s="26">
        <f t="shared" si="5"/>
        <v>4.4800567473854668E-4</v>
      </c>
      <c r="Y53" s="26">
        <f t="shared" si="6"/>
        <v>56470588.235294119</v>
      </c>
      <c r="Z53" s="26">
        <f t="shared" si="7"/>
        <v>2.2364763690521251E-4</v>
      </c>
      <c r="AA53" s="2">
        <v>0</v>
      </c>
      <c r="AB53" s="2" t="s">
        <v>152</v>
      </c>
      <c r="AC53" s="4" t="s">
        <v>152</v>
      </c>
      <c r="AD53" s="2" t="s">
        <v>152</v>
      </c>
      <c r="AE53" s="4" t="s">
        <v>152</v>
      </c>
      <c r="AF53" s="2" t="s">
        <v>152</v>
      </c>
      <c r="AG53" s="4" t="s">
        <v>152</v>
      </c>
      <c r="AH53" s="28">
        <f t="shared" si="8"/>
        <v>0</v>
      </c>
      <c r="AI53" s="4" t="str">
        <f t="shared" si="29"/>
        <v>na</v>
      </c>
      <c r="AJ53" s="26" t="str">
        <f t="shared" si="25"/>
        <v>na</v>
      </c>
      <c r="AK53" s="26" t="str">
        <f t="shared" si="10"/>
        <v>na</v>
      </c>
      <c r="AL53" s="4">
        <v>28337633000</v>
      </c>
      <c r="AM53" s="4">
        <v>2469651000</v>
      </c>
      <c r="AN53" s="12">
        <f t="shared" si="11"/>
        <v>-25867982000</v>
      </c>
      <c r="AO53" s="12">
        <f t="shared" si="12"/>
        <v>30807284000</v>
      </c>
      <c r="AP53" s="8">
        <v>179273065000</v>
      </c>
      <c r="AQ53" s="8">
        <v>199469710000</v>
      </c>
      <c r="AR53" s="13">
        <f t="shared" si="13"/>
        <v>20196645000</v>
      </c>
      <c r="AS53" s="13">
        <f t="shared" si="14"/>
        <v>378742775000</v>
      </c>
      <c r="AT53" s="5">
        <f t="shared" si="30"/>
        <v>0.15806966316998039</v>
      </c>
      <c r="AU53" s="5">
        <f t="shared" si="31"/>
        <v>1.2381082822048521E-2</v>
      </c>
      <c r="AV53" s="5">
        <f t="shared" si="17"/>
        <v>7.1750271000826996E-2</v>
      </c>
      <c r="AW53" s="5">
        <f t="shared" si="18"/>
        <v>9.641107103370157E-2</v>
      </c>
      <c r="AX53" s="5">
        <f t="shared" si="32"/>
        <v>8.1340915348154172E-2</v>
      </c>
      <c r="AY53" s="10">
        <f t="shared" si="33"/>
        <v>0.1220099963782833</v>
      </c>
      <c r="AZ53" s="24" t="s">
        <v>152</v>
      </c>
      <c r="BA53" s="29" t="s">
        <v>152</v>
      </c>
      <c r="BB53" s="24" t="s">
        <v>152</v>
      </c>
      <c r="BC53" s="29" t="s">
        <v>152</v>
      </c>
      <c r="BD53" s="24" t="s">
        <v>152</v>
      </c>
      <c r="BE53" s="29" t="s">
        <v>152</v>
      </c>
      <c r="BF53" s="24" t="s">
        <v>152</v>
      </c>
      <c r="BG53" s="29" t="s">
        <v>152</v>
      </c>
      <c r="BH53" s="26">
        <f t="shared" si="21"/>
        <v>0</v>
      </c>
      <c r="BI53" s="26">
        <f t="shared" si="22"/>
        <v>0</v>
      </c>
      <c r="BJ53" s="26">
        <f t="shared" si="23"/>
        <v>0</v>
      </c>
      <c r="BK53" s="26">
        <f t="shared" si="24"/>
        <v>0</v>
      </c>
      <c r="BL53" s="34">
        <f t="shared" si="27"/>
        <v>0</v>
      </c>
      <c r="BM53" s="35">
        <f t="shared" si="26"/>
        <v>0</v>
      </c>
    </row>
    <row r="54" spans="1:65" x14ac:dyDescent="0.35">
      <c r="A54" s="18">
        <v>53</v>
      </c>
      <c r="B54" t="s">
        <v>290</v>
      </c>
      <c r="C54" s="3" t="s">
        <v>170</v>
      </c>
      <c r="D54" s="17" t="s">
        <v>4</v>
      </c>
      <c r="E54" s="17" t="s">
        <v>13</v>
      </c>
      <c r="F54" s="2">
        <v>3</v>
      </c>
      <c r="G54" s="2">
        <v>0</v>
      </c>
      <c r="H54" s="2">
        <v>0</v>
      </c>
      <c r="I54" s="3" t="s">
        <v>152</v>
      </c>
      <c r="J54" s="2">
        <v>0</v>
      </c>
      <c r="K54" s="2" t="s">
        <v>152</v>
      </c>
      <c r="L54" s="4">
        <v>347561349210.97949</v>
      </c>
      <c r="M54" s="2">
        <v>3</v>
      </c>
      <c r="N54" s="4">
        <v>1430000000</v>
      </c>
      <c r="O54" s="2">
        <v>0</v>
      </c>
      <c r="P54" s="4">
        <v>0</v>
      </c>
      <c r="Q54" s="2">
        <v>3</v>
      </c>
      <c r="R54" s="4">
        <v>1430000000</v>
      </c>
      <c r="S54" s="5">
        <f t="shared" si="0"/>
        <v>4.1143815422696782E-3</v>
      </c>
      <c r="T54" s="15">
        <f t="shared" si="1"/>
        <v>0</v>
      </c>
      <c r="U54" s="5">
        <f t="shared" si="2"/>
        <v>4.1143815422696782E-3</v>
      </c>
      <c r="V54" s="26">
        <f t="shared" si="3"/>
        <v>1.0650737731169421E-3</v>
      </c>
      <c r="W54" s="26">
        <f t="shared" si="4"/>
        <v>0</v>
      </c>
      <c r="X54" s="26">
        <f t="shared" si="5"/>
        <v>6.6734178632929346E-4</v>
      </c>
      <c r="Y54" s="26">
        <f t="shared" si="6"/>
        <v>84117647.058823526</v>
      </c>
      <c r="Z54" s="26">
        <f t="shared" si="7"/>
        <v>2.4202244366292223E-4</v>
      </c>
      <c r="AA54" s="2">
        <v>2</v>
      </c>
      <c r="AB54" s="18">
        <v>0</v>
      </c>
      <c r="AC54" s="4">
        <v>0</v>
      </c>
      <c r="AD54" s="18">
        <v>0</v>
      </c>
      <c r="AE54" s="4">
        <v>0</v>
      </c>
      <c r="AF54" s="2">
        <v>0</v>
      </c>
      <c r="AG54" s="4">
        <v>0</v>
      </c>
      <c r="AH54" s="28">
        <f t="shared" si="8"/>
        <v>0</v>
      </c>
      <c r="AI54" s="4">
        <f t="shared" si="29"/>
        <v>0</v>
      </c>
      <c r="AJ54" s="26">
        <f t="shared" si="25"/>
        <v>0</v>
      </c>
      <c r="AK54" s="26">
        <f t="shared" si="10"/>
        <v>0</v>
      </c>
      <c r="AL54" s="4">
        <v>7064542000</v>
      </c>
      <c r="AM54" s="4">
        <v>3803406000</v>
      </c>
      <c r="AN54" s="12">
        <f t="shared" si="11"/>
        <v>-3261136000</v>
      </c>
      <c r="AO54" s="12">
        <f t="shared" si="12"/>
        <v>10867948000</v>
      </c>
      <c r="AP54" s="8">
        <v>97209694000</v>
      </c>
      <c r="AQ54" s="8">
        <v>109991555000</v>
      </c>
      <c r="AR54" s="13">
        <f t="shared" si="13"/>
        <v>12781861000</v>
      </c>
      <c r="AS54" s="13">
        <f t="shared" si="14"/>
        <v>207201249000</v>
      </c>
      <c r="AT54" s="5">
        <f t="shared" si="30"/>
        <v>7.2673225367832148E-2</v>
      </c>
      <c r="AU54" s="5">
        <f t="shared" si="31"/>
        <v>3.4579072911552163E-2</v>
      </c>
      <c r="AV54" s="5">
        <f t="shared" si="17"/>
        <v>3.8906133994013353E-2</v>
      </c>
      <c r="AW54" s="5">
        <f t="shared" si="18"/>
        <v>5.3162977086657896E-2</v>
      </c>
      <c r="AX54" s="5">
        <f t="shared" si="32"/>
        <v>5.2451170311236882E-2</v>
      </c>
      <c r="AY54" s="10">
        <f t="shared" si="33"/>
        <v>3.1269150107375292E-2</v>
      </c>
      <c r="AZ54" s="24" t="s">
        <v>152</v>
      </c>
      <c r="BA54" s="29" t="s">
        <v>152</v>
      </c>
      <c r="BB54" s="24" t="s">
        <v>152</v>
      </c>
      <c r="BC54" s="29" t="s">
        <v>152</v>
      </c>
      <c r="BD54" s="24" t="s">
        <v>152</v>
      </c>
      <c r="BE54" s="29" t="s">
        <v>152</v>
      </c>
      <c r="BF54" s="24" t="s">
        <v>152</v>
      </c>
      <c r="BG54" s="29" t="s">
        <v>152</v>
      </c>
      <c r="BH54" s="26">
        <f t="shared" si="21"/>
        <v>0</v>
      </c>
      <c r="BI54" s="26">
        <f t="shared" si="22"/>
        <v>0</v>
      </c>
      <c r="BJ54" s="26">
        <f t="shared" si="23"/>
        <v>0</v>
      </c>
      <c r="BK54" s="26">
        <f t="shared" si="24"/>
        <v>0</v>
      </c>
      <c r="BL54" s="34">
        <f t="shared" si="27"/>
        <v>0</v>
      </c>
      <c r="BM54" s="35">
        <f t="shared" si="26"/>
        <v>0</v>
      </c>
    </row>
    <row r="55" spans="1:65" x14ac:dyDescent="0.35">
      <c r="A55" s="18">
        <v>54</v>
      </c>
      <c r="B55" t="s">
        <v>291</v>
      </c>
      <c r="C55" s="3" t="s">
        <v>37</v>
      </c>
      <c r="D55" s="17" t="s">
        <v>7</v>
      </c>
      <c r="E55" s="17" t="s">
        <v>10</v>
      </c>
      <c r="F55" s="2">
        <v>0</v>
      </c>
      <c r="G55" s="2">
        <v>0</v>
      </c>
      <c r="H55" s="2">
        <v>1</v>
      </c>
      <c r="I55" s="18">
        <v>2018</v>
      </c>
      <c r="J55" s="2">
        <v>0</v>
      </c>
      <c r="K55" s="2" t="s">
        <v>152</v>
      </c>
      <c r="L55" s="4">
        <v>3324634256.1332436</v>
      </c>
      <c r="M55" s="2">
        <v>3</v>
      </c>
      <c r="N55" s="4">
        <v>1120000000</v>
      </c>
      <c r="O55" s="2">
        <v>3</v>
      </c>
      <c r="P55" s="4">
        <v>1480000000</v>
      </c>
      <c r="Q55" s="2">
        <v>6</v>
      </c>
      <c r="R55" s="4">
        <v>2600000000</v>
      </c>
      <c r="S55" s="5">
        <f t="shared" si="0"/>
        <v>0.33687916134950424</v>
      </c>
      <c r="T55" s="5">
        <f t="shared" si="1"/>
        <v>0.44516174892613064</v>
      </c>
      <c r="U55" s="5">
        <f t="shared" si="2"/>
        <v>0.78204091027563483</v>
      </c>
      <c r="V55" s="26">
        <f t="shared" si="3"/>
        <v>8.3418365446921337E-4</v>
      </c>
      <c r="W55" s="26">
        <f t="shared" si="4"/>
        <v>1.8613074427144905E-3</v>
      </c>
      <c r="X55" s="26">
        <f t="shared" si="5"/>
        <v>1.2133487024168974E-3</v>
      </c>
      <c r="Y55" s="26">
        <f t="shared" si="6"/>
        <v>152941176.47058824</v>
      </c>
      <c r="Z55" s="26">
        <f t="shared" si="7"/>
        <v>4.6002406486802053E-2</v>
      </c>
      <c r="AA55" s="2">
        <v>3</v>
      </c>
      <c r="AB55" s="18">
        <v>0</v>
      </c>
      <c r="AC55" s="4">
        <v>0</v>
      </c>
      <c r="AD55" s="18">
        <v>0</v>
      </c>
      <c r="AE55" s="4">
        <v>0</v>
      </c>
      <c r="AF55" s="2">
        <v>0</v>
      </c>
      <c r="AG55" s="4">
        <v>0</v>
      </c>
      <c r="AH55" s="28">
        <f t="shared" si="8"/>
        <v>0</v>
      </c>
      <c r="AI55" s="4">
        <f t="shared" si="29"/>
        <v>0</v>
      </c>
      <c r="AJ55" s="26">
        <f t="shared" si="25"/>
        <v>0</v>
      </c>
      <c r="AK55" s="26">
        <f t="shared" si="10"/>
        <v>0</v>
      </c>
      <c r="AL55" s="14">
        <v>2210291000</v>
      </c>
      <c r="AM55" s="14">
        <v>20136000</v>
      </c>
      <c r="AN55" s="12">
        <f t="shared" si="11"/>
        <v>-2190155000</v>
      </c>
      <c r="AO55" s="12">
        <f t="shared" si="12"/>
        <v>2230427000</v>
      </c>
      <c r="AP55" s="8">
        <v>5301007000</v>
      </c>
      <c r="AQ55" s="8">
        <v>193889000</v>
      </c>
      <c r="AR55" s="13">
        <f t="shared" si="13"/>
        <v>-5107118000</v>
      </c>
      <c r="AS55" s="13">
        <f t="shared" si="14"/>
        <v>5494896000</v>
      </c>
      <c r="AT55" s="5">
        <f t="shared" si="30"/>
        <v>0.41695681594082029</v>
      </c>
      <c r="AU55" s="5">
        <f t="shared" si="31"/>
        <v>0.10385323561419163</v>
      </c>
      <c r="AV55" s="5">
        <f t="shared" si="17"/>
        <v>2.1216164783442563E-3</v>
      </c>
      <c r="AW55" s="5">
        <f t="shared" si="18"/>
        <v>9.3713707969261925E-5</v>
      </c>
      <c r="AX55" s="5">
        <f t="shared" si="32"/>
        <v>0.40590886524512931</v>
      </c>
      <c r="AY55" s="10">
        <f t="shared" si="33"/>
        <v>0.67087890822436669</v>
      </c>
      <c r="AZ55" s="24">
        <v>96</v>
      </c>
      <c r="BA55" s="19">
        <v>2750209235.8192444</v>
      </c>
      <c r="BB55" s="17">
        <v>83</v>
      </c>
      <c r="BC55" s="19">
        <v>705039731.5457077</v>
      </c>
      <c r="BD55" s="17">
        <v>7</v>
      </c>
      <c r="BE55" s="19">
        <v>1179677224.0810373</v>
      </c>
      <c r="BF55" s="17">
        <v>6</v>
      </c>
      <c r="BG55" s="19">
        <v>865492280.19250023</v>
      </c>
      <c r="BH55" s="26">
        <f t="shared" si="21"/>
        <v>0.82722159008789997</v>
      </c>
      <c r="BI55" s="26">
        <f t="shared" si="22"/>
        <v>0.21206535132249787</v>
      </c>
      <c r="BJ55" s="26">
        <f t="shared" si="23"/>
        <v>0.35482917313529555</v>
      </c>
      <c r="BK55" s="26">
        <f t="shared" si="24"/>
        <v>0.26032706563010682</v>
      </c>
      <c r="BL55" s="34">
        <f t="shared" si="27"/>
        <v>161777013.87172025</v>
      </c>
      <c r="BM55" s="35">
        <f t="shared" si="26"/>
        <v>4.8660093534582352E-2</v>
      </c>
    </row>
    <row r="56" spans="1:65" x14ac:dyDescent="0.35">
      <c r="A56" s="18">
        <v>55</v>
      </c>
      <c r="B56" t="s">
        <v>292</v>
      </c>
      <c r="C56" s="3" t="s">
        <v>136</v>
      </c>
      <c r="D56" s="17" t="s">
        <v>12</v>
      </c>
      <c r="E56" s="17" t="s">
        <v>5</v>
      </c>
      <c r="F56" s="2">
        <v>0</v>
      </c>
      <c r="G56" s="2">
        <v>0</v>
      </c>
      <c r="H56" s="2">
        <v>1</v>
      </c>
      <c r="I56" s="18" t="s">
        <v>152</v>
      </c>
      <c r="J56" s="2">
        <v>1</v>
      </c>
      <c r="K56" s="2">
        <v>2004</v>
      </c>
      <c r="L56" s="4">
        <v>574607407.4074074</v>
      </c>
      <c r="M56" s="2">
        <v>0</v>
      </c>
      <c r="N56" s="4">
        <v>0</v>
      </c>
      <c r="O56" s="2">
        <v>0</v>
      </c>
      <c r="P56" s="4">
        <v>0</v>
      </c>
      <c r="Q56" s="2">
        <v>0</v>
      </c>
      <c r="R56" s="4">
        <v>0</v>
      </c>
      <c r="S56" s="5">
        <f t="shared" si="0"/>
        <v>0</v>
      </c>
      <c r="T56" s="15">
        <f t="shared" si="1"/>
        <v>0</v>
      </c>
      <c r="U56" s="5">
        <f t="shared" si="2"/>
        <v>0</v>
      </c>
      <c r="V56" s="26">
        <f t="shared" si="3"/>
        <v>0</v>
      </c>
      <c r="W56" s="26">
        <f t="shared" si="4"/>
        <v>0</v>
      </c>
      <c r="X56" s="26">
        <f t="shared" si="5"/>
        <v>0</v>
      </c>
      <c r="Y56" s="26">
        <f t="shared" si="6"/>
        <v>0</v>
      </c>
      <c r="Z56" s="26">
        <f t="shared" si="7"/>
        <v>0</v>
      </c>
      <c r="AA56" s="2">
        <v>0</v>
      </c>
      <c r="AB56" s="18" t="s">
        <v>152</v>
      </c>
      <c r="AC56" s="4" t="s">
        <v>152</v>
      </c>
      <c r="AD56" s="2" t="s">
        <v>152</v>
      </c>
      <c r="AE56" s="4" t="s">
        <v>152</v>
      </c>
      <c r="AF56" s="2" t="s">
        <v>152</v>
      </c>
      <c r="AG56" s="4" t="s">
        <v>152</v>
      </c>
      <c r="AH56" s="28">
        <f t="shared" si="8"/>
        <v>0</v>
      </c>
      <c r="AI56" s="4" t="str">
        <f t="shared" si="29"/>
        <v>na</v>
      </c>
      <c r="AJ56" s="26" t="str">
        <f t="shared" si="25"/>
        <v>na</v>
      </c>
      <c r="AK56" s="26" t="str">
        <f t="shared" si="10"/>
        <v>na</v>
      </c>
      <c r="AL56" s="14">
        <v>33896000</v>
      </c>
      <c r="AM56" s="14">
        <v>477000</v>
      </c>
      <c r="AN56" s="12">
        <f t="shared" si="11"/>
        <v>-33419000</v>
      </c>
      <c r="AO56" s="12">
        <f t="shared" si="12"/>
        <v>34373000</v>
      </c>
      <c r="AP56" s="8">
        <v>503996000</v>
      </c>
      <c r="AQ56" s="8">
        <v>59490000</v>
      </c>
      <c r="AR56" s="13">
        <f t="shared" si="13"/>
        <v>-444506000</v>
      </c>
      <c r="AS56" s="13">
        <f t="shared" si="14"/>
        <v>563486000</v>
      </c>
      <c r="AT56" s="5">
        <f t="shared" si="30"/>
        <v>6.7254502019857304E-2</v>
      </c>
      <c r="AU56" s="5">
        <f t="shared" si="31"/>
        <v>8.0181543116490169E-3</v>
      </c>
      <c r="AV56" s="5">
        <f t="shared" si="17"/>
        <v>2.017137911003686E-4</v>
      </c>
      <c r="AW56" s="5">
        <f t="shared" si="18"/>
        <v>2.8753712108945799E-5</v>
      </c>
      <c r="AX56" s="5">
        <f t="shared" si="32"/>
        <v>6.1000628232112247E-2</v>
      </c>
      <c r="AY56" s="10">
        <f t="shared" si="33"/>
        <v>5.9819973701851187E-2</v>
      </c>
      <c r="AZ56" s="24">
        <v>83</v>
      </c>
      <c r="BA56" s="19">
        <v>573892308.24714231</v>
      </c>
      <c r="BB56" s="17">
        <v>64</v>
      </c>
      <c r="BC56" s="19">
        <v>559674140.21692443</v>
      </c>
      <c r="BD56" s="17">
        <v>5</v>
      </c>
      <c r="BE56" s="19">
        <v>0</v>
      </c>
      <c r="BF56" s="17">
        <v>14</v>
      </c>
      <c r="BG56" s="19">
        <v>14218168.030217908</v>
      </c>
      <c r="BH56" s="26">
        <f t="shared" si="21"/>
        <v>0.99875549957928389</v>
      </c>
      <c r="BI56" s="26">
        <f t="shared" si="22"/>
        <v>0.9740113562791316</v>
      </c>
      <c r="BJ56" s="26">
        <f t="shared" si="23"/>
        <v>0</v>
      </c>
      <c r="BK56" s="26">
        <f t="shared" si="24"/>
        <v>2.4744143300152344E-2</v>
      </c>
      <c r="BL56" s="34">
        <f t="shared" si="27"/>
        <v>33758371.073361315</v>
      </c>
      <c r="BM56" s="35">
        <f t="shared" si="26"/>
        <v>5.8750323504663762E-2</v>
      </c>
    </row>
    <row r="57" spans="1:65" x14ac:dyDescent="0.35">
      <c r="A57" s="18">
        <v>56</v>
      </c>
      <c r="B57" t="s">
        <v>293</v>
      </c>
      <c r="C57" s="3" t="s">
        <v>38</v>
      </c>
      <c r="D57" s="17" t="s">
        <v>12</v>
      </c>
      <c r="E57" s="17" t="s">
        <v>5</v>
      </c>
      <c r="F57" s="2">
        <v>0</v>
      </c>
      <c r="G57" s="2">
        <v>0</v>
      </c>
      <c r="H57" s="2">
        <v>1</v>
      </c>
      <c r="I57" s="2">
        <v>2018</v>
      </c>
      <c r="J57" s="2">
        <v>1</v>
      </c>
      <c r="K57" s="2">
        <v>2018</v>
      </c>
      <c r="L57" s="4">
        <v>88941299733.50177</v>
      </c>
      <c r="M57" s="2">
        <v>0</v>
      </c>
      <c r="N57" s="4">
        <v>0</v>
      </c>
      <c r="O57" s="2">
        <v>0</v>
      </c>
      <c r="P57" s="4">
        <v>0</v>
      </c>
      <c r="Q57" s="2">
        <v>0</v>
      </c>
      <c r="R57" s="4">
        <v>0</v>
      </c>
      <c r="S57" s="5">
        <f t="shared" si="0"/>
        <v>0</v>
      </c>
      <c r="T57" s="15">
        <f t="shared" si="1"/>
        <v>0</v>
      </c>
      <c r="U57" s="5">
        <f t="shared" si="2"/>
        <v>0</v>
      </c>
      <c r="V57" s="26">
        <f t="shared" si="3"/>
        <v>0</v>
      </c>
      <c r="W57" s="26">
        <f t="shared" si="4"/>
        <v>0</v>
      </c>
      <c r="X57" s="26">
        <f t="shared" si="5"/>
        <v>0</v>
      </c>
      <c r="Y57" s="26">
        <f t="shared" si="6"/>
        <v>0</v>
      </c>
      <c r="Z57" s="26">
        <f t="shared" si="7"/>
        <v>0</v>
      </c>
      <c r="AA57" s="2">
        <v>0</v>
      </c>
      <c r="AB57" s="18" t="s">
        <v>152</v>
      </c>
      <c r="AC57" s="4" t="s">
        <v>152</v>
      </c>
      <c r="AD57" s="18" t="s">
        <v>152</v>
      </c>
      <c r="AE57" s="4" t="s">
        <v>152</v>
      </c>
      <c r="AF57" s="2" t="s">
        <v>152</v>
      </c>
      <c r="AG57" s="4" t="s">
        <v>152</v>
      </c>
      <c r="AH57" s="28">
        <f t="shared" si="8"/>
        <v>0</v>
      </c>
      <c r="AI57" s="4" t="str">
        <f t="shared" si="29"/>
        <v>na</v>
      </c>
      <c r="AJ57" s="26" t="str">
        <f t="shared" si="25"/>
        <v>na</v>
      </c>
      <c r="AK57" s="26" t="str">
        <f t="shared" si="10"/>
        <v>na</v>
      </c>
      <c r="AL57" s="4">
        <v>3451291000</v>
      </c>
      <c r="AM57" s="4">
        <v>305884000</v>
      </c>
      <c r="AN57" s="12">
        <f t="shared" si="11"/>
        <v>-3145407000</v>
      </c>
      <c r="AO57" s="12">
        <f t="shared" si="12"/>
        <v>3757175000</v>
      </c>
      <c r="AP57" s="8">
        <v>22202313000</v>
      </c>
      <c r="AQ57" s="8">
        <v>10078188000</v>
      </c>
      <c r="AR57" s="13">
        <f t="shared" si="13"/>
        <v>-12124125000</v>
      </c>
      <c r="AS57" s="13">
        <f t="shared" si="14"/>
        <v>32280501000</v>
      </c>
      <c r="AT57" s="5">
        <f t="shared" si="30"/>
        <v>0.15544736262388517</v>
      </c>
      <c r="AU57" s="5">
        <f t="shared" si="31"/>
        <v>3.0351090890545007E-2</v>
      </c>
      <c r="AV57" s="5">
        <f t="shared" si="17"/>
        <v>8.8860084731366886E-3</v>
      </c>
      <c r="AW57" s="5">
        <f t="shared" si="18"/>
        <v>4.8711601333305135E-3</v>
      </c>
      <c r="AX57" s="5">
        <f t="shared" si="32"/>
        <v>0.11639147112369787</v>
      </c>
      <c r="AY57" s="10">
        <f t="shared" si="33"/>
        <v>4.2243311164304631E-2</v>
      </c>
      <c r="AZ57" s="24">
        <v>5</v>
      </c>
      <c r="BA57" s="19">
        <v>353953921.70811945</v>
      </c>
      <c r="BB57" s="17">
        <v>3</v>
      </c>
      <c r="BC57" s="19">
        <v>3953921.7081194799</v>
      </c>
      <c r="BD57" s="17">
        <v>1</v>
      </c>
      <c r="BE57" s="19">
        <v>0</v>
      </c>
      <c r="BF57" s="17">
        <v>1</v>
      </c>
      <c r="BG57" s="19">
        <v>350000000</v>
      </c>
      <c r="BH57" s="26">
        <f t="shared" si="21"/>
        <v>3.9796351387790052E-3</v>
      </c>
      <c r="BI57" s="26">
        <f t="shared" si="22"/>
        <v>4.4455407330079131E-5</v>
      </c>
      <c r="BJ57" s="26">
        <f t="shared" si="23"/>
        <v>0</v>
      </c>
      <c r="BK57" s="26">
        <f t="shared" si="24"/>
        <v>3.9351797314489271E-3</v>
      </c>
      <c r="BL57" s="34">
        <f t="shared" si="27"/>
        <v>20820818.924007028</v>
      </c>
      <c r="BM57" s="35">
        <f t="shared" si="26"/>
        <v>2.3409618463405917E-4</v>
      </c>
    </row>
    <row r="58" spans="1:65" x14ac:dyDescent="0.35">
      <c r="A58" s="18">
        <v>57</v>
      </c>
      <c r="B58" t="s">
        <v>295</v>
      </c>
      <c r="C58" s="3" t="s">
        <v>39</v>
      </c>
      <c r="D58" s="17" t="s">
        <v>12</v>
      </c>
      <c r="E58" s="17" t="s">
        <v>5</v>
      </c>
      <c r="F58" s="2">
        <v>3</v>
      </c>
      <c r="G58" s="2">
        <v>0</v>
      </c>
      <c r="H58" s="2">
        <v>1</v>
      </c>
      <c r="I58" s="18">
        <v>2018</v>
      </c>
      <c r="J58" s="2">
        <v>0</v>
      </c>
      <c r="K58" s="2" t="s">
        <v>152</v>
      </c>
      <c r="L58" s="4">
        <v>108108009000</v>
      </c>
      <c r="M58" s="2">
        <v>14</v>
      </c>
      <c r="N58" s="4">
        <v>8310000000</v>
      </c>
      <c r="O58" s="2">
        <v>13</v>
      </c>
      <c r="P58" s="4">
        <v>5690000000</v>
      </c>
      <c r="Q58" s="2">
        <v>27</v>
      </c>
      <c r="R58" s="4">
        <v>14000000000</v>
      </c>
      <c r="S58" s="5">
        <f t="shared" si="0"/>
        <v>7.6867570468345234E-2</v>
      </c>
      <c r="T58" s="5">
        <f t="shared" si="1"/>
        <v>5.263254825088861E-2</v>
      </c>
      <c r="U58" s="5">
        <f t="shared" si="2"/>
        <v>0.12950011871923384</v>
      </c>
      <c r="V58" s="26">
        <f t="shared" si="3"/>
        <v>6.1893447934278246E-3</v>
      </c>
      <c r="W58" s="26">
        <f t="shared" si="4"/>
        <v>7.1559725331388187E-3</v>
      </c>
      <c r="X58" s="26">
        <f t="shared" si="5"/>
        <v>6.5334160899371396E-3</v>
      </c>
      <c r="Y58" s="26">
        <f t="shared" si="6"/>
        <v>823529411.7647059</v>
      </c>
      <c r="Z58" s="26">
        <f t="shared" si="7"/>
        <v>7.6176540423078731E-3</v>
      </c>
      <c r="AA58" s="2">
        <v>2</v>
      </c>
      <c r="AB58" s="11">
        <v>1</v>
      </c>
      <c r="AC58" s="27">
        <v>50000000</v>
      </c>
      <c r="AD58" s="18">
        <v>0</v>
      </c>
      <c r="AE58" s="4">
        <v>0</v>
      </c>
      <c r="AF58" s="2">
        <v>0</v>
      </c>
      <c r="AG58" s="4">
        <v>0</v>
      </c>
      <c r="AH58" s="28">
        <f t="shared" si="8"/>
        <v>1</v>
      </c>
      <c r="AI58" s="4">
        <f t="shared" si="29"/>
        <v>50000000</v>
      </c>
      <c r="AJ58" s="26">
        <f t="shared" si="25"/>
        <v>4.625004239972637E-4</v>
      </c>
      <c r="AK58" s="26">
        <f t="shared" si="10"/>
        <v>1.2543831282458731E-3</v>
      </c>
      <c r="AL58" s="4">
        <v>4496520000</v>
      </c>
      <c r="AM58" s="4">
        <v>2896831000</v>
      </c>
      <c r="AN58" s="12">
        <f t="shared" si="11"/>
        <v>-1599689000</v>
      </c>
      <c r="AO58" s="12">
        <f t="shared" si="12"/>
        <v>7393351000</v>
      </c>
      <c r="AP58" s="8">
        <v>22393118000</v>
      </c>
      <c r="AQ58" s="8">
        <v>22329379000</v>
      </c>
      <c r="AR58" s="13">
        <f t="shared" si="13"/>
        <v>-63739000</v>
      </c>
      <c r="AS58" s="13">
        <f t="shared" si="14"/>
        <v>44722497000</v>
      </c>
      <c r="AT58" s="5">
        <f t="shared" si="30"/>
        <v>0.20079919196603171</v>
      </c>
      <c r="AU58" s="5">
        <f t="shared" si="31"/>
        <v>0.1297318210237732</v>
      </c>
      <c r="AV58" s="5">
        <f t="shared" si="17"/>
        <v>8.9623741584018597E-3</v>
      </c>
      <c r="AW58" s="5">
        <f t="shared" si="18"/>
        <v>1.0792612797739789E-2</v>
      </c>
      <c r="AX58" s="5">
        <f t="shared" si="32"/>
        <v>0.16531614949853984</v>
      </c>
      <c r="AY58" s="10">
        <f t="shared" si="33"/>
        <v>6.8388559445211869E-2</v>
      </c>
      <c r="AZ58" s="24">
        <v>122</v>
      </c>
      <c r="BA58" s="19">
        <v>33929188045.953293</v>
      </c>
      <c r="BB58" s="17">
        <v>80</v>
      </c>
      <c r="BC58" s="19">
        <v>6998072030.8370457</v>
      </c>
      <c r="BD58" s="17">
        <v>34</v>
      </c>
      <c r="BE58" s="19">
        <v>26758269325.671894</v>
      </c>
      <c r="BF58" s="17">
        <v>8</v>
      </c>
      <c r="BG58" s="19">
        <v>172846689.44435728</v>
      </c>
      <c r="BH58" s="26">
        <f t="shared" si="21"/>
        <v>0.31384527714272575</v>
      </c>
      <c r="BI58" s="26">
        <f t="shared" si="22"/>
        <v>6.4732225628510512E-2</v>
      </c>
      <c r="BJ58" s="26">
        <f t="shared" si="23"/>
        <v>0.24751421817112454</v>
      </c>
      <c r="BK58" s="26">
        <f t="shared" si="24"/>
        <v>1.5988333430907722E-3</v>
      </c>
      <c r="BL58" s="34">
        <f t="shared" si="27"/>
        <v>1995834590.9384289</v>
      </c>
      <c r="BM58" s="35">
        <f t="shared" si="26"/>
        <v>1.8461486890748575E-2</v>
      </c>
    </row>
    <row r="59" spans="1:65" x14ac:dyDescent="0.35">
      <c r="A59" s="18">
        <v>58</v>
      </c>
      <c r="B59" t="s">
        <v>296</v>
      </c>
      <c r="C59" s="3" t="s">
        <v>141</v>
      </c>
      <c r="D59" s="17" t="s">
        <v>7</v>
      </c>
      <c r="E59" s="17" t="s">
        <v>10</v>
      </c>
      <c r="F59" s="2">
        <v>0</v>
      </c>
      <c r="G59" s="2">
        <v>0</v>
      </c>
      <c r="H59" s="2">
        <v>1</v>
      </c>
      <c r="I59" s="2">
        <v>2016</v>
      </c>
      <c r="J59" s="2">
        <v>0</v>
      </c>
      <c r="K59" s="2" t="s">
        <v>152</v>
      </c>
      <c r="L59" s="4">
        <v>303080865603.64465</v>
      </c>
      <c r="M59" s="2">
        <v>14</v>
      </c>
      <c r="N59" s="4">
        <v>8700000000</v>
      </c>
      <c r="O59" s="2">
        <v>19</v>
      </c>
      <c r="P59" s="4">
        <v>16000000000</v>
      </c>
      <c r="Q59" s="2">
        <v>33</v>
      </c>
      <c r="R59" s="4">
        <v>24700000000</v>
      </c>
      <c r="S59" s="5">
        <f t="shared" si="0"/>
        <v>2.870521034929821E-2</v>
      </c>
      <c r="T59" s="5">
        <f t="shared" si="1"/>
        <v>5.2791191446985214E-2</v>
      </c>
      <c r="U59" s="5">
        <f t="shared" si="2"/>
        <v>8.1496401796283424E-2</v>
      </c>
      <c r="V59" s="26">
        <f t="shared" si="3"/>
        <v>6.4798194588233538E-3</v>
      </c>
      <c r="W59" s="26">
        <f t="shared" si="4"/>
        <v>2.0122242623940439E-2</v>
      </c>
      <c r="X59" s="26">
        <f t="shared" si="5"/>
        <v>1.1526812672960525E-2</v>
      </c>
      <c r="Y59" s="26">
        <f t="shared" si="6"/>
        <v>1452941176.4705882</v>
      </c>
      <c r="Z59" s="26">
        <f t="shared" si="7"/>
        <v>4.7939059880166713E-3</v>
      </c>
      <c r="AA59" s="2">
        <v>2</v>
      </c>
      <c r="AB59" s="11">
        <v>3</v>
      </c>
      <c r="AC59" s="27">
        <v>660000000</v>
      </c>
      <c r="AD59" s="11">
        <v>2</v>
      </c>
      <c r="AE59" s="27">
        <v>649000000</v>
      </c>
      <c r="AF59" s="2">
        <v>0</v>
      </c>
      <c r="AG59" s="4">
        <v>0</v>
      </c>
      <c r="AH59" s="28">
        <f t="shared" si="8"/>
        <v>5</v>
      </c>
      <c r="AI59" s="4">
        <f t="shared" si="29"/>
        <v>1309000000</v>
      </c>
      <c r="AJ59" s="26">
        <f t="shared" si="25"/>
        <v>4.318979350256478E-3</v>
      </c>
      <c r="AK59" s="26">
        <f t="shared" si="10"/>
        <v>3.2839750297476961E-2</v>
      </c>
      <c r="AL59" s="4">
        <v>12040871000</v>
      </c>
      <c r="AM59" s="4">
        <v>556922000</v>
      </c>
      <c r="AN59" s="12">
        <f t="shared" si="11"/>
        <v>-11483949000</v>
      </c>
      <c r="AO59" s="12">
        <f t="shared" si="12"/>
        <v>12597793000</v>
      </c>
      <c r="AP59" s="8">
        <v>78657518000</v>
      </c>
      <c r="AQ59" s="8">
        <v>30632553000</v>
      </c>
      <c r="AR59" s="13">
        <f t="shared" si="13"/>
        <v>-48024965000</v>
      </c>
      <c r="AS59" s="13">
        <f t="shared" si="14"/>
        <v>109290071000</v>
      </c>
      <c r="AT59" s="5">
        <f t="shared" si="30"/>
        <v>0.15307972214429649</v>
      </c>
      <c r="AU59" s="5">
        <f t="shared" si="31"/>
        <v>1.8180724277209282E-2</v>
      </c>
      <c r="AV59" s="5">
        <f t="shared" si="17"/>
        <v>3.1481016028550787E-2</v>
      </c>
      <c r="AW59" s="5">
        <f t="shared" si="18"/>
        <v>1.4805843169003595E-2</v>
      </c>
      <c r="AX59" s="5">
        <f t="shared" si="32"/>
        <v>0.11526932762263463</v>
      </c>
      <c r="AY59" s="10">
        <f t="shared" si="33"/>
        <v>4.1565781379530632E-2</v>
      </c>
      <c r="AZ59" s="24">
        <v>71</v>
      </c>
      <c r="BA59" s="19">
        <v>6470899582.0142622</v>
      </c>
      <c r="BB59" s="17">
        <v>48</v>
      </c>
      <c r="BC59" s="19">
        <v>956566800.48591578</v>
      </c>
      <c r="BD59" s="17">
        <v>16</v>
      </c>
      <c r="BE59" s="19">
        <v>2572561247.8118019</v>
      </c>
      <c r="BF59" s="17">
        <v>7</v>
      </c>
      <c r="BG59" s="19">
        <v>2941771533.7165456</v>
      </c>
      <c r="BH59" s="26">
        <f t="shared" si="21"/>
        <v>2.1350406166770718E-2</v>
      </c>
      <c r="BI59" s="26">
        <f t="shared" si="22"/>
        <v>3.1561438185176306E-3</v>
      </c>
      <c r="BJ59" s="26">
        <f t="shared" si="23"/>
        <v>8.4880358338954992E-3</v>
      </c>
      <c r="BK59" s="26">
        <f t="shared" si="24"/>
        <v>9.7062265143575913E-3</v>
      </c>
      <c r="BL59" s="34">
        <f t="shared" si="27"/>
        <v>380641151.88319188</v>
      </c>
      <c r="BM59" s="35">
        <f t="shared" si="26"/>
        <v>1.2559062451041598E-3</v>
      </c>
    </row>
    <row r="60" spans="1:65" x14ac:dyDescent="0.35">
      <c r="A60" s="18">
        <v>59</v>
      </c>
      <c r="B60" t="s">
        <v>297</v>
      </c>
      <c r="C60" s="3" t="s">
        <v>40</v>
      </c>
      <c r="D60" s="17" t="s">
        <v>12</v>
      </c>
      <c r="E60" s="17" t="s">
        <v>10</v>
      </c>
      <c r="F60" s="2">
        <v>0</v>
      </c>
      <c r="G60" s="2">
        <v>0</v>
      </c>
      <c r="H60" s="2">
        <v>1</v>
      </c>
      <c r="I60" s="18">
        <v>2018</v>
      </c>
      <c r="J60" s="2">
        <v>1</v>
      </c>
      <c r="K60" s="2">
        <v>2018</v>
      </c>
      <c r="L60" s="4">
        <v>26896660000</v>
      </c>
      <c r="M60" s="2">
        <v>0</v>
      </c>
      <c r="N60" s="4">
        <v>0</v>
      </c>
      <c r="O60" s="2">
        <v>0</v>
      </c>
      <c r="P60" s="4">
        <v>0</v>
      </c>
      <c r="Q60" s="2">
        <v>0</v>
      </c>
      <c r="R60" s="4">
        <v>0</v>
      </c>
      <c r="S60" s="5">
        <f t="shared" si="0"/>
        <v>0</v>
      </c>
      <c r="T60" s="15">
        <f t="shared" si="1"/>
        <v>0</v>
      </c>
      <c r="U60" s="5">
        <f t="shared" si="2"/>
        <v>0</v>
      </c>
      <c r="V60" s="26">
        <f t="shared" si="3"/>
        <v>0</v>
      </c>
      <c r="W60" s="26">
        <f t="shared" si="4"/>
        <v>0</v>
      </c>
      <c r="X60" s="26">
        <f t="shared" si="5"/>
        <v>0</v>
      </c>
      <c r="Y60" s="26">
        <f t="shared" si="6"/>
        <v>0</v>
      </c>
      <c r="Z60" s="26">
        <f t="shared" si="7"/>
        <v>0</v>
      </c>
      <c r="AA60" s="2">
        <v>0</v>
      </c>
      <c r="AB60" s="18" t="s">
        <v>152</v>
      </c>
      <c r="AC60" s="4" t="s">
        <v>152</v>
      </c>
      <c r="AD60" s="18" t="s">
        <v>152</v>
      </c>
      <c r="AE60" s="4" t="s">
        <v>152</v>
      </c>
      <c r="AF60" s="2" t="s">
        <v>152</v>
      </c>
      <c r="AG60" s="4" t="s">
        <v>152</v>
      </c>
      <c r="AH60" s="28">
        <f t="shared" si="8"/>
        <v>0</v>
      </c>
      <c r="AI60" s="4" t="str">
        <f t="shared" si="29"/>
        <v>na</v>
      </c>
      <c r="AJ60" s="26" t="str">
        <f t="shared" si="25"/>
        <v>na</v>
      </c>
      <c r="AK60" s="26" t="str">
        <f t="shared" si="10"/>
        <v>na</v>
      </c>
      <c r="AL60" s="4">
        <v>961495000</v>
      </c>
      <c r="AM60" s="4">
        <v>51726000</v>
      </c>
      <c r="AN60" s="12">
        <f t="shared" si="11"/>
        <v>-909769000</v>
      </c>
      <c r="AO60" s="12">
        <f t="shared" si="12"/>
        <v>1013221000</v>
      </c>
      <c r="AP60" s="8">
        <v>11337642000</v>
      </c>
      <c r="AQ60" s="8">
        <v>4777618000</v>
      </c>
      <c r="AR60" s="13">
        <f t="shared" si="13"/>
        <v>-6560024000</v>
      </c>
      <c r="AS60" s="13">
        <f t="shared" si="14"/>
        <v>16115260000</v>
      </c>
      <c r="AT60" s="5">
        <f t="shared" si="30"/>
        <v>8.4805553041805343E-2</v>
      </c>
      <c r="AU60" s="5">
        <f t="shared" si="31"/>
        <v>1.0826734159156299E-2</v>
      </c>
      <c r="AV60" s="5">
        <f t="shared" si="17"/>
        <v>4.5376525804942209E-3</v>
      </c>
      <c r="AW60" s="5">
        <f t="shared" si="18"/>
        <v>2.309199067717556E-3</v>
      </c>
      <c r="AX60" s="5">
        <f t="shared" si="32"/>
        <v>6.2873388328826219E-2</v>
      </c>
      <c r="AY60" s="10">
        <f t="shared" si="33"/>
        <v>3.7670885530024921E-2</v>
      </c>
      <c r="AZ60" s="24">
        <v>1</v>
      </c>
      <c r="BA60" s="19">
        <v>19663044.242341101</v>
      </c>
      <c r="BB60" s="17">
        <v>0</v>
      </c>
      <c r="BC60" s="19">
        <v>0</v>
      </c>
      <c r="BD60" s="17">
        <v>0</v>
      </c>
      <c r="BE60" s="19">
        <v>0</v>
      </c>
      <c r="BF60" s="17">
        <v>1</v>
      </c>
      <c r="BG60" s="19">
        <v>19663044.242341101</v>
      </c>
      <c r="BH60" s="26">
        <f t="shared" si="21"/>
        <v>7.3105895833687528E-4</v>
      </c>
      <c r="BI60" s="26">
        <f t="shared" si="22"/>
        <v>0</v>
      </c>
      <c r="BJ60" s="26">
        <f t="shared" si="23"/>
        <v>0</v>
      </c>
      <c r="BK60" s="26">
        <f t="shared" si="24"/>
        <v>7.3105895833687528E-4</v>
      </c>
      <c r="BL60" s="34">
        <f t="shared" si="27"/>
        <v>1156649.6613141824</v>
      </c>
      <c r="BM60" s="35">
        <f t="shared" si="26"/>
        <v>4.3003468137463258E-5</v>
      </c>
    </row>
    <row r="61" spans="1:65" x14ac:dyDescent="0.35">
      <c r="A61" s="18">
        <v>60</v>
      </c>
      <c r="B61" t="s">
        <v>298</v>
      </c>
      <c r="C61" s="3" t="s">
        <v>41</v>
      </c>
      <c r="D61" s="17" t="s">
        <v>9</v>
      </c>
      <c r="E61" s="17" t="s">
        <v>5</v>
      </c>
      <c r="F61" s="2">
        <v>0</v>
      </c>
      <c r="G61" s="2">
        <v>0</v>
      </c>
      <c r="H61" s="2">
        <v>1</v>
      </c>
      <c r="I61" s="2">
        <v>2019</v>
      </c>
      <c r="J61" s="2">
        <v>0</v>
      </c>
      <c r="K61" s="2" t="s">
        <v>152</v>
      </c>
      <c r="L61" s="4">
        <v>11417278044.985857</v>
      </c>
      <c r="M61" s="2">
        <v>8</v>
      </c>
      <c r="N61" s="4">
        <v>2080000000</v>
      </c>
      <c r="O61" s="2">
        <v>5</v>
      </c>
      <c r="P61" s="4">
        <v>1280000000</v>
      </c>
      <c r="Q61" s="2">
        <v>13</v>
      </c>
      <c r="R61" s="4">
        <v>3360000000</v>
      </c>
      <c r="S61" s="5">
        <f t="shared" si="0"/>
        <v>0.18218002502912475</v>
      </c>
      <c r="T61" s="5">
        <f t="shared" si="1"/>
        <v>0.11211078463330754</v>
      </c>
      <c r="U61" s="5">
        <f t="shared" si="2"/>
        <v>0.29429080966243232</v>
      </c>
      <c r="V61" s="26">
        <f t="shared" si="3"/>
        <v>1.5491982154428249E-3</v>
      </c>
      <c r="W61" s="26">
        <f t="shared" si="4"/>
        <v>1.609779409915235E-3</v>
      </c>
      <c r="X61" s="26">
        <f t="shared" si="5"/>
        <v>1.5680198615849134E-3</v>
      </c>
      <c r="Y61" s="26">
        <f t="shared" si="6"/>
        <v>197647058.82352942</v>
      </c>
      <c r="Z61" s="26">
        <f t="shared" si="7"/>
        <v>1.7311224097790137E-2</v>
      </c>
      <c r="AA61" s="2">
        <v>0</v>
      </c>
      <c r="AB61" s="18" t="s">
        <v>152</v>
      </c>
      <c r="AC61" s="4" t="s">
        <v>152</v>
      </c>
      <c r="AD61" s="2" t="s">
        <v>152</v>
      </c>
      <c r="AE61" s="4" t="s">
        <v>152</v>
      </c>
      <c r="AF61" s="2" t="s">
        <v>152</v>
      </c>
      <c r="AG61" s="4" t="s">
        <v>152</v>
      </c>
      <c r="AH61" s="28">
        <f t="shared" si="8"/>
        <v>0</v>
      </c>
      <c r="AI61" s="4" t="str">
        <f t="shared" si="29"/>
        <v>na</v>
      </c>
      <c r="AJ61" s="26" t="str">
        <f t="shared" si="25"/>
        <v>na</v>
      </c>
      <c r="AK61" s="26" t="str">
        <f t="shared" si="10"/>
        <v>na</v>
      </c>
      <c r="AL61" s="14">
        <v>113297000</v>
      </c>
      <c r="AM61" s="14">
        <v>1723012000</v>
      </c>
      <c r="AN61" s="12">
        <f t="shared" si="11"/>
        <v>1609715000</v>
      </c>
      <c r="AO61" s="12">
        <f t="shared" si="12"/>
        <v>1836309000</v>
      </c>
      <c r="AP61" s="8">
        <v>1028414000</v>
      </c>
      <c r="AQ61" s="8">
        <v>5072616000</v>
      </c>
      <c r="AR61" s="13">
        <f t="shared" si="13"/>
        <v>4044202000</v>
      </c>
      <c r="AS61" s="13">
        <f t="shared" si="14"/>
        <v>6101030000</v>
      </c>
      <c r="AT61" s="5">
        <f t="shared" si="30"/>
        <v>0.11016672274006382</v>
      </c>
      <c r="AU61" s="5">
        <f t="shared" si="31"/>
        <v>0.33966931461005523</v>
      </c>
      <c r="AV61" s="5">
        <f t="shared" si="17"/>
        <v>4.116010578669166E-4</v>
      </c>
      <c r="AW61" s="5">
        <f t="shared" si="18"/>
        <v>2.4517824861864548E-3</v>
      </c>
      <c r="AX61" s="5">
        <f t="shared" si="32"/>
        <v>0.30098344050103015</v>
      </c>
      <c r="AY61" s="10">
        <f t="shared" si="33"/>
        <v>0.1608359709525034</v>
      </c>
      <c r="AZ61" s="24">
        <v>121</v>
      </c>
      <c r="BA61" s="19">
        <v>9890268670.6055279</v>
      </c>
      <c r="BB61" s="17">
        <v>89</v>
      </c>
      <c r="BC61" s="19">
        <v>237978965.35684896</v>
      </c>
      <c r="BD61" s="17">
        <v>29</v>
      </c>
      <c r="BE61" s="19">
        <v>9256483708.7608376</v>
      </c>
      <c r="BF61" s="17">
        <v>3</v>
      </c>
      <c r="BG61" s="19">
        <v>395805996.48784</v>
      </c>
      <c r="BH61" s="26">
        <f t="shared" si="21"/>
        <v>0.86625451632484785</v>
      </c>
      <c r="BI61" s="26">
        <f t="shared" si="22"/>
        <v>2.0843756665921132E-2</v>
      </c>
      <c r="BJ61" s="26">
        <f t="shared" si="23"/>
        <v>0.81074347776141098</v>
      </c>
      <c r="BK61" s="26">
        <f t="shared" si="24"/>
        <v>3.4667281897515556E-2</v>
      </c>
      <c r="BL61" s="34">
        <f t="shared" si="27"/>
        <v>581780510.03561926</v>
      </c>
      <c r="BM61" s="35">
        <f t="shared" si="26"/>
        <v>5.0956148019108694E-2</v>
      </c>
    </row>
    <row r="62" spans="1:65" x14ac:dyDescent="0.35">
      <c r="A62" s="18">
        <v>61</v>
      </c>
      <c r="B62" t="s">
        <v>299</v>
      </c>
      <c r="C62" s="3" t="s">
        <v>188</v>
      </c>
      <c r="D62" s="17" t="s">
        <v>9</v>
      </c>
      <c r="E62" s="17" t="s">
        <v>2</v>
      </c>
      <c r="F62" s="2">
        <v>0</v>
      </c>
      <c r="G62" s="2">
        <v>0</v>
      </c>
      <c r="H62" s="2">
        <v>0</v>
      </c>
      <c r="I62" s="3" t="s">
        <v>152</v>
      </c>
      <c r="J62" s="2">
        <v>0</v>
      </c>
      <c r="K62" s="2" t="s">
        <v>152</v>
      </c>
      <c r="L62" s="4" t="s">
        <v>152</v>
      </c>
      <c r="M62" s="2">
        <v>2</v>
      </c>
      <c r="N62" s="4">
        <v>500000000</v>
      </c>
      <c r="O62" s="2">
        <v>0</v>
      </c>
      <c r="P62" s="4">
        <v>0</v>
      </c>
      <c r="Q62" s="2">
        <v>2</v>
      </c>
      <c r="R62" s="4">
        <v>500000000</v>
      </c>
      <c r="S62" s="5">
        <f t="shared" si="0"/>
        <v>0</v>
      </c>
      <c r="T62" s="15">
        <f t="shared" si="1"/>
        <v>0</v>
      </c>
      <c r="U62" s="5">
        <f t="shared" si="2"/>
        <v>0</v>
      </c>
      <c r="V62" s="26">
        <f t="shared" si="3"/>
        <v>3.7240341717375598E-4</v>
      </c>
      <c r="W62" s="26">
        <f t="shared" si="4"/>
        <v>0</v>
      </c>
      <c r="X62" s="26">
        <f t="shared" si="5"/>
        <v>2.3333628892632639E-4</v>
      </c>
      <c r="Y62" s="26">
        <f t="shared" si="6"/>
        <v>29411764.705882352</v>
      </c>
      <c r="Z62" s="26">
        <f t="shared" si="7"/>
        <v>0</v>
      </c>
      <c r="AA62" s="2">
        <v>0</v>
      </c>
      <c r="AB62" s="2" t="s">
        <v>152</v>
      </c>
      <c r="AC62" s="4" t="s">
        <v>152</v>
      </c>
      <c r="AD62" s="2" t="s">
        <v>152</v>
      </c>
      <c r="AE62" s="4" t="s">
        <v>152</v>
      </c>
      <c r="AF62" s="2" t="s">
        <v>152</v>
      </c>
      <c r="AG62" s="4" t="s">
        <v>152</v>
      </c>
      <c r="AH62" s="28">
        <f t="shared" si="8"/>
        <v>0</v>
      </c>
      <c r="AI62" s="4" t="str">
        <f t="shared" si="29"/>
        <v>na</v>
      </c>
      <c r="AJ62" s="26" t="str">
        <f t="shared" si="25"/>
        <v>na</v>
      </c>
      <c r="AK62" s="26" t="str">
        <f t="shared" si="10"/>
        <v>na</v>
      </c>
      <c r="AL62" s="14">
        <v>48608000</v>
      </c>
      <c r="AM62" s="14">
        <v>209892000</v>
      </c>
      <c r="AN62" s="12">
        <f t="shared" si="11"/>
        <v>161284000</v>
      </c>
      <c r="AO62" s="12">
        <f t="shared" si="12"/>
        <v>258500000</v>
      </c>
      <c r="AP62" s="8">
        <v>388456000</v>
      </c>
      <c r="AQ62" s="8">
        <v>499061000</v>
      </c>
      <c r="AR62" s="13">
        <f t="shared" si="13"/>
        <v>110605000</v>
      </c>
      <c r="AS62" s="13">
        <f t="shared" si="14"/>
        <v>887517000</v>
      </c>
      <c r="AT62" s="5">
        <f t="shared" si="30"/>
        <v>0.12513128900055603</v>
      </c>
      <c r="AU62" s="5">
        <f t="shared" si="31"/>
        <v>0.42057383766713891</v>
      </c>
      <c r="AV62" s="5">
        <f t="shared" si="17"/>
        <v>1.554713379385646E-4</v>
      </c>
      <c r="AW62" s="5">
        <f t="shared" si="18"/>
        <v>2.4121459604643805E-4</v>
      </c>
      <c r="AX62" s="5">
        <f t="shared" si="32"/>
        <v>0.29126202653019606</v>
      </c>
      <c r="AY62" s="10" t="str">
        <f t="shared" si="33"/>
        <v>na</v>
      </c>
      <c r="AZ62" s="24">
        <v>61</v>
      </c>
      <c r="BA62" s="19">
        <v>1013396936.7712584</v>
      </c>
      <c r="BB62" s="17">
        <v>50</v>
      </c>
      <c r="BC62" s="19">
        <v>447050479.60460484</v>
      </c>
      <c r="BD62" s="17">
        <v>10</v>
      </c>
      <c r="BE62" s="19">
        <v>566346457.16665351</v>
      </c>
      <c r="BF62" s="17">
        <v>1</v>
      </c>
      <c r="BG62" s="19">
        <v>0</v>
      </c>
      <c r="BH62" s="26">
        <f t="shared" si="21"/>
        <v>0</v>
      </c>
      <c r="BI62" s="26">
        <f t="shared" si="22"/>
        <v>0</v>
      </c>
      <c r="BJ62" s="26">
        <f t="shared" si="23"/>
        <v>0</v>
      </c>
      <c r="BK62" s="26">
        <f t="shared" si="24"/>
        <v>0</v>
      </c>
      <c r="BL62" s="34">
        <f t="shared" si="27"/>
        <v>59611584.515956372</v>
      </c>
      <c r="BM62" s="35">
        <f t="shared" si="26"/>
        <v>0</v>
      </c>
    </row>
    <row r="63" spans="1:65" x14ac:dyDescent="0.35">
      <c r="A63" s="18">
        <v>62</v>
      </c>
      <c r="B63" t="s">
        <v>300</v>
      </c>
      <c r="C63" s="3" t="s">
        <v>42</v>
      </c>
      <c r="D63" s="17" t="s">
        <v>4</v>
      </c>
      <c r="E63" s="17" t="s">
        <v>13</v>
      </c>
      <c r="F63" s="2">
        <v>0</v>
      </c>
      <c r="G63" s="2">
        <v>0</v>
      </c>
      <c r="H63" s="2">
        <v>1</v>
      </c>
      <c r="I63" s="18">
        <v>2017</v>
      </c>
      <c r="J63" s="2">
        <v>0</v>
      </c>
      <c r="K63" s="2" t="s">
        <v>152</v>
      </c>
      <c r="L63" s="4">
        <v>31045591753.490147</v>
      </c>
      <c r="M63" s="2">
        <v>0</v>
      </c>
      <c r="N63" s="4">
        <v>0</v>
      </c>
      <c r="O63" s="2">
        <v>0</v>
      </c>
      <c r="P63" s="4">
        <v>0</v>
      </c>
      <c r="Q63" s="2">
        <v>0</v>
      </c>
      <c r="R63" s="4">
        <v>0</v>
      </c>
      <c r="S63" s="5">
        <f t="shared" si="0"/>
        <v>0</v>
      </c>
      <c r="T63" s="15">
        <f t="shared" si="1"/>
        <v>0</v>
      </c>
      <c r="U63" s="5">
        <f t="shared" si="2"/>
        <v>0</v>
      </c>
      <c r="V63" s="26">
        <f t="shared" si="3"/>
        <v>0</v>
      </c>
      <c r="W63" s="26">
        <f t="shared" si="4"/>
        <v>0</v>
      </c>
      <c r="X63" s="26">
        <f t="shared" si="5"/>
        <v>0</v>
      </c>
      <c r="Y63" s="26">
        <f t="shared" si="6"/>
        <v>0</v>
      </c>
      <c r="Z63" s="26">
        <f t="shared" si="7"/>
        <v>0</v>
      </c>
      <c r="AA63" s="2">
        <v>0</v>
      </c>
      <c r="AB63" s="2" t="s">
        <v>152</v>
      </c>
      <c r="AC63" s="4" t="s">
        <v>152</v>
      </c>
      <c r="AD63" s="2" t="s">
        <v>152</v>
      </c>
      <c r="AE63" s="4" t="s">
        <v>152</v>
      </c>
      <c r="AF63" s="2" t="s">
        <v>152</v>
      </c>
      <c r="AG63" s="4" t="s">
        <v>152</v>
      </c>
      <c r="AH63" s="28">
        <f t="shared" si="8"/>
        <v>0</v>
      </c>
      <c r="AI63" s="4" t="str">
        <f t="shared" si="29"/>
        <v>na</v>
      </c>
      <c r="AJ63" s="26" t="str">
        <f t="shared" si="25"/>
        <v>na</v>
      </c>
      <c r="AK63" s="26" t="str">
        <f t="shared" si="10"/>
        <v>na</v>
      </c>
      <c r="AL63" s="4">
        <v>1513684000</v>
      </c>
      <c r="AM63" s="4">
        <v>189548000</v>
      </c>
      <c r="AN63" s="12">
        <f t="shared" si="11"/>
        <v>-1324136000</v>
      </c>
      <c r="AO63" s="12">
        <f t="shared" si="12"/>
        <v>1703232000</v>
      </c>
      <c r="AP63" s="8">
        <v>18677042000</v>
      </c>
      <c r="AQ63" s="8">
        <v>16817428000</v>
      </c>
      <c r="AR63" s="13">
        <f t="shared" si="13"/>
        <v>-1859614000</v>
      </c>
      <c r="AS63" s="13">
        <f t="shared" si="14"/>
        <v>35494470000</v>
      </c>
      <c r="AT63" s="5">
        <f t="shared" si="30"/>
        <v>8.1045167644855115E-2</v>
      </c>
      <c r="AU63" s="5">
        <f t="shared" si="31"/>
        <v>1.1270926802838104E-2</v>
      </c>
      <c r="AV63" s="5">
        <f t="shared" si="17"/>
        <v>7.4750929538345747E-3</v>
      </c>
      <c r="AW63" s="5">
        <f t="shared" si="18"/>
        <v>8.1284834951239546E-3</v>
      </c>
      <c r="AX63" s="5">
        <f t="shared" si="32"/>
        <v>4.7985841174695662E-2</v>
      </c>
      <c r="AY63" s="10">
        <f t="shared" si="33"/>
        <v>5.4862281689590363E-2</v>
      </c>
      <c r="AZ63" s="24" t="s">
        <v>152</v>
      </c>
      <c r="BA63" s="29" t="s">
        <v>152</v>
      </c>
      <c r="BB63" s="24" t="s">
        <v>152</v>
      </c>
      <c r="BC63" s="29" t="s">
        <v>152</v>
      </c>
      <c r="BD63" s="24" t="s">
        <v>152</v>
      </c>
      <c r="BE63" s="29" t="s">
        <v>152</v>
      </c>
      <c r="BF63" s="24" t="s">
        <v>152</v>
      </c>
      <c r="BG63" s="29" t="s">
        <v>152</v>
      </c>
      <c r="BH63" s="26">
        <f t="shared" si="21"/>
        <v>0</v>
      </c>
      <c r="BI63" s="26">
        <f t="shared" si="22"/>
        <v>0</v>
      </c>
      <c r="BJ63" s="26">
        <f t="shared" si="23"/>
        <v>0</v>
      </c>
      <c r="BK63" s="26">
        <f t="shared" si="24"/>
        <v>0</v>
      </c>
      <c r="BL63" s="34">
        <f t="shared" si="27"/>
        <v>0</v>
      </c>
      <c r="BM63" s="35">
        <f t="shared" si="26"/>
        <v>0</v>
      </c>
    </row>
    <row r="64" spans="1:65" x14ac:dyDescent="0.35">
      <c r="A64" s="18">
        <v>63</v>
      </c>
      <c r="B64" t="s">
        <v>414</v>
      </c>
      <c r="C64" s="3" t="s">
        <v>196</v>
      </c>
      <c r="D64" s="17" t="s">
        <v>9</v>
      </c>
      <c r="E64" s="17" t="s">
        <v>10</v>
      </c>
      <c r="F64" s="2">
        <v>0</v>
      </c>
      <c r="G64" s="2">
        <v>0</v>
      </c>
      <c r="H64" s="2">
        <v>0</v>
      </c>
      <c r="I64" s="3" t="s">
        <v>152</v>
      </c>
      <c r="J64" s="2">
        <v>2</v>
      </c>
      <c r="K64" s="2" t="s">
        <v>152</v>
      </c>
      <c r="L64" s="4">
        <v>4471598726.6435986</v>
      </c>
      <c r="M64" s="2">
        <v>0</v>
      </c>
      <c r="N64" s="4">
        <v>0</v>
      </c>
      <c r="O64" s="2">
        <v>0</v>
      </c>
      <c r="P64" s="4">
        <v>0</v>
      </c>
      <c r="Q64" s="2">
        <v>0</v>
      </c>
      <c r="R64" s="4">
        <v>0</v>
      </c>
      <c r="S64" s="5">
        <f t="shared" si="0"/>
        <v>0</v>
      </c>
      <c r="T64" s="15">
        <f t="shared" si="1"/>
        <v>0</v>
      </c>
      <c r="U64" s="5">
        <f t="shared" si="2"/>
        <v>0</v>
      </c>
      <c r="V64" s="26">
        <f t="shared" si="3"/>
        <v>0</v>
      </c>
      <c r="W64" s="26">
        <f t="shared" si="4"/>
        <v>0</v>
      </c>
      <c r="X64" s="26">
        <f t="shared" si="5"/>
        <v>0</v>
      </c>
      <c r="Y64" s="26">
        <f t="shared" si="6"/>
        <v>0</v>
      </c>
      <c r="Z64" s="26">
        <f t="shared" si="7"/>
        <v>0</v>
      </c>
      <c r="AA64" s="2">
        <v>0</v>
      </c>
      <c r="AB64" s="18" t="s">
        <v>152</v>
      </c>
      <c r="AC64" s="4" t="s">
        <v>152</v>
      </c>
      <c r="AD64" s="18" t="s">
        <v>152</v>
      </c>
      <c r="AE64" s="4" t="s">
        <v>152</v>
      </c>
      <c r="AF64" s="2" t="s">
        <v>152</v>
      </c>
      <c r="AG64" s="4" t="s">
        <v>152</v>
      </c>
      <c r="AH64" s="28">
        <f t="shared" si="8"/>
        <v>0</v>
      </c>
      <c r="AI64" s="4" t="str">
        <f t="shared" si="29"/>
        <v>na</v>
      </c>
      <c r="AJ64" s="26" t="str">
        <f t="shared" si="25"/>
        <v>na</v>
      </c>
      <c r="AK64" s="26" t="str">
        <f t="shared" si="10"/>
        <v>na</v>
      </c>
      <c r="AL64" s="4">
        <v>131198000</v>
      </c>
      <c r="AM64" s="4">
        <v>260000</v>
      </c>
      <c r="AN64" s="12">
        <f t="shared" si="11"/>
        <v>-130938000</v>
      </c>
      <c r="AO64" s="12">
        <f t="shared" si="12"/>
        <v>131458000</v>
      </c>
      <c r="AP64" s="8">
        <v>1841927000</v>
      </c>
      <c r="AQ64" s="8">
        <v>2001762000</v>
      </c>
      <c r="AR64" s="13">
        <f t="shared" si="13"/>
        <v>159835000</v>
      </c>
      <c r="AS64" s="13">
        <f t="shared" si="14"/>
        <v>3843689000</v>
      </c>
      <c r="AT64" s="5">
        <f t="shared" si="30"/>
        <v>7.1228664328173708E-2</v>
      </c>
      <c r="AU64" s="5">
        <f t="shared" si="31"/>
        <v>1.2988557081211453E-4</v>
      </c>
      <c r="AV64" s="5">
        <f t="shared" si="17"/>
        <v>7.3719251363131577E-4</v>
      </c>
      <c r="AW64" s="5">
        <f t="shared" si="18"/>
        <v>9.675254371932689E-4</v>
      </c>
      <c r="AX64" s="5">
        <f t="shared" si="32"/>
        <v>3.4200998051611357E-2</v>
      </c>
      <c r="AY64" s="10">
        <f t="shared" si="33"/>
        <v>2.9398433991118193E-2</v>
      </c>
      <c r="AZ64" s="24">
        <v>0</v>
      </c>
      <c r="BA64" s="4" t="s">
        <v>152</v>
      </c>
      <c r="BB64" s="18" t="s">
        <v>152</v>
      </c>
      <c r="BC64" s="4" t="s">
        <v>152</v>
      </c>
      <c r="BD64" s="18" t="s">
        <v>152</v>
      </c>
      <c r="BE64" s="4" t="s">
        <v>152</v>
      </c>
      <c r="BF64" s="18" t="s">
        <v>152</v>
      </c>
      <c r="BG64" s="4" t="s">
        <v>152</v>
      </c>
      <c r="BH64" s="26">
        <f t="shared" si="21"/>
        <v>0</v>
      </c>
      <c r="BI64" s="26">
        <f t="shared" si="22"/>
        <v>0</v>
      </c>
      <c r="BJ64" s="26">
        <f t="shared" si="23"/>
        <v>0</v>
      </c>
      <c r="BK64" s="26">
        <f t="shared" si="24"/>
        <v>0</v>
      </c>
      <c r="BL64" s="34">
        <f t="shared" si="27"/>
        <v>0</v>
      </c>
      <c r="BM64" s="35">
        <f t="shared" si="26"/>
        <v>0</v>
      </c>
    </row>
    <row r="65" spans="1:65" x14ac:dyDescent="0.35">
      <c r="A65" s="18">
        <v>64</v>
      </c>
      <c r="B65" t="s">
        <v>301</v>
      </c>
      <c r="C65" s="3" t="s">
        <v>43</v>
      </c>
      <c r="D65" s="17" t="s">
        <v>9</v>
      </c>
      <c r="E65" s="17" t="s">
        <v>2</v>
      </c>
      <c r="F65" s="2">
        <v>1</v>
      </c>
      <c r="G65" s="2">
        <v>0</v>
      </c>
      <c r="H65" s="2">
        <v>1</v>
      </c>
      <c r="I65" s="18">
        <v>2018</v>
      </c>
      <c r="J65" s="2">
        <v>0</v>
      </c>
      <c r="K65" s="2" t="s">
        <v>152</v>
      </c>
      <c r="L65" s="4">
        <v>95912590628.141235</v>
      </c>
      <c r="M65" s="2">
        <v>21</v>
      </c>
      <c r="N65" s="4">
        <v>13780000000</v>
      </c>
      <c r="O65" s="2">
        <v>39</v>
      </c>
      <c r="P65" s="4">
        <v>11220000000</v>
      </c>
      <c r="Q65" s="2">
        <v>60</v>
      </c>
      <c r="R65" s="4">
        <v>25000000000</v>
      </c>
      <c r="S65" s="5">
        <f t="shared" si="0"/>
        <v>0.14367248251510453</v>
      </c>
      <c r="T65" s="5">
        <f t="shared" si="1"/>
        <v>0.11698151333958438</v>
      </c>
      <c r="U65" s="5">
        <f t="shared" si="2"/>
        <v>0.2606539958546889</v>
      </c>
      <c r="V65" s="26">
        <f t="shared" si="3"/>
        <v>1.0263438177308714E-2</v>
      </c>
      <c r="W65" s="26">
        <f t="shared" si="4"/>
        <v>1.4110722640038232E-2</v>
      </c>
      <c r="X65" s="26">
        <f t="shared" si="5"/>
        <v>1.166681444631632E-2</v>
      </c>
      <c r="Y65" s="26">
        <f t="shared" si="6"/>
        <v>1470588235.2941177</v>
      </c>
      <c r="Z65" s="26">
        <f t="shared" si="7"/>
        <v>1.533258799145229E-2</v>
      </c>
      <c r="AA65" s="2">
        <v>2</v>
      </c>
      <c r="AB65" s="2">
        <v>0</v>
      </c>
      <c r="AC65" s="4">
        <v>0</v>
      </c>
      <c r="AD65" s="2">
        <v>0</v>
      </c>
      <c r="AE65" s="4">
        <v>0</v>
      </c>
      <c r="AF65" s="2">
        <v>0</v>
      </c>
      <c r="AG65" s="4">
        <v>0</v>
      </c>
      <c r="AH65" s="28">
        <f t="shared" si="8"/>
        <v>0</v>
      </c>
      <c r="AI65" s="4">
        <f t="shared" si="29"/>
        <v>0</v>
      </c>
      <c r="AJ65" s="26">
        <f t="shared" si="25"/>
        <v>0</v>
      </c>
      <c r="AK65" s="26">
        <f t="shared" si="10"/>
        <v>0</v>
      </c>
      <c r="AL65" s="4">
        <v>4283703000</v>
      </c>
      <c r="AM65" s="4">
        <v>124363000</v>
      </c>
      <c r="AN65" s="12">
        <f t="shared" si="11"/>
        <v>-4159340000</v>
      </c>
      <c r="AO65" s="12">
        <f t="shared" si="12"/>
        <v>4408066000</v>
      </c>
      <c r="AP65" s="8">
        <v>15575890000</v>
      </c>
      <c r="AQ65" s="8">
        <v>2678468000</v>
      </c>
      <c r="AR65" s="13">
        <f t="shared" si="13"/>
        <v>-12897422000</v>
      </c>
      <c r="AS65" s="13">
        <f t="shared" si="14"/>
        <v>18254358000</v>
      </c>
      <c r="AT65" s="5">
        <f t="shared" si="30"/>
        <v>0.27502139524611435</v>
      </c>
      <c r="AU65" s="5">
        <f t="shared" si="31"/>
        <v>4.6430646175350983E-2</v>
      </c>
      <c r="AV65" s="5">
        <f t="shared" si="17"/>
        <v>6.2339221376009335E-3</v>
      </c>
      <c r="AW65" s="5">
        <f t="shared" si="18"/>
        <v>1.2946024166250434E-3</v>
      </c>
      <c r="AX65" s="5">
        <f t="shared" si="32"/>
        <v>0.24148019886538874</v>
      </c>
      <c r="AY65" s="10">
        <f t="shared" si="33"/>
        <v>4.5959200675647807E-2</v>
      </c>
      <c r="AZ65" s="24">
        <v>218</v>
      </c>
      <c r="BA65" s="19">
        <v>24549040327.122738</v>
      </c>
      <c r="BB65" s="17">
        <v>155</v>
      </c>
      <c r="BC65" s="19">
        <v>9669275552.7825241</v>
      </c>
      <c r="BD65" s="17">
        <v>48</v>
      </c>
      <c r="BE65" s="19">
        <v>12633865805.844887</v>
      </c>
      <c r="BF65" s="17">
        <v>15</v>
      </c>
      <c r="BG65" s="19">
        <v>2245898968.4953279</v>
      </c>
      <c r="BH65" s="26">
        <f t="shared" si="21"/>
        <v>0.25595221822649766</v>
      </c>
      <c r="BI65" s="26">
        <f t="shared" si="22"/>
        <v>0.10081341239411283</v>
      </c>
      <c r="BJ65" s="26">
        <f t="shared" si="23"/>
        <v>0.13172270421541557</v>
      </c>
      <c r="BK65" s="26">
        <f t="shared" si="24"/>
        <v>2.3416101616969252E-2</v>
      </c>
      <c r="BL65" s="34">
        <f t="shared" si="27"/>
        <v>1444061195.7131023</v>
      </c>
      <c r="BM65" s="35">
        <f t="shared" si="26"/>
        <v>1.5056012836852803E-2</v>
      </c>
    </row>
    <row r="66" spans="1:65" x14ac:dyDescent="0.35">
      <c r="A66" s="18">
        <v>65</v>
      </c>
      <c r="B66" t="s">
        <v>302</v>
      </c>
      <c r="C66" s="3" t="s">
        <v>44</v>
      </c>
      <c r="D66" s="17" t="s">
        <v>23</v>
      </c>
      <c r="E66" s="17" t="s">
        <v>5</v>
      </c>
      <c r="F66" s="2">
        <v>1</v>
      </c>
      <c r="G66" s="2">
        <v>0</v>
      </c>
      <c r="H66" s="2">
        <v>1</v>
      </c>
      <c r="I66" s="18">
        <v>2018</v>
      </c>
      <c r="J66" s="2">
        <v>0</v>
      </c>
      <c r="K66" s="2" t="s">
        <v>152</v>
      </c>
      <c r="L66" s="4">
        <v>5496250694.3158674</v>
      </c>
      <c r="M66" s="2">
        <v>1</v>
      </c>
      <c r="N66" s="4">
        <v>150000000</v>
      </c>
      <c r="O66" s="2">
        <v>2</v>
      </c>
      <c r="P66" s="4">
        <v>250000000</v>
      </c>
      <c r="Q66" s="2">
        <v>3</v>
      </c>
      <c r="R66" s="4">
        <v>400000000</v>
      </c>
      <c r="S66" s="5">
        <f t="shared" ref="S66:S129" si="34">IFERROR(N66/L66,0)</f>
        <v>2.7291331553549323E-2</v>
      </c>
      <c r="T66" s="5">
        <f t="shared" ref="T66:T129" si="35">IFERROR(P66/L66,0)</f>
        <v>4.548555258924887E-2</v>
      </c>
      <c r="U66" s="5">
        <f t="shared" ref="U66:U129" si="36">IFERROR(R66/L66,0)</f>
        <v>7.277688414279819E-2</v>
      </c>
      <c r="V66" s="26">
        <f t="shared" ref="V66:V129" si="37">IFERROR(N66/SUM($N$2:$N$217),0)</f>
        <v>1.117210251521268E-4</v>
      </c>
      <c r="W66" s="26">
        <f t="shared" ref="W66:W129" si="38">IFERROR(P66/SUM($P$2:$P$217),0)</f>
        <v>3.1441004099906937E-4</v>
      </c>
      <c r="X66" s="26">
        <f t="shared" ref="X66:X129" si="39">IFERROR(R66/SUM($R$2:$R$217),0)</f>
        <v>1.8666903114106112E-4</v>
      </c>
      <c r="Y66" s="26">
        <f t="shared" ref="Y66:Y129" si="40">R66/17</f>
        <v>23529411.764705881</v>
      </c>
      <c r="Z66" s="26">
        <f t="shared" ref="Z66:Z129" si="41">IFERROR(Y66/L66,0)</f>
        <v>4.2809931848704821E-3</v>
      </c>
      <c r="AA66" s="2">
        <v>1</v>
      </c>
      <c r="AB66" s="11">
        <v>1</v>
      </c>
      <c r="AC66" s="27">
        <v>50000000</v>
      </c>
      <c r="AD66" s="18">
        <v>0</v>
      </c>
      <c r="AE66" s="4">
        <v>0</v>
      </c>
      <c r="AF66" s="2">
        <v>0</v>
      </c>
      <c r="AG66" s="4">
        <v>0</v>
      </c>
      <c r="AH66" s="28">
        <f t="shared" ref="AH66:AH129" si="42">IFERROR(AB66+AD66+AF66,0)</f>
        <v>1</v>
      </c>
      <c r="AI66" s="4">
        <f t="shared" si="29"/>
        <v>50000000</v>
      </c>
      <c r="AJ66" s="26">
        <f t="shared" si="25"/>
        <v>9.0971105178497737E-3</v>
      </c>
      <c r="AK66" s="26">
        <f t="shared" ref="AK66:AK129" si="43">IFERROR(AI66/SUM($AI$2:$AI$217),"na")</f>
        <v>1.2543831282458731E-3</v>
      </c>
      <c r="AL66" s="4">
        <v>348970000</v>
      </c>
      <c r="AM66" s="4">
        <v>37299000</v>
      </c>
      <c r="AN66" s="12">
        <f t="shared" ref="AN66:AN129" si="44">IFERROR(AM66-AL66,"na")</f>
        <v>-311671000</v>
      </c>
      <c r="AO66" s="12">
        <f t="shared" ref="AO66:AO129" si="45">IFERROR(AL66+AM66,"na")</f>
        <v>386269000</v>
      </c>
      <c r="AP66" s="8">
        <v>2785913000</v>
      </c>
      <c r="AQ66" s="8">
        <v>1028722000</v>
      </c>
      <c r="AR66" s="13">
        <f t="shared" ref="AR66:AR129" si="46">IFERROR(AQ66-AP66,"na")</f>
        <v>-1757191000</v>
      </c>
      <c r="AS66" s="13">
        <f t="shared" ref="AS66:AS129" si="47">IFERROR(AP66+AQ66,"na")</f>
        <v>3814635000</v>
      </c>
      <c r="AT66" s="5">
        <f t="shared" si="30"/>
        <v>0.12526234667055289</v>
      </c>
      <c r="AU66" s="5">
        <f t="shared" si="31"/>
        <v>3.6257608955577891E-2</v>
      </c>
      <c r="AV66" s="5">
        <f t="shared" ref="AV66:AV129" si="48">IFERROR((AL66/2498569866000)/AT66,"na")</f>
        <v>1.1150030415039032E-3</v>
      </c>
      <c r="AW66" s="5">
        <f t="shared" ref="AW66:AW129" si="49">IFERROR((AM66/2068950255000)/AU66,"na")</f>
        <v>4.9721930119581343E-4</v>
      </c>
      <c r="AX66" s="5">
        <f t="shared" si="32"/>
        <v>0.10125975355440298</v>
      </c>
      <c r="AY66" s="10">
        <f t="shared" si="33"/>
        <v>7.027863565238629E-2</v>
      </c>
      <c r="AZ66" s="24">
        <v>152</v>
      </c>
      <c r="BA66" s="19">
        <v>663916958.87909687</v>
      </c>
      <c r="BB66" s="17">
        <v>137</v>
      </c>
      <c r="BC66" s="19">
        <v>568657495.55746424</v>
      </c>
      <c r="BD66" s="17">
        <v>14</v>
      </c>
      <c r="BE66" s="19">
        <v>95259463.321632713</v>
      </c>
      <c r="BF66" s="17">
        <v>1</v>
      </c>
      <c r="BG66" s="19">
        <v>0</v>
      </c>
      <c r="BH66" s="26">
        <f t="shared" ref="BH66:BH129" si="50">IFERROR(BA66/L66,0)</f>
        <v>0.12079451899195735</v>
      </c>
      <c r="BI66" s="26">
        <f t="shared" ref="BI66:BI129" si="51">IFERROR(BC66/L66,0)</f>
        <v>0.10346280167779838</v>
      </c>
      <c r="BJ66" s="26">
        <f t="shared" ref="BJ66:BJ129" si="52">IFERROR(BE66/L66,0)</f>
        <v>1.7331717314158994E-2</v>
      </c>
      <c r="BK66" s="26">
        <f t="shared" ref="BK66:BK129" si="53">IFERROR(BG66/L66,0)</f>
        <v>0</v>
      </c>
      <c r="BL66" s="34">
        <f t="shared" si="27"/>
        <v>39053938.75759393</v>
      </c>
      <c r="BM66" s="35">
        <f t="shared" si="26"/>
        <v>7.1055599407033737E-3</v>
      </c>
    </row>
    <row r="67" spans="1:65" x14ac:dyDescent="0.35">
      <c r="A67" s="18">
        <v>66</v>
      </c>
      <c r="B67" t="s">
        <v>303</v>
      </c>
      <c r="C67" s="3" t="s">
        <v>178</v>
      </c>
      <c r="D67" s="17" t="s">
        <v>4</v>
      </c>
      <c r="E67" s="17" t="s">
        <v>13</v>
      </c>
      <c r="F67" s="2">
        <v>0</v>
      </c>
      <c r="G67" s="2">
        <v>0</v>
      </c>
      <c r="H67" s="2">
        <v>0</v>
      </c>
      <c r="I67" s="3" t="s">
        <v>152</v>
      </c>
      <c r="J67" s="2">
        <v>0</v>
      </c>
      <c r="K67" s="2" t="s">
        <v>152</v>
      </c>
      <c r="L67" s="4">
        <v>268782471380.39172</v>
      </c>
      <c r="M67" s="2">
        <v>8</v>
      </c>
      <c r="N67" s="4">
        <v>16330000000</v>
      </c>
      <c r="O67" s="2">
        <v>0</v>
      </c>
      <c r="P67" s="4">
        <v>0</v>
      </c>
      <c r="Q67" s="2">
        <v>8</v>
      </c>
      <c r="R67" s="4">
        <v>16330000000</v>
      </c>
      <c r="S67" s="5">
        <f t="shared" si="34"/>
        <v>6.0755449996920112E-2</v>
      </c>
      <c r="T67" s="15">
        <f t="shared" si="35"/>
        <v>0</v>
      </c>
      <c r="U67" s="5">
        <f t="shared" si="36"/>
        <v>6.0755449996920112E-2</v>
      </c>
      <c r="V67" s="26">
        <f t="shared" si="37"/>
        <v>1.216269560489487E-2</v>
      </c>
      <c r="W67" s="26">
        <f t="shared" si="38"/>
        <v>0</v>
      </c>
      <c r="X67" s="26">
        <f t="shared" si="39"/>
        <v>7.6207631963338199E-3</v>
      </c>
      <c r="Y67" s="26">
        <f t="shared" si="40"/>
        <v>960588235.29411769</v>
      </c>
      <c r="Z67" s="26">
        <f t="shared" si="41"/>
        <v>3.5738499998188302E-3</v>
      </c>
      <c r="AA67" s="2">
        <v>2</v>
      </c>
      <c r="AB67" s="2">
        <v>0</v>
      </c>
      <c r="AC67" s="4">
        <v>0</v>
      </c>
      <c r="AD67" s="2">
        <v>0</v>
      </c>
      <c r="AE67" s="4">
        <v>0</v>
      </c>
      <c r="AF67" s="2">
        <v>0</v>
      </c>
      <c r="AG67" s="4">
        <v>0</v>
      </c>
      <c r="AH67" s="28">
        <f t="shared" si="42"/>
        <v>0</v>
      </c>
      <c r="AI67" s="4">
        <f t="shared" si="29"/>
        <v>0</v>
      </c>
      <c r="AJ67" s="26">
        <f t="shared" ref="AJ67:AJ130" si="54">IFERROR(AI67/L67,"na")</f>
        <v>0</v>
      </c>
      <c r="AK67" s="26">
        <f t="shared" si="43"/>
        <v>0</v>
      </c>
      <c r="AL67" s="4">
        <v>5494261000</v>
      </c>
      <c r="AM67" s="4">
        <v>3842829000</v>
      </c>
      <c r="AN67" s="12">
        <f t="shared" si="44"/>
        <v>-1651432000</v>
      </c>
      <c r="AO67" s="12">
        <f t="shared" si="45"/>
        <v>9337090000</v>
      </c>
      <c r="AP67" s="8">
        <v>73719857000</v>
      </c>
      <c r="AQ67" s="8">
        <v>72839176000</v>
      </c>
      <c r="AR67" s="13">
        <f t="shared" si="46"/>
        <v>-880681000</v>
      </c>
      <c r="AS67" s="13">
        <f t="shared" si="47"/>
        <v>146559033000</v>
      </c>
      <c r="AT67" s="5">
        <f t="shared" si="30"/>
        <v>7.4528915594613804E-2</v>
      </c>
      <c r="AU67" s="5">
        <f t="shared" si="31"/>
        <v>5.2757722025850481E-2</v>
      </c>
      <c r="AV67" s="5">
        <f t="shared" si="48"/>
        <v>2.9504821139150011E-2</v>
      </c>
      <c r="AW67" s="5">
        <f t="shared" si="49"/>
        <v>3.5205861438171698E-2</v>
      </c>
      <c r="AX67" s="5">
        <f t="shared" si="32"/>
        <v>6.370873093847447E-2</v>
      </c>
      <c r="AY67" s="10">
        <f t="shared" si="33"/>
        <v>3.4738463234032013E-2</v>
      </c>
      <c r="AZ67" s="24" t="s">
        <v>152</v>
      </c>
      <c r="BA67" s="29" t="s">
        <v>152</v>
      </c>
      <c r="BB67" s="24" t="s">
        <v>152</v>
      </c>
      <c r="BC67" s="29" t="s">
        <v>152</v>
      </c>
      <c r="BD67" s="24" t="s">
        <v>152</v>
      </c>
      <c r="BE67" s="29" t="s">
        <v>152</v>
      </c>
      <c r="BF67" s="24" t="s">
        <v>152</v>
      </c>
      <c r="BG67" s="29" t="s">
        <v>152</v>
      </c>
      <c r="BH67" s="26">
        <f t="shared" si="50"/>
        <v>0</v>
      </c>
      <c r="BI67" s="26">
        <f t="shared" si="51"/>
        <v>0</v>
      </c>
      <c r="BJ67" s="26">
        <f t="shared" si="52"/>
        <v>0</v>
      </c>
      <c r="BK67" s="26">
        <f t="shared" si="53"/>
        <v>0</v>
      </c>
      <c r="BL67" s="34">
        <f t="shared" si="27"/>
        <v>0</v>
      </c>
      <c r="BM67" s="35">
        <f t="shared" ref="BM67:BM130" si="55">IFERROR(BL67/L67,0)</f>
        <v>0</v>
      </c>
    </row>
    <row r="68" spans="1:65" x14ac:dyDescent="0.35">
      <c r="A68" s="18">
        <v>67</v>
      </c>
      <c r="B68" t="s">
        <v>304</v>
      </c>
      <c r="C68" s="3" t="s">
        <v>167</v>
      </c>
      <c r="D68" s="17" t="s">
        <v>4</v>
      </c>
      <c r="E68" s="17" t="s">
        <v>13</v>
      </c>
      <c r="F68" s="2">
        <v>3</v>
      </c>
      <c r="G68" s="2">
        <v>0</v>
      </c>
      <c r="H68" s="2">
        <v>0</v>
      </c>
      <c r="I68" s="3" t="s">
        <v>152</v>
      </c>
      <c r="J68" s="2">
        <v>0</v>
      </c>
      <c r="K68" s="2" t="s">
        <v>152</v>
      </c>
      <c r="L68" s="4">
        <v>2728870246705.8779</v>
      </c>
      <c r="M68" s="2">
        <v>44</v>
      </c>
      <c r="N68" s="4">
        <v>33980000000</v>
      </c>
      <c r="O68" s="2">
        <v>0</v>
      </c>
      <c r="P68" s="4">
        <v>0</v>
      </c>
      <c r="Q68" s="2">
        <v>44</v>
      </c>
      <c r="R68" s="4">
        <v>33980000000</v>
      </c>
      <c r="S68" s="5">
        <f t="shared" si="34"/>
        <v>1.2452039462491314E-2</v>
      </c>
      <c r="T68" s="15">
        <f t="shared" si="35"/>
        <v>0</v>
      </c>
      <c r="U68" s="5">
        <f t="shared" si="36"/>
        <v>1.2452039462491314E-2</v>
      </c>
      <c r="V68" s="26">
        <f t="shared" si="37"/>
        <v>2.5308536231128456E-2</v>
      </c>
      <c r="W68" s="26">
        <f t="shared" si="38"/>
        <v>0</v>
      </c>
      <c r="X68" s="26">
        <f t="shared" si="39"/>
        <v>1.5857534195433141E-2</v>
      </c>
      <c r="Y68" s="26">
        <f t="shared" si="40"/>
        <v>1998823529.4117646</v>
      </c>
      <c r="Z68" s="26">
        <f t="shared" si="41"/>
        <v>7.3247290955831253E-4</v>
      </c>
      <c r="AA68" s="2">
        <v>2</v>
      </c>
      <c r="AB68" s="2">
        <v>0</v>
      </c>
      <c r="AC68" s="4">
        <v>0</v>
      </c>
      <c r="AD68" s="2">
        <v>0</v>
      </c>
      <c r="AE68" s="4">
        <v>0</v>
      </c>
      <c r="AF68" s="2">
        <v>0</v>
      </c>
      <c r="AG68" s="4">
        <v>0</v>
      </c>
      <c r="AH68" s="28">
        <f t="shared" si="42"/>
        <v>0</v>
      </c>
      <c r="AI68" s="4">
        <f t="shared" si="29"/>
        <v>0</v>
      </c>
      <c r="AJ68" s="26">
        <f t="shared" si="54"/>
        <v>0</v>
      </c>
      <c r="AK68" s="26">
        <f t="shared" si="43"/>
        <v>0</v>
      </c>
      <c r="AL68" s="4">
        <v>59613001000</v>
      </c>
      <c r="AM68" s="4">
        <v>23438669000</v>
      </c>
      <c r="AN68" s="12">
        <f t="shared" si="44"/>
        <v>-36174332000</v>
      </c>
      <c r="AO68" s="12">
        <f t="shared" si="45"/>
        <v>83051670000</v>
      </c>
      <c r="AP68" s="8">
        <v>643953084000</v>
      </c>
      <c r="AQ68" s="8">
        <v>556550374000</v>
      </c>
      <c r="AR68" s="13">
        <f t="shared" si="46"/>
        <v>-87402710000</v>
      </c>
      <c r="AS68" s="13">
        <f t="shared" si="47"/>
        <v>1200503458000</v>
      </c>
      <c r="AT68" s="5">
        <f t="shared" si="30"/>
        <v>9.2573515806005521E-2</v>
      </c>
      <c r="AU68" s="5">
        <f t="shared" si="31"/>
        <v>4.211419144603791E-2</v>
      </c>
      <c r="AV68" s="5">
        <f t="shared" si="48"/>
        <v>0.25772866821247414</v>
      </c>
      <c r="AW68" s="5">
        <f t="shared" si="49"/>
        <v>0.26900133178890762</v>
      </c>
      <c r="AX68" s="5">
        <f t="shared" si="32"/>
        <v>6.9180700352468288E-2</v>
      </c>
      <c r="AY68" s="10">
        <f t="shared" si="33"/>
        <v>3.0434451802996056E-2</v>
      </c>
      <c r="AZ68" s="24" t="s">
        <v>152</v>
      </c>
      <c r="BA68" s="29" t="s">
        <v>152</v>
      </c>
      <c r="BB68" s="24" t="s">
        <v>152</v>
      </c>
      <c r="BC68" s="29" t="s">
        <v>152</v>
      </c>
      <c r="BD68" s="24" t="s">
        <v>152</v>
      </c>
      <c r="BE68" s="29" t="s">
        <v>152</v>
      </c>
      <c r="BF68" s="24" t="s">
        <v>152</v>
      </c>
      <c r="BG68" s="29" t="s">
        <v>152</v>
      </c>
      <c r="BH68" s="26">
        <f t="shared" si="50"/>
        <v>0</v>
      </c>
      <c r="BI68" s="26">
        <f t="shared" si="51"/>
        <v>0</v>
      </c>
      <c r="BJ68" s="26">
        <f t="shared" si="52"/>
        <v>0</v>
      </c>
      <c r="BK68" s="26">
        <f t="shared" si="53"/>
        <v>0</v>
      </c>
      <c r="BL68" s="34">
        <f t="shared" si="27"/>
        <v>0</v>
      </c>
      <c r="BM68" s="35">
        <f t="shared" si="55"/>
        <v>0</v>
      </c>
    </row>
    <row r="69" spans="1:65" x14ac:dyDescent="0.35">
      <c r="A69" s="18">
        <v>68</v>
      </c>
      <c r="B69" t="s">
        <v>453</v>
      </c>
      <c r="C69" s="3" t="s">
        <v>446</v>
      </c>
      <c r="D69" s="17" t="s">
        <v>23</v>
      </c>
      <c r="E69" s="17" t="s">
        <v>13</v>
      </c>
      <c r="F69" s="2">
        <v>0</v>
      </c>
      <c r="G69" s="2">
        <v>0</v>
      </c>
      <c r="H69" s="2">
        <v>0</v>
      </c>
      <c r="I69" s="2" t="s">
        <v>152</v>
      </c>
      <c r="J69" s="2">
        <v>0</v>
      </c>
      <c r="K69" s="2" t="s">
        <v>152</v>
      </c>
      <c r="L69" s="20">
        <v>3447543137.9414983</v>
      </c>
      <c r="M69" s="2">
        <v>0</v>
      </c>
      <c r="N69" s="4">
        <v>0</v>
      </c>
      <c r="O69" s="2">
        <v>0</v>
      </c>
      <c r="P69" s="4">
        <v>0</v>
      </c>
      <c r="Q69" s="2">
        <v>0</v>
      </c>
      <c r="R69" s="4">
        <v>0</v>
      </c>
      <c r="S69" s="5">
        <f t="shared" si="34"/>
        <v>0</v>
      </c>
      <c r="T69" s="15">
        <f t="shared" si="35"/>
        <v>0</v>
      </c>
      <c r="U69" s="5">
        <f t="shared" si="36"/>
        <v>0</v>
      </c>
      <c r="V69" s="26">
        <f t="shared" si="37"/>
        <v>0</v>
      </c>
      <c r="W69" s="26">
        <f t="shared" si="38"/>
        <v>0</v>
      </c>
      <c r="X69" s="26">
        <f t="shared" si="39"/>
        <v>0</v>
      </c>
      <c r="Y69" s="26">
        <f t="shared" si="40"/>
        <v>0</v>
      </c>
      <c r="Z69" s="26">
        <f t="shared" si="41"/>
        <v>0</v>
      </c>
      <c r="AA69" s="2">
        <v>0</v>
      </c>
      <c r="AB69" s="18" t="s">
        <v>152</v>
      </c>
      <c r="AC69" s="4" t="s">
        <v>152</v>
      </c>
      <c r="AD69" s="18" t="s">
        <v>152</v>
      </c>
      <c r="AE69" s="4" t="s">
        <v>152</v>
      </c>
      <c r="AF69" s="2" t="s">
        <v>152</v>
      </c>
      <c r="AG69" s="4" t="s">
        <v>152</v>
      </c>
      <c r="AH69" s="28">
        <f t="shared" si="42"/>
        <v>0</v>
      </c>
      <c r="AI69" s="4" t="s">
        <v>152</v>
      </c>
      <c r="AJ69" s="26" t="str">
        <f t="shared" si="54"/>
        <v>na</v>
      </c>
      <c r="AK69" s="26" t="str">
        <f t="shared" si="43"/>
        <v>na</v>
      </c>
      <c r="AL69" s="21">
        <v>99339000</v>
      </c>
      <c r="AM69" s="21">
        <v>6805000</v>
      </c>
      <c r="AN69" s="12">
        <f t="shared" si="44"/>
        <v>-92534000</v>
      </c>
      <c r="AO69" s="12">
        <f t="shared" si="45"/>
        <v>106144000</v>
      </c>
      <c r="AP69" s="19">
        <v>1959833000</v>
      </c>
      <c r="AQ69" s="19">
        <v>183564000</v>
      </c>
      <c r="AR69" s="13">
        <f t="shared" si="46"/>
        <v>-1776269000</v>
      </c>
      <c r="AS69" s="13">
        <f t="shared" si="47"/>
        <v>2143397000</v>
      </c>
      <c r="AT69" s="5">
        <f t="shared" si="30"/>
        <v>5.0687482045664096E-2</v>
      </c>
      <c r="AU69" s="5">
        <f t="shared" si="31"/>
        <v>3.7071539081737159E-2</v>
      </c>
      <c r="AV69" s="5">
        <f t="shared" si="48"/>
        <v>7.8438190849452918E-4</v>
      </c>
      <c r="AW69" s="5">
        <f t="shared" si="49"/>
        <v>8.8723254489267561E-5</v>
      </c>
      <c r="AX69" s="5">
        <f t="shared" si="32"/>
        <v>4.9521390577667135E-2</v>
      </c>
      <c r="AY69" s="10">
        <f t="shared" si="33"/>
        <v>3.0788302206242377E-2</v>
      </c>
      <c r="AZ69" s="24">
        <v>2</v>
      </c>
      <c r="BA69" s="19">
        <v>4858309351.0989399</v>
      </c>
      <c r="BB69" s="17">
        <v>0</v>
      </c>
      <c r="BC69" s="19">
        <v>0</v>
      </c>
      <c r="BD69" s="17">
        <v>2</v>
      </c>
      <c r="BE69" s="19">
        <v>4858309351.0989399</v>
      </c>
      <c r="BF69" s="17">
        <v>0</v>
      </c>
      <c r="BG69" s="19">
        <v>0</v>
      </c>
      <c r="BH69" s="26">
        <f t="shared" si="50"/>
        <v>1.4092091546676917</v>
      </c>
      <c r="BI69" s="26">
        <f t="shared" si="51"/>
        <v>0</v>
      </c>
      <c r="BJ69" s="26">
        <f t="shared" si="52"/>
        <v>1.4092091546676917</v>
      </c>
      <c r="BK69" s="26">
        <f t="shared" si="53"/>
        <v>0</v>
      </c>
      <c r="BL69" s="34">
        <f t="shared" si="27"/>
        <v>285782903.00581998</v>
      </c>
      <c r="BM69" s="35">
        <f t="shared" si="55"/>
        <v>8.2894656156923027E-2</v>
      </c>
    </row>
    <row r="70" spans="1:65" x14ac:dyDescent="0.35">
      <c r="A70" s="18">
        <v>69</v>
      </c>
      <c r="B70" t="s">
        <v>305</v>
      </c>
      <c r="C70" s="3" t="s">
        <v>45</v>
      </c>
      <c r="D70" s="17" t="s">
        <v>9</v>
      </c>
      <c r="E70" s="17" t="s">
        <v>5</v>
      </c>
      <c r="F70" s="2">
        <v>0</v>
      </c>
      <c r="G70" s="2">
        <v>0</v>
      </c>
      <c r="H70" s="2">
        <v>1</v>
      </c>
      <c r="I70" s="18">
        <v>2018</v>
      </c>
      <c r="J70" s="2">
        <v>0</v>
      </c>
      <c r="K70" s="2" t="s">
        <v>152</v>
      </c>
      <c r="L70" s="4">
        <v>16874450215.135065</v>
      </c>
      <c r="M70" s="2">
        <v>5</v>
      </c>
      <c r="N70" s="4">
        <v>1520000000</v>
      </c>
      <c r="O70" s="2">
        <v>3</v>
      </c>
      <c r="P70" s="4">
        <v>440000000</v>
      </c>
      <c r="Q70" s="2">
        <v>8</v>
      </c>
      <c r="R70" s="4">
        <v>1960000000</v>
      </c>
      <c r="S70" s="5">
        <f t="shared" si="34"/>
        <v>9.0077008768954067E-2</v>
      </c>
      <c r="T70" s="5">
        <f t="shared" si="35"/>
        <v>2.6074923591013016E-2</v>
      </c>
      <c r="U70" s="5">
        <f t="shared" si="36"/>
        <v>0.11615193235996708</v>
      </c>
      <c r="V70" s="26">
        <f t="shared" si="37"/>
        <v>1.1321063882082183E-3</v>
      </c>
      <c r="W70" s="26">
        <f t="shared" si="38"/>
        <v>5.53361672158362E-4</v>
      </c>
      <c r="X70" s="26">
        <f t="shared" si="39"/>
        <v>9.1467825259119952E-4</v>
      </c>
      <c r="Y70" s="26">
        <f t="shared" si="40"/>
        <v>115294117.64705883</v>
      </c>
      <c r="Z70" s="26">
        <f t="shared" si="41"/>
        <v>6.8324666094098287E-3</v>
      </c>
      <c r="AA70" s="2">
        <v>0</v>
      </c>
      <c r="AB70" s="18" t="s">
        <v>152</v>
      </c>
      <c r="AC70" s="4" t="s">
        <v>152</v>
      </c>
      <c r="AD70" s="18" t="s">
        <v>152</v>
      </c>
      <c r="AE70" s="4" t="s">
        <v>152</v>
      </c>
      <c r="AF70" s="2" t="s">
        <v>152</v>
      </c>
      <c r="AG70" s="4" t="s">
        <v>152</v>
      </c>
      <c r="AH70" s="28">
        <f t="shared" si="42"/>
        <v>0</v>
      </c>
      <c r="AI70" s="4" t="str">
        <f t="shared" ref="AI70:AI77" si="56">IFERROR(AC70+AE70,"na")</f>
        <v>na</v>
      </c>
      <c r="AJ70" s="26" t="str">
        <f t="shared" si="54"/>
        <v>na</v>
      </c>
      <c r="AK70" s="26" t="str">
        <f t="shared" si="43"/>
        <v>na</v>
      </c>
      <c r="AL70" s="14">
        <v>377221000</v>
      </c>
      <c r="AM70" s="14">
        <v>4612508000</v>
      </c>
      <c r="AN70" s="12">
        <f t="shared" si="44"/>
        <v>4235287000</v>
      </c>
      <c r="AO70" s="12">
        <f t="shared" si="45"/>
        <v>4989729000</v>
      </c>
      <c r="AP70" s="8">
        <v>2321628000</v>
      </c>
      <c r="AQ70" s="8">
        <v>7301312000</v>
      </c>
      <c r="AR70" s="13">
        <f t="shared" si="46"/>
        <v>4979684000</v>
      </c>
      <c r="AS70" s="13">
        <f t="shared" si="47"/>
        <v>9622940000</v>
      </c>
      <c r="AT70" s="5">
        <f t="shared" si="30"/>
        <v>0.16248124161148986</v>
      </c>
      <c r="AU70" s="5">
        <f t="shared" si="31"/>
        <v>0.63173687140064694</v>
      </c>
      <c r="AV70" s="5">
        <f t="shared" si="48"/>
        <v>9.2918274233280934E-4</v>
      </c>
      <c r="AW70" s="5">
        <f t="shared" si="49"/>
        <v>3.5289934991694612E-3</v>
      </c>
      <c r="AX70" s="5">
        <f t="shared" si="32"/>
        <v>0.51852438028294889</v>
      </c>
      <c r="AY70" s="10">
        <f t="shared" si="33"/>
        <v>0.29569727821559499</v>
      </c>
      <c r="AZ70" s="24">
        <v>82</v>
      </c>
      <c r="BA70" s="19">
        <v>3574199027.2534776</v>
      </c>
      <c r="BB70" s="17">
        <v>62</v>
      </c>
      <c r="BC70" s="19">
        <v>1619657920.6404765</v>
      </c>
      <c r="BD70" s="17">
        <v>9</v>
      </c>
      <c r="BE70" s="19">
        <v>1485116670.8451018</v>
      </c>
      <c r="BF70" s="17">
        <v>11</v>
      </c>
      <c r="BG70" s="19">
        <v>469424435.76789874</v>
      </c>
      <c r="BH70" s="26">
        <f t="shared" si="50"/>
        <v>0.21181128757888065</v>
      </c>
      <c r="BI70" s="26">
        <f t="shared" si="51"/>
        <v>9.5982855736998746E-2</v>
      </c>
      <c r="BJ70" s="26">
        <f t="shared" si="52"/>
        <v>8.8009781172785587E-2</v>
      </c>
      <c r="BK70" s="26">
        <f t="shared" si="53"/>
        <v>2.7818650669096268E-2</v>
      </c>
      <c r="BL70" s="34">
        <f t="shared" ref="BL70:BL133" si="57">IFERROR(BA70/17,0)</f>
        <v>210247001.60314575</v>
      </c>
      <c r="BM70" s="35">
        <f t="shared" si="55"/>
        <v>1.2459487504640038E-2</v>
      </c>
    </row>
    <row r="71" spans="1:65" x14ac:dyDescent="0.35">
      <c r="A71" s="18">
        <v>70</v>
      </c>
      <c r="B71" t="s">
        <v>306</v>
      </c>
      <c r="C71" s="3" t="s">
        <v>144</v>
      </c>
      <c r="D71" s="17" t="s">
        <v>9</v>
      </c>
      <c r="E71" s="17" t="s">
        <v>2</v>
      </c>
      <c r="F71" s="2">
        <v>0</v>
      </c>
      <c r="G71" s="2">
        <v>0</v>
      </c>
      <c r="H71" s="2">
        <v>1</v>
      </c>
      <c r="I71" s="2">
        <v>2018</v>
      </c>
      <c r="J71" s="2">
        <v>1</v>
      </c>
      <c r="K71" s="2">
        <v>2013</v>
      </c>
      <c r="L71" s="4">
        <v>1826073739.8252184</v>
      </c>
      <c r="M71" s="2">
        <v>0</v>
      </c>
      <c r="N71" s="4">
        <v>0</v>
      </c>
      <c r="O71" s="2">
        <v>0</v>
      </c>
      <c r="P71" s="4">
        <v>0</v>
      </c>
      <c r="Q71" s="2">
        <v>0</v>
      </c>
      <c r="R71" s="4">
        <v>0</v>
      </c>
      <c r="S71" s="5">
        <f t="shared" si="34"/>
        <v>0</v>
      </c>
      <c r="T71" s="15">
        <f t="shared" si="35"/>
        <v>0</v>
      </c>
      <c r="U71" s="5">
        <f t="shared" si="36"/>
        <v>0</v>
      </c>
      <c r="V71" s="26">
        <f t="shared" si="37"/>
        <v>0</v>
      </c>
      <c r="W71" s="26">
        <f t="shared" si="38"/>
        <v>0</v>
      </c>
      <c r="X71" s="26">
        <f t="shared" si="39"/>
        <v>0</v>
      </c>
      <c r="Y71" s="26">
        <f t="shared" si="40"/>
        <v>0</v>
      </c>
      <c r="Z71" s="26">
        <f t="shared" si="41"/>
        <v>0</v>
      </c>
      <c r="AA71" s="2">
        <v>0</v>
      </c>
      <c r="AB71" s="18" t="s">
        <v>152</v>
      </c>
      <c r="AC71" s="4" t="s">
        <v>152</v>
      </c>
      <c r="AD71" s="18" t="s">
        <v>152</v>
      </c>
      <c r="AE71" s="4" t="s">
        <v>152</v>
      </c>
      <c r="AF71" s="2" t="s">
        <v>152</v>
      </c>
      <c r="AG71" s="4" t="s">
        <v>152</v>
      </c>
      <c r="AH71" s="28">
        <f t="shared" si="42"/>
        <v>0</v>
      </c>
      <c r="AI71" s="4" t="str">
        <f t="shared" si="56"/>
        <v>na</v>
      </c>
      <c r="AJ71" s="26" t="str">
        <f t="shared" si="54"/>
        <v>na</v>
      </c>
      <c r="AK71" s="26" t="str">
        <f t="shared" si="43"/>
        <v>na</v>
      </c>
      <c r="AL71" s="4">
        <v>52339000</v>
      </c>
      <c r="AM71" s="4">
        <v>3327000</v>
      </c>
      <c r="AN71" s="12">
        <f t="shared" si="44"/>
        <v>-49012000</v>
      </c>
      <c r="AO71" s="12">
        <f t="shared" si="45"/>
        <v>55666000</v>
      </c>
      <c r="AP71" s="8">
        <v>494032000</v>
      </c>
      <c r="AQ71" s="8">
        <v>24602000</v>
      </c>
      <c r="AR71" s="13">
        <f t="shared" si="46"/>
        <v>-469430000</v>
      </c>
      <c r="AS71" s="13">
        <f t="shared" si="47"/>
        <v>518634000</v>
      </c>
      <c r="AT71" s="5">
        <f t="shared" si="30"/>
        <v>0.10594253003854001</v>
      </c>
      <c r="AU71" s="5">
        <f t="shared" si="31"/>
        <v>0.13523290789366718</v>
      </c>
      <c r="AV71" s="5">
        <f t="shared" si="48"/>
        <v>1.9772590981852496E-4</v>
      </c>
      <c r="AW71" s="5">
        <f t="shared" si="49"/>
        <v>1.1891054384002093E-5</v>
      </c>
      <c r="AX71" s="5">
        <f t="shared" si="32"/>
        <v>0.1073319527836586</v>
      </c>
      <c r="AY71" s="10">
        <f t="shared" si="33"/>
        <v>3.0483982539132311E-2</v>
      </c>
      <c r="AZ71" s="24">
        <v>16</v>
      </c>
      <c r="BA71" s="19">
        <v>511411700.70763052</v>
      </c>
      <c r="BB71" s="17">
        <v>12</v>
      </c>
      <c r="BC71" s="19">
        <v>169333815.70763054</v>
      </c>
      <c r="BD71" s="17">
        <v>3</v>
      </c>
      <c r="BE71" s="19">
        <v>177077885</v>
      </c>
      <c r="BF71" s="17">
        <v>1</v>
      </c>
      <c r="BG71" s="19">
        <v>165000000</v>
      </c>
      <c r="BH71" s="26">
        <f t="shared" si="50"/>
        <v>0.28006081548304834</v>
      </c>
      <c r="BI71" s="26">
        <f t="shared" si="51"/>
        <v>9.2731094048720195E-2</v>
      </c>
      <c r="BJ71" s="26">
        <f t="shared" si="52"/>
        <v>9.6971924593225303E-2</v>
      </c>
      <c r="BK71" s="26">
        <f t="shared" si="53"/>
        <v>9.0357796841102858E-2</v>
      </c>
      <c r="BL71" s="34">
        <f t="shared" si="57"/>
        <v>30083041.218095914</v>
      </c>
      <c r="BM71" s="35">
        <f t="shared" si="55"/>
        <v>1.6474165616649904E-2</v>
      </c>
    </row>
    <row r="72" spans="1:65" x14ac:dyDescent="0.35">
      <c r="A72" s="18">
        <v>71</v>
      </c>
      <c r="B72" t="s">
        <v>307</v>
      </c>
      <c r="C72" s="3" t="s">
        <v>46</v>
      </c>
      <c r="D72" s="17" t="s">
        <v>4</v>
      </c>
      <c r="E72" s="17" t="s">
        <v>5</v>
      </c>
      <c r="F72" s="2">
        <v>0</v>
      </c>
      <c r="G72" s="2">
        <v>1</v>
      </c>
      <c r="H72" s="2">
        <v>1</v>
      </c>
      <c r="I72" s="2">
        <v>2016</v>
      </c>
      <c r="J72" s="2">
        <v>0</v>
      </c>
      <c r="K72" s="2" t="s">
        <v>152</v>
      </c>
      <c r="L72" s="4">
        <v>17477255562.258259</v>
      </c>
      <c r="M72" s="2">
        <v>6</v>
      </c>
      <c r="N72" s="4">
        <v>1040000000</v>
      </c>
      <c r="O72" s="2">
        <v>6</v>
      </c>
      <c r="P72" s="4">
        <v>1330000000</v>
      </c>
      <c r="Q72" s="2">
        <v>12</v>
      </c>
      <c r="R72" s="4">
        <v>2370000000</v>
      </c>
      <c r="S72" s="5">
        <f t="shared" si="34"/>
        <v>5.9505910198272588E-2</v>
      </c>
      <c r="T72" s="5">
        <f t="shared" si="35"/>
        <v>7.6098904388175515E-2</v>
      </c>
      <c r="U72" s="5">
        <f t="shared" si="36"/>
        <v>0.1356048145864481</v>
      </c>
      <c r="V72" s="26">
        <f t="shared" si="37"/>
        <v>7.7459910772141247E-4</v>
      </c>
      <c r="W72" s="26">
        <f t="shared" si="38"/>
        <v>1.6726614181150489E-3</v>
      </c>
      <c r="X72" s="26">
        <f t="shared" si="39"/>
        <v>1.1060140095107871E-3</v>
      </c>
      <c r="Y72" s="26">
        <f t="shared" si="40"/>
        <v>139411764.70588234</v>
      </c>
      <c r="Z72" s="26">
        <f t="shared" si="41"/>
        <v>7.9767537992028285E-3</v>
      </c>
      <c r="AA72" s="2">
        <v>1</v>
      </c>
      <c r="AB72" s="11">
        <v>4</v>
      </c>
      <c r="AC72" s="27">
        <v>364000000</v>
      </c>
      <c r="AD72" s="11">
        <v>1</v>
      </c>
      <c r="AE72" s="27">
        <v>100000000</v>
      </c>
      <c r="AF72" s="2">
        <v>0</v>
      </c>
      <c r="AG72" s="4">
        <v>0</v>
      </c>
      <c r="AH72" s="28">
        <f t="shared" si="42"/>
        <v>5</v>
      </c>
      <c r="AI72" s="4">
        <f t="shared" si="56"/>
        <v>464000000</v>
      </c>
      <c r="AJ72" s="26">
        <f t="shared" si="54"/>
        <v>2.6548790703844694E-2</v>
      </c>
      <c r="AK72" s="26">
        <f t="shared" si="43"/>
        <v>1.1640675430121704E-2</v>
      </c>
      <c r="AL72" s="4">
        <v>806568000</v>
      </c>
      <c r="AM72" s="4">
        <v>208386000</v>
      </c>
      <c r="AN72" s="12">
        <f t="shared" si="44"/>
        <v>-598182000</v>
      </c>
      <c r="AO72" s="12">
        <f t="shared" si="45"/>
        <v>1014954000</v>
      </c>
      <c r="AP72" s="8">
        <v>7398894000</v>
      </c>
      <c r="AQ72" s="8">
        <v>2699657000</v>
      </c>
      <c r="AR72" s="13">
        <f t="shared" si="46"/>
        <v>-4699237000</v>
      </c>
      <c r="AS72" s="13">
        <f t="shared" si="47"/>
        <v>10098551000</v>
      </c>
      <c r="AT72" s="5">
        <f t="shared" si="30"/>
        <v>0.1090119685455691</v>
      </c>
      <c r="AU72" s="5">
        <f t="shared" si="31"/>
        <v>7.7189805964239161E-2</v>
      </c>
      <c r="AV72" s="5">
        <f t="shared" si="48"/>
        <v>2.9612515946352172E-3</v>
      </c>
      <c r="AW72" s="5">
        <f t="shared" si="49"/>
        <v>1.3048438421734794E-3</v>
      </c>
      <c r="AX72" s="5">
        <f t="shared" si="32"/>
        <v>0.10050491402182353</v>
      </c>
      <c r="AY72" s="10">
        <f t="shared" si="33"/>
        <v>5.8072847672478417E-2</v>
      </c>
      <c r="AZ72" s="24">
        <v>43</v>
      </c>
      <c r="BA72" s="19">
        <v>452734039.2174657</v>
      </c>
      <c r="BB72" s="17">
        <v>28</v>
      </c>
      <c r="BC72" s="19">
        <v>97553120.836823016</v>
      </c>
      <c r="BD72" s="17">
        <v>12</v>
      </c>
      <c r="BE72" s="19">
        <v>310962176.45045644</v>
      </c>
      <c r="BF72" s="17">
        <v>3</v>
      </c>
      <c r="BG72" s="19">
        <v>44218741.930186108</v>
      </c>
      <c r="BH72" s="26">
        <f t="shared" si="50"/>
        <v>2.5904183732092051E-2</v>
      </c>
      <c r="BI72" s="26">
        <f t="shared" si="51"/>
        <v>5.5817185077665626E-3</v>
      </c>
      <c r="BJ72" s="26">
        <f t="shared" si="52"/>
        <v>1.7792391679731016E-2</v>
      </c>
      <c r="BK72" s="26">
        <f t="shared" si="53"/>
        <v>2.5300735445944666E-3</v>
      </c>
      <c r="BL72" s="34">
        <f t="shared" si="57"/>
        <v>26631414.071615629</v>
      </c>
      <c r="BM72" s="35">
        <f t="shared" si="55"/>
        <v>1.5237755136524736E-3</v>
      </c>
    </row>
    <row r="73" spans="1:65" x14ac:dyDescent="0.35">
      <c r="A73" s="18">
        <v>72</v>
      </c>
      <c r="B73" t="s">
        <v>308</v>
      </c>
      <c r="C73" s="3" t="s">
        <v>168</v>
      </c>
      <c r="D73" s="17" t="s">
        <v>4</v>
      </c>
      <c r="E73" s="17" t="s">
        <v>13</v>
      </c>
      <c r="F73" s="2">
        <v>2</v>
      </c>
      <c r="G73" s="2">
        <v>0</v>
      </c>
      <c r="H73" s="2">
        <v>0</v>
      </c>
      <c r="I73" s="3" t="s">
        <v>152</v>
      </c>
      <c r="J73" s="2">
        <v>0</v>
      </c>
      <c r="K73" s="2" t="s">
        <v>152</v>
      </c>
      <c r="L73" s="4">
        <v>3888326788627.4448</v>
      </c>
      <c r="M73" s="2">
        <v>72</v>
      </c>
      <c r="N73" s="4">
        <v>48190000000</v>
      </c>
      <c r="O73" s="2">
        <v>0</v>
      </c>
      <c r="P73" s="4">
        <v>0</v>
      </c>
      <c r="Q73" s="2">
        <v>72</v>
      </c>
      <c r="R73" s="4">
        <v>48190000000</v>
      </c>
      <c r="S73" s="5">
        <f t="shared" si="34"/>
        <v>1.2393505643853244E-2</v>
      </c>
      <c r="T73" s="15">
        <f t="shared" si="35"/>
        <v>0</v>
      </c>
      <c r="U73" s="5">
        <f t="shared" si="36"/>
        <v>1.2393505643853244E-2</v>
      </c>
      <c r="V73" s="26">
        <f t="shared" si="37"/>
        <v>3.5892241347206602E-2</v>
      </c>
      <c r="W73" s="26">
        <f t="shared" si="38"/>
        <v>0</v>
      </c>
      <c r="X73" s="26">
        <f t="shared" si="39"/>
        <v>2.2488951526719338E-2</v>
      </c>
      <c r="Y73" s="26">
        <f t="shared" si="40"/>
        <v>2834705882.352941</v>
      </c>
      <c r="Z73" s="26">
        <f t="shared" si="41"/>
        <v>7.2902974375607318E-4</v>
      </c>
      <c r="AA73" s="2">
        <v>2</v>
      </c>
      <c r="AB73" s="18">
        <v>0</v>
      </c>
      <c r="AC73" s="4">
        <v>0</v>
      </c>
      <c r="AD73" s="2">
        <v>0</v>
      </c>
      <c r="AE73" s="4">
        <v>0</v>
      </c>
      <c r="AF73" s="2">
        <v>0</v>
      </c>
      <c r="AG73" s="4">
        <v>0</v>
      </c>
      <c r="AH73" s="28">
        <f t="shared" si="42"/>
        <v>0</v>
      </c>
      <c r="AI73" s="4">
        <f t="shared" si="56"/>
        <v>0</v>
      </c>
      <c r="AJ73" s="26">
        <f t="shared" si="54"/>
        <v>0</v>
      </c>
      <c r="AK73" s="26">
        <f t="shared" si="43"/>
        <v>0</v>
      </c>
      <c r="AL73" s="4">
        <v>123165529000</v>
      </c>
      <c r="AM73" s="4">
        <v>107451431000</v>
      </c>
      <c r="AN73" s="12">
        <f t="shared" si="44"/>
        <v>-15714098000</v>
      </c>
      <c r="AO73" s="12">
        <f t="shared" si="45"/>
        <v>230616960000</v>
      </c>
      <c r="AP73" s="8">
        <v>1236217435000</v>
      </c>
      <c r="AQ73" s="8">
        <v>1486877250000</v>
      </c>
      <c r="AR73" s="13">
        <f t="shared" si="46"/>
        <v>250659815000</v>
      </c>
      <c r="AS73" s="13">
        <f t="shared" si="47"/>
        <v>2723094685000</v>
      </c>
      <c r="AT73" s="5">
        <f t="shared" si="30"/>
        <v>9.9630959338475919E-2</v>
      </c>
      <c r="AU73" s="5">
        <f t="shared" si="31"/>
        <v>7.2266510903976774E-2</v>
      </c>
      <c r="AV73" s="5">
        <f t="shared" si="48"/>
        <v>0.49477000896480033</v>
      </c>
      <c r="AW73" s="5">
        <f t="shared" si="49"/>
        <v>0.71866263889462145</v>
      </c>
      <c r="AX73" s="5">
        <f t="shared" si="32"/>
        <v>8.4689291661556754E-2</v>
      </c>
      <c r="AY73" s="10">
        <f t="shared" si="33"/>
        <v>5.9310076682471013E-2</v>
      </c>
      <c r="AZ73" s="24" t="s">
        <v>152</v>
      </c>
      <c r="BA73" s="29" t="s">
        <v>152</v>
      </c>
      <c r="BB73" s="24" t="s">
        <v>152</v>
      </c>
      <c r="BC73" s="29" t="s">
        <v>152</v>
      </c>
      <c r="BD73" s="24" t="s">
        <v>152</v>
      </c>
      <c r="BE73" s="29" t="s">
        <v>152</v>
      </c>
      <c r="BF73" s="24" t="s">
        <v>152</v>
      </c>
      <c r="BG73" s="29" t="s">
        <v>152</v>
      </c>
      <c r="BH73" s="26">
        <f t="shared" si="50"/>
        <v>0</v>
      </c>
      <c r="BI73" s="26">
        <f t="shared" si="51"/>
        <v>0</v>
      </c>
      <c r="BJ73" s="26">
        <f t="shared" si="52"/>
        <v>0</v>
      </c>
      <c r="BK73" s="26">
        <f t="shared" si="53"/>
        <v>0</v>
      </c>
      <c r="BL73" s="34">
        <f t="shared" si="57"/>
        <v>0</v>
      </c>
      <c r="BM73" s="35">
        <f t="shared" si="55"/>
        <v>0</v>
      </c>
    </row>
    <row r="74" spans="1:65" x14ac:dyDescent="0.35">
      <c r="A74" s="18">
        <v>73</v>
      </c>
      <c r="B74" t="s">
        <v>309</v>
      </c>
      <c r="C74" s="3" t="s">
        <v>47</v>
      </c>
      <c r="D74" s="17" t="s">
        <v>9</v>
      </c>
      <c r="E74" s="17" t="s">
        <v>10</v>
      </c>
      <c r="F74" s="2">
        <v>0</v>
      </c>
      <c r="G74" s="2">
        <v>0</v>
      </c>
      <c r="H74" s="2">
        <v>1</v>
      </c>
      <c r="I74" s="2">
        <v>2018</v>
      </c>
      <c r="J74" s="2">
        <v>0</v>
      </c>
      <c r="K74" s="2" t="s">
        <v>152</v>
      </c>
      <c r="L74" s="4">
        <v>67234292582.760582</v>
      </c>
      <c r="M74" s="2">
        <v>12</v>
      </c>
      <c r="N74" s="4">
        <v>4550000000</v>
      </c>
      <c r="O74" s="2">
        <v>19</v>
      </c>
      <c r="P74" s="4">
        <v>7970000000</v>
      </c>
      <c r="Q74" s="2">
        <v>31</v>
      </c>
      <c r="R74" s="4">
        <v>12520000000</v>
      </c>
      <c r="S74" s="5">
        <f t="shared" si="34"/>
        <v>6.7673798967978691E-2</v>
      </c>
      <c r="T74" s="5">
        <f t="shared" si="35"/>
        <v>0.11854069841204179</v>
      </c>
      <c r="U74" s="5">
        <f t="shared" si="36"/>
        <v>0.18621449738002047</v>
      </c>
      <c r="V74" s="26">
        <f t="shared" si="37"/>
        <v>3.3888710962811795E-3</v>
      </c>
      <c r="W74" s="26">
        <f t="shared" si="38"/>
        <v>1.0023392107050331E-2</v>
      </c>
      <c r="X74" s="26">
        <f t="shared" si="39"/>
        <v>5.8427406747152133E-3</v>
      </c>
      <c r="Y74" s="26">
        <f t="shared" si="40"/>
        <v>736470588.2352941</v>
      </c>
      <c r="Z74" s="26">
        <f t="shared" si="41"/>
        <v>1.0953793963530616E-2</v>
      </c>
      <c r="AA74" s="2">
        <v>2</v>
      </c>
      <c r="AB74" s="2">
        <v>0</v>
      </c>
      <c r="AC74" s="4">
        <v>0</v>
      </c>
      <c r="AD74" s="2">
        <v>0</v>
      </c>
      <c r="AE74" s="4">
        <v>0</v>
      </c>
      <c r="AF74" s="2">
        <v>0</v>
      </c>
      <c r="AG74" s="4">
        <v>0</v>
      </c>
      <c r="AH74" s="28">
        <f t="shared" si="42"/>
        <v>0</v>
      </c>
      <c r="AI74" s="4">
        <f t="shared" si="56"/>
        <v>0</v>
      </c>
      <c r="AJ74" s="26">
        <f t="shared" si="54"/>
        <v>0</v>
      </c>
      <c r="AK74" s="26">
        <f t="shared" si="43"/>
        <v>0</v>
      </c>
      <c r="AL74" s="4">
        <v>1895911</v>
      </c>
      <c r="AM74" s="4">
        <v>2808597</v>
      </c>
      <c r="AN74" s="12">
        <f t="shared" si="44"/>
        <v>912686</v>
      </c>
      <c r="AO74" s="12">
        <f t="shared" si="45"/>
        <v>4704508</v>
      </c>
      <c r="AP74" s="8">
        <v>10439795000</v>
      </c>
      <c r="AQ74" s="8">
        <v>16768275000</v>
      </c>
      <c r="AR74" s="13">
        <f t="shared" si="46"/>
        <v>6328480000</v>
      </c>
      <c r="AS74" s="13">
        <f t="shared" si="47"/>
        <v>27208070000</v>
      </c>
      <c r="AT74" s="5">
        <f t="shared" ref="AT74:AT105" si="58">IFERROR(AL74/AP74,"na")</f>
        <v>1.8160423648165506E-4</v>
      </c>
      <c r="AU74" s="5">
        <f t="shared" ref="AU74:AU105" si="59">IFERROR(AM74/AQ74,"na")</f>
        <v>1.6749468863076257E-4</v>
      </c>
      <c r="AV74" s="5">
        <f t="shared" si="48"/>
        <v>4.1783082162570187E-3</v>
      </c>
      <c r="AW74" s="5">
        <f t="shared" si="49"/>
        <v>8.1047260365377898E-3</v>
      </c>
      <c r="AX74" s="5">
        <f t="shared" ref="AX74:AX105" si="60">IFERROR(AO74/AS74,"na")</f>
        <v>1.7290855249931363E-4</v>
      </c>
      <c r="AY74" s="10">
        <f t="shared" ref="AY74:AY105" si="61">IFERROR(AO74/L74,"na")</f>
        <v>6.9971852447307131E-5</v>
      </c>
      <c r="AZ74" s="24">
        <v>156</v>
      </c>
      <c r="BA74" s="19">
        <v>33441115748.742939</v>
      </c>
      <c r="BB74" s="17">
        <v>118</v>
      </c>
      <c r="BC74" s="19">
        <v>5949626326.3930635</v>
      </c>
      <c r="BD74" s="17">
        <v>27</v>
      </c>
      <c r="BE74" s="19">
        <v>12773336941.599604</v>
      </c>
      <c r="BF74" s="17">
        <v>11</v>
      </c>
      <c r="BG74" s="19">
        <v>14718152480.750273</v>
      </c>
      <c r="BH74" s="26">
        <f t="shared" si="50"/>
        <v>0.49738183394402979</v>
      </c>
      <c r="BI74" s="26">
        <f t="shared" si="51"/>
        <v>8.8490948559762139E-2</v>
      </c>
      <c r="BJ74" s="26">
        <f t="shared" si="52"/>
        <v>0.18998246952441039</v>
      </c>
      <c r="BK74" s="26">
        <f t="shared" si="53"/>
        <v>0.21890841585985729</v>
      </c>
      <c r="BL74" s="34">
        <f t="shared" si="57"/>
        <v>1967124455.8084083</v>
      </c>
      <c r="BM74" s="35">
        <f t="shared" si="55"/>
        <v>2.9257754937884108E-2</v>
      </c>
    </row>
    <row r="75" spans="1:65" x14ac:dyDescent="0.35">
      <c r="A75" s="18">
        <v>74</v>
      </c>
      <c r="B75" t="s">
        <v>310</v>
      </c>
      <c r="C75" s="3" t="s">
        <v>48</v>
      </c>
      <c r="D75" s="17" t="s">
        <v>4</v>
      </c>
      <c r="E75" s="17" t="s">
        <v>13</v>
      </c>
      <c r="F75" s="2">
        <v>3</v>
      </c>
      <c r="G75" s="2">
        <v>0</v>
      </c>
      <c r="H75" s="18">
        <v>1</v>
      </c>
      <c r="I75" s="18">
        <v>2018</v>
      </c>
      <c r="J75" s="18">
        <v>0</v>
      </c>
      <c r="K75" s="18" t="s">
        <v>152</v>
      </c>
      <c r="L75" s="4">
        <v>205326724570.22711</v>
      </c>
      <c r="M75" s="2">
        <v>3</v>
      </c>
      <c r="N75" s="4">
        <v>6040000000</v>
      </c>
      <c r="O75" s="18">
        <v>8</v>
      </c>
      <c r="P75" s="4">
        <v>4500000000</v>
      </c>
      <c r="Q75" s="2">
        <v>11</v>
      </c>
      <c r="R75" s="4">
        <v>10540000000</v>
      </c>
      <c r="S75" s="5">
        <f t="shared" si="34"/>
        <v>2.9416531202367483E-2</v>
      </c>
      <c r="T75" s="5">
        <f t="shared" si="35"/>
        <v>2.1916289803088358E-2</v>
      </c>
      <c r="U75" s="5">
        <f t="shared" si="36"/>
        <v>5.1332821005455838E-2</v>
      </c>
      <c r="V75" s="26">
        <f t="shared" si="37"/>
        <v>4.4986332794589726E-3</v>
      </c>
      <c r="W75" s="26">
        <f t="shared" si="38"/>
        <v>5.6593807379832486E-3</v>
      </c>
      <c r="X75" s="26">
        <f t="shared" si="39"/>
        <v>4.9187289705669608E-3</v>
      </c>
      <c r="Y75" s="26">
        <f t="shared" si="40"/>
        <v>620000000</v>
      </c>
      <c r="Z75" s="26">
        <f t="shared" si="41"/>
        <v>3.0195777062032845E-3</v>
      </c>
      <c r="AA75" s="2">
        <v>2</v>
      </c>
      <c r="AB75" s="18">
        <v>0</v>
      </c>
      <c r="AC75" s="4">
        <v>0</v>
      </c>
      <c r="AD75" s="18">
        <v>0</v>
      </c>
      <c r="AE75" s="4">
        <v>0</v>
      </c>
      <c r="AF75" s="2">
        <v>0</v>
      </c>
      <c r="AG75" s="4">
        <v>0</v>
      </c>
      <c r="AH75" s="28">
        <f t="shared" si="42"/>
        <v>0</v>
      </c>
      <c r="AI75" s="4">
        <f t="shared" si="56"/>
        <v>0</v>
      </c>
      <c r="AJ75" s="26">
        <f t="shared" si="54"/>
        <v>0</v>
      </c>
      <c r="AK75" s="26">
        <f t="shared" si="43"/>
        <v>0</v>
      </c>
      <c r="AL75" s="4">
        <v>4546496000</v>
      </c>
      <c r="AM75" s="4">
        <v>999093000</v>
      </c>
      <c r="AN75" s="12">
        <f t="shared" si="44"/>
        <v>-3547403000</v>
      </c>
      <c r="AO75" s="12">
        <f t="shared" si="45"/>
        <v>5545589000</v>
      </c>
      <c r="AP75" s="8">
        <v>62198045000</v>
      </c>
      <c r="AQ75" s="8">
        <v>37885527000</v>
      </c>
      <c r="AR75" s="13">
        <f t="shared" si="46"/>
        <v>-24312518000</v>
      </c>
      <c r="AS75" s="13">
        <f t="shared" si="47"/>
        <v>100083572000</v>
      </c>
      <c r="AT75" s="5">
        <f t="shared" si="58"/>
        <v>7.3097088501736671E-2</v>
      </c>
      <c r="AU75" s="5">
        <f t="shared" si="59"/>
        <v>2.6371363396898242E-2</v>
      </c>
      <c r="AV75" s="5">
        <f t="shared" si="48"/>
        <v>2.4893458392489874E-2</v>
      </c>
      <c r="AW75" s="5">
        <f t="shared" si="49"/>
        <v>1.8311473129159404E-2</v>
      </c>
      <c r="AX75" s="5">
        <f t="shared" si="60"/>
        <v>5.5409583103208988E-2</v>
      </c>
      <c r="AY75" s="10">
        <f t="shared" si="61"/>
        <v>2.7008607922848656E-2</v>
      </c>
      <c r="AZ75" s="24" t="s">
        <v>152</v>
      </c>
      <c r="BA75" s="29" t="s">
        <v>152</v>
      </c>
      <c r="BB75" s="24" t="s">
        <v>152</v>
      </c>
      <c r="BC75" s="29" t="s">
        <v>152</v>
      </c>
      <c r="BD75" s="24" t="s">
        <v>152</v>
      </c>
      <c r="BE75" s="29" t="s">
        <v>152</v>
      </c>
      <c r="BF75" s="24" t="s">
        <v>152</v>
      </c>
      <c r="BG75" s="29" t="s">
        <v>152</v>
      </c>
      <c r="BH75" s="26">
        <f t="shared" si="50"/>
        <v>0</v>
      </c>
      <c r="BI75" s="26">
        <f t="shared" si="51"/>
        <v>0</v>
      </c>
      <c r="BJ75" s="26">
        <f t="shared" si="52"/>
        <v>0</v>
      </c>
      <c r="BK75" s="26">
        <f t="shared" si="53"/>
        <v>0</v>
      </c>
      <c r="BL75" s="34">
        <f t="shared" si="57"/>
        <v>0</v>
      </c>
      <c r="BM75" s="35">
        <f t="shared" si="55"/>
        <v>0</v>
      </c>
    </row>
    <row r="76" spans="1:65" x14ac:dyDescent="0.35">
      <c r="A76" s="18">
        <v>75</v>
      </c>
      <c r="B76" t="s">
        <v>311</v>
      </c>
      <c r="C76" s="3" t="s">
        <v>197</v>
      </c>
      <c r="D76" s="17" t="s">
        <v>4</v>
      </c>
      <c r="E76" s="17" t="s">
        <v>13</v>
      </c>
      <c r="F76" s="2">
        <v>0</v>
      </c>
      <c r="G76" s="2">
        <v>0</v>
      </c>
      <c r="H76" s="2">
        <v>0</v>
      </c>
      <c r="I76" s="3" t="s">
        <v>152</v>
      </c>
      <c r="J76" s="2">
        <v>0</v>
      </c>
      <c r="K76" s="2" t="s">
        <v>152</v>
      </c>
      <c r="L76" s="4" t="s">
        <v>152</v>
      </c>
      <c r="M76" s="2">
        <v>0</v>
      </c>
      <c r="N76" s="4">
        <v>0</v>
      </c>
      <c r="O76" s="2">
        <v>0</v>
      </c>
      <c r="P76" s="4">
        <v>0</v>
      </c>
      <c r="Q76" s="2">
        <v>0</v>
      </c>
      <c r="R76" s="4">
        <v>0</v>
      </c>
      <c r="S76" s="5">
        <f t="shared" si="34"/>
        <v>0</v>
      </c>
      <c r="T76" s="15">
        <f t="shared" si="35"/>
        <v>0</v>
      </c>
      <c r="U76" s="5">
        <f t="shared" si="36"/>
        <v>0</v>
      </c>
      <c r="V76" s="26">
        <f t="shared" si="37"/>
        <v>0</v>
      </c>
      <c r="W76" s="26">
        <f t="shared" si="38"/>
        <v>0</v>
      </c>
      <c r="X76" s="26">
        <f t="shared" si="39"/>
        <v>0</v>
      </c>
      <c r="Y76" s="26">
        <f t="shared" si="40"/>
        <v>0</v>
      </c>
      <c r="Z76" s="26">
        <f t="shared" si="41"/>
        <v>0</v>
      </c>
      <c r="AA76" s="2">
        <v>0</v>
      </c>
      <c r="AB76" s="18" t="s">
        <v>152</v>
      </c>
      <c r="AC76" s="4" t="s">
        <v>152</v>
      </c>
      <c r="AD76" s="18" t="s">
        <v>152</v>
      </c>
      <c r="AE76" s="4" t="s">
        <v>152</v>
      </c>
      <c r="AF76" s="2" t="s">
        <v>152</v>
      </c>
      <c r="AG76" s="4" t="s">
        <v>152</v>
      </c>
      <c r="AH76" s="28">
        <f t="shared" si="42"/>
        <v>0</v>
      </c>
      <c r="AI76" s="4" t="str">
        <f t="shared" si="56"/>
        <v>na</v>
      </c>
      <c r="AJ76" s="26" t="str">
        <f t="shared" si="54"/>
        <v>na</v>
      </c>
      <c r="AK76" s="26" t="str">
        <f t="shared" si="43"/>
        <v>na</v>
      </c>
      <c r="AL76" s="14">
        <v>809000</v>
      </c>
      <c r="AM76" s="14">
        <v>273714000</v>
      </c>
      <c r="AN76" s="12">
        <f t="shared" si="44"/>
        <v>272905000</v>
      </c>
      <c r="AO76" s="12">
        <f t="shared" si="45"/>
        <v>274523000</v>
      </c>
      <c r="AP76" s="8">
        <v>1015021000</v>
      </c>
      <c r="AQ76" s="8">
        <v>1294505000</v>
      </c>
      <c r="AR76" s="13">
        <f t="shared" si="46"/>
        <v>279484000</v>
      </c>
      <c r="AS76" s="13">
        <f t="shared" si="47"/>
        <v>2309526000</v>
      </c>
      <c r="AT76" s="5">
        <f t="shared" si="58"/>
        <v>7.9702784474409885E-4</v>
      </c>
      <c r="AU76" s="5">
        <f t="shared" si="59"/>
        <v>0.2114429839977443</v>
      </c>
      <c r="AV76" s="5">
        <f t="shared" si="48"/>
        <v>4.0624079150724856E-4</v>
      </c>
      <c r="AW76" s="5">
        <f t="shared" si="49"/>
        <v>6.2568203216659742E-4</v>
      </c>
      <c r="AX76" s="5">
        <f t="shared" si="60"/>
        <v>0.11886551612755171</v>
      </c>
      <c r="AY76" s="10" t="str">
        <f t="shared" si="61"/>
        <v>na</v>
      </c>
      <c r="AZ76" s="24" t="s">
        <v>152</v>
      </c>
      <c r="BA76" s="29" t="s">
        <v>152</v>
      </c>
      <c r="BB76" s="24" t="s">
        <v>152</v>
      </c>
      <c r="BC76" s="29" t="s">
        <v>152</v>
      </c>
      <c r="BD76" s="24" t="s">
        <v>152</v>
      </c>
      <c r="BE76" s="29" t="s">
        <v>152</v>
      </c>
      <c r="BF76" s="24" t="s">
        <v>152</v>
      </c>
      <c r="BG76" s="29" t="s">
        <v>152</v>
      </c>
      <c r="BH76" s="26">
        <f t="shared" si="50"/>
        <v>0</v>
      </c>
      <c r="BI76" s="26">
        <f t="shared" si="51"/>
        <v>0</v>
      </c>
      <c r="BJ76" s="26">
        <f t="shared" si="52"/>
        <v>0</v>
      </c>
      <c r="BK76" s="26">
        <f t="shared" si="53"/>
        <v>0</v>
      </c>
      <c r="BL76" s="34">
        <f t="shared" si="57"/>
        <v>0</v>
      </c>
      <c r="BM76" s="35">
        <f t="shared" si="55"/>
        <v>0</v>
      </c>
    </row>
    <row r="77" spans="1:65" x14ac:dyDescent="0.35">
      <c r="A77" s="18">
        <v>76</v>
      </c>
      <c r="B77" t="s">
        <v>312</v>
      </c>
      <c r="C77" s="3" t="s">
        <v>49</v>
      </c>
      <c r="D77" s="17" t="s">
        <v>12</v>
      </c>
      <c r="E77" s="17" t="s">
        <v>5</v>
      </c>
      <c r="F77" s="2">
        <v>0</v>
      </c>
      <c r="G77" s="2">
        <v>0</v>
      </c>
      <c r="H77" s="2">
        <v>1</v>
      </c>
      <c r="I77" s="18">
        <v>2018</v>
      </c>
      <c r="J77" s="2">
        <v>1</v>
      </c>
      <c r="K77" s="2">
        <v>2005</v>
      </c>
      <c r="L77" s="4">
        <v>1211403703.7037036</v>
      </c>
      <c r="M77" s="2">
        <v>0</v>
      </c>
      <c r="N77" s="4">
        <v>0</v>
      </c>
      <c r="O77" s="2">
        <v>0</v>
      </c>
      <c r="P77" s="4">
        <v>0</v>
      </c>
      <c r="Q77" s="2">
        <v>0</v>
      </c>
      <c r="R77" s="4">
        <v>0</v>
      </c>
      <c r="S77" s="5">
        <f t="shared" si="34"/>
        <v>0</v>
      </c>
      <c r="T77" s="15">
        <f t="shared" si="35"/>
        <v>0</v>
      </c>
      <c r="U77" s="5">
        <f t="shared" si="36"/>
        <v>0</v>
      </c>
      <c r="V77" s="26">
        <f t="shared" si="37"/>
        <v>0</v>
      </c>
      <c r="W77" s="26">
        <f t="shared" si="38"/>
        <v>0</v>
      </c>
      <c r="X77" s="26">
        <f t="shared" si="39"/>
        <v>0</v>
      </c>
      <c r="Y77" s="26">
        <f t="shared" si="40"/>
        <v>0</v>
      </c>
      <c r="Z77" s="26">
        <f t="shared" si="41"/>
        <v>0</v>
      </c>
      <c r="AA77" s="2">
        <v>0</v>
      </c>
      <c r="AB77" s="18" t="s">
        <v>152</v>
      </c>
      <c r="AC77" s="4" t="s">
        <v>152</v>
      </c>
      <c r="AD77" s="18" t="s">
        <v>152</v>
      </c>
      <c r="AE77" s="4" t="s">
        <v>152</v>
      </c>
      <c r="AF77" s="2" t="s">
        <v>152</v>
      </c>
      <c r="AG77" s="4" t="s">
        <v>152</v>
      </c>
      <c r="AH77" s="28">
        <f t="shared" si="42"/>
        <v>0</v>
      </c>
      <c r="AI77" s="4" t="str">
        <f t="shared" si="56"/>
        <v>na</v>
      </c>
      <c r="AJ77" s="26" t="str">
        <f t="shared" si="54"/>
        <v>na</v>
      </c>
      <c r="AK77" s="26" t="str">
        <f t="shared" si="43"/>
        <v>na</v>
      </c>
      <c r="AL77" s="4">
        <v>15187000</v>
      </c>
      <c r="AM77" s="4">
        <v>17000</v>
      </c>
      <c r="AN77" s="12">
        <f t="shared" si="44"/>
        <v>-15170000</v>
      </c>
      <c r="AO77" s="12">
        <f t="shared" si="45"/>
        <v>15204000</v>
      </c>
      <c r="AP77" s="8">
        <v>479835000</v>
      </c>
      <c r="AQ77" s="8">
        <v>34481000</v>
      </c>
      <c r="AR77" s="13">
        <f t="shared" si="46"/>
        <v>-445354000</v>
      </c>
      <c r="AS77" s="13">
        <f t="shared" si="47"/>
        <v>514316000</v>
      </c>
      <c r="AT77" s="5">
        <f t="shared" si="58"/>
        <v>3.1650463180051477E-2</v>
      </c>
      <c r="AU77" s="5">
        <f t="shared" si="59"/>
        <v>4.9302514428235843E-4</v>
      </c>
      <c r="AV77" s="5">
        <f t="shared" si="48"/>
        <v>1.9204385938111686E-4</v>
      </c>
      <c r="AW77" s="5">
        <f t="shared" si="49"/>
        <v>1.6665939607136665E-5</v>
      </c>
      <c r="AX77" s="5">
        <f t="shared" si="60"/>
        <v>2.9561592483998166E-2</v>
      </c>
      <c r="AY77" s="10">
        <f t="shared" si="61"/>
        <v>1.2550729334503286E-2</v>
      </c>
      <c r="AZ77" s="24">
        <v>93</v>
      </c>
      <c r="BA77" s="19">
        <v>534861952.30882555</v>
      </c>
      <c r="BB77" s="17">
        <v>86</v>
      </c>
      <c r="BC77" s="19">
        <v>521107985.90035743</v>
      </c>
      <c r="BD77" s="17">
        <v>6</v>
      </c>
      <c r="BE77" s="19">
        <v>5096676.5237709163</v>
      </c>
      <c r="BF77" s="17">
        <v>1</v>
      </c>
      <c r="BG77" s="19">
        <v>8657289.8846972194</v>
      </c>
      <c r="BH77" s="26">
        <f t="shared" si="50"/>
        <v>0.44152246742647161</v>
      </c>
      <c r="BI77" s="26">
        <f t="shared" si="51"/>
        <v>0.43016872435435022</v>
      </c>
      <c r="BJ77" s="26">
        <f t="shared" si="52"/>
        <v>4.2072485895399813E-3</v>
      </c>
      <c r="BK77" s="26">
        <f t="shared" si="53"/>
        <v>7.1464944825814234E-3</v>
      </c>
      <c r="BL77" s="34">
        <f t="shared" si="57"/>
        <v>31462467.782872092</v>
      </c>
      <c r="BM77" s="35">
        <f t="shared" si="55"/>
        <v>2.5971909848615977E-2</v>
      </c>
    </row>
    <row r="78" spans="1:65" x14ac:dyDescent="0.35">
      <c r="A78" s="18">
        <v>77</v>
      </c>
      <c r="B78" t="s">
        <v>454</v>
      </c>
      <c r="C78" s="3" t="s">
        <v>447</v>
      </c>
      <c r="D78" s="17" t="s">
        <v>23</v>
      </c>
      <c r="E78" s="17" t="s">
        <v>13</v>
      </c>
      <c r="F78" s="2">
        <v>0</v>
      </c>
      <c r="G78" s="2">
        <v>0</v>
      </c>
      <c r="H78" s="2">
        <v>0</v>
      </c>
      <c r="I78" s="2" t="s">
        <v>152</v>
      </c>
      <c r="J78" s="2">
        <v>0</v>
      </c>
      <c r="K78" s="2" t="s">
        <v>152</v>
      </c>
      <c r="L78" s="19">
        <v>6311000000</v>
      </c>
      <c r="M78" s="2">
        <v>0</v>
      </c>
      <c r="N78" s="4">
        <v>0</v>
      </c>
      <c r="O78" s="2">
        <v>0</v>
      </c>
      <c r="P78" s="4">
        <v>0</v>
      </c>
      <c r="Q78" s="2">
        <v>0</v>
      </c>
      <c r="R78" s="4">
        <v>0</v>
      </c>
      <c r="S78" s="5">
        <f t="shared" si="34"/>
        <v>0</v>
      </c>
      <c r="T78" s="15">
        <f t="shared" si="35"/>
        <v>0</v>
      </c>
      <c r="U78" s="5">
        <f t="shared" si="36"/>
        <v>0</v>
      </c>
      <c r="V78" s="26">
        <f t="shared" si="37"/>
        <v>0</v>
      </c>
      <c r="W78" s="26">
        <f t="shared" si="38"/>
        <v>0</v>
      </c>
      <c r="X78" s="26">
        <f t="shared" si="39"/>
        <v>0</v>
      </c>
      <c r="Y78" s="26">
        <f t="shared" si="40"/>
        <v>0</v>
      </c>
      <c r="Z78" s="26">
        <f t="shared" si="41"/>
        <v>0</v>
      </c>
      <c r="AA78" s="2">
        <v>0</v>
      </c>
      <c r="AB78" s="2" t="s">
        <v>152</v>
      </c>
      <c r="AC78" s="4" t="s">
        <v>152</v>
      </c>
      <c r="AD78" s="2" t="s">
        <v>152</v>
      </c>
      <c r="AE78" s="4" t="s">
        <v>152</v>
      </c>
      <c r="AF78" s="2" t="s">
        <v>152</v>
      </c>
      <c r="AG78" s="4" t="s">
        <v>152</v>
      </c>
      <c r="AH78" s="28">
        <f t="shared" si="42"/>
        <v>0</v>
      </c>
      <c r="AI78" s="4" t="s">
        <v>152</v>
      </c>
      <c r="AJ78" s="26" t="str">
        <f t="shared" si="54"/>
        <v>na</v>
      </c>
      <c r="AK78" s="26" t="str">
        <f t="shared" si="43"/>
        <v>na</v>
      </c>
      <c r="AL78" s="18" t="s">
        <v>152</v>
      </c>
      <c r="AM78" s="18" t="s">
        <v>152</v>
      </c>
      <c r="AN78" s="12" t="str">
        <f t="shared" si="44"/>
        <v>na</v>
      </c>
      <c r="AO78" s="12" t="str">
        <f t="shared" si="45"/>
        <v>na</v>
      </c>
      <c r="AP78" s="19">
        <v>0</v>
      </c>
      <c r="AQ78" s="19">
        <v>717000</v>
      </c>
      <c r="AR78" s="13">
        <f t="shared" si="46"/>
        <v>717000</v>
      </c>
      <c r="AS78" s="13">
        <f t="shared" si="47"/>
        <v>717000</v>
      </c>
      <c r="AT78" s="5" t="str">
        <f t="shared" si="58"/>
        <v>na</v>
      </c>
      <c r="AU78" s="5" t="str">
        <f t="shared" si="59"/>
        <v>na</v>
      </c>
      <c r="AV78" s="5" t="str">
        <f t="shared" si="48"/>
        <v>na</v>
      </c>
      <c r="AW78" s="5" t="str">
        <f t="shared" si="49"/>
        <v>na</v>
      </c>
      <c r="AX78" s="5" t="str">
        <f t="shared" si="60"/>
        <v>na</v>
      </c>
      <c r="AY78" s="10" t="str">
        <f t="shared" si="61"/>
        <v>na</v>
      </c>
      <c r="AZ78" s="24">
        <v>1</v>
      </c>
      <c r="BA78" s="19">
        <v>0</v>
      </c>
      <c r="BB78" s="17">
        <v>0</v>
      </c>
      <c r="BC78" s="19">
        <v>0</v>
      </c>
      <c r="BD78" s="17">
        <v>1</v>
      </c>
      <c r="BE78" s="19">
        <v>0</v>
      </c>
      <c r="BF78" s="17">
        <v>0</v>
      </c>
      <c r="BG78" s="19">
        <v>0</v>
      </c>
      <c r="BH78" s="26">
        <f t="shared" si="50"/>
        <v>0</v>
      </c>
      <c r="BI78" s="26">
        <f t="shared" si="51"/>
        <v>0</v>
      </c>
      <c r="BJ78" s="26">
        <f t="shared" si="52"/>
        <v>0</v>
      </c>
      <c r="BK78" s="26">
        <f t="shared" si="53"/>
        <v>0</v>
      </c>
      <c r="BL78" s="34">
        <f t="shared" si="57"/>
        <v>0</v>
      </c>
      <c r="BM78" s="35">
        <f t="shared" si="55"/>
        <v>0</v>
      </c>
    </row>
    <row r="79" spans="1:65" x14ac:dyDescent="0.35">
      <c r="A79" s="18">
        <v>78</v>
      </c>
      <c r="B79" t="s">
        <v>313</v>
      </c>
      <c r="C79" s="3" t="s">
        <v>160</v>
      </c>
      <c r="D79" s="17" t="s">
        <v>12</v>
      </c>
      <c r="E79" s="17" t="s">
        <v>5</v>
      </c>
      <c r="F79" s="2">
        <v>0</v>
      </c>
      <c r="G79" s="2">
        <v>0</v>
      </c>
      <c r="H79" s="2">
        <v>0</v>
      </c>
      <c r="I79" s="3" t="s">
        <v>152</v>
      </c>
      <c r="J79" s="2">
        <v>2</v>
      </c>
      <c r="K79" s="2" t="s">
        <v>152</v>
      </c>
      <c r="L79" s="4">
        <v>77020015201.320053</v>
      </c>
      <c r="M79" s="2">
        <v>1</v>
      </c>
      <c r="N79" s="4">
        <v>700000000</v>
      </c>
      <c r="O79" s="2">
        <v>0</v>
      </c>
      <c r="P79" s="4">
        <v>0</v>
      </c>
      <c r="Q79" s="2">
        <v>1</v>
      </c>
      <c r="R79" s="4">
        <v>700000000</v>
      </c>
      <c r="S79" s="5">
        <f t="shared" si="34"/>
        <v>9.0885466351868834E-3</v>
      </c>
      <c r="T79" s="15">
        <f t="shared" si="35"/>
        <v>0</v>
      </c>
      <c r="U79" s="5">
        <f t="shared" si="36"/>
        <v>9.0885466351868834E-3</v>
      </c>
      <c r="V79" s="26">
        <f t="shared" si="37"/>
        <v>5.2136478404325834E-4</v>
      </c>
      <c r="W79" s="26">
        <f t="shared" si="38"/>
        <v>0</v>
      </c>
      <c r="X79" s="26">
        <f t="shared" si="39"/>
        <v>3.2667080449685698E-4</v>
      </c>
      <c r="Y79" s="26">
        <f t="shared" si="40"/>
        <v>41176470.588235296</v>
      </c>
      <c r="Z79" s="26">
        <f t="shared" si="41"/>
        <v>5.346203903051108E-4</v>
      </c>
      <c r="AA79" s="2">
        <v>0</v>
      </c>
      <c r="AB79" s="18" t="s">
        <v>152</v>
      </c>
      <c r="AC79" s="4" t="s">
        <v>152</v>
      </c>
      <c r="AD79" s="18" t="s">
        <v>152</v>
      </c>
      <c r="AE79" s="4" t="s">
        <v>152</v>
      </c>
      <c r="AF79" s="2" t="s">
        <v>152</v>
      </c>
      <c r="AG79" s="4" t="s">
        <v>152</v>
      </c>
      <c r="AH79" s="28">
        <f t="shared" si="42"/>
        <v>0</v>
      </c>
      <c r="AI79" s="4" t="str">
        <f t="shared" ref="AI79:AI102" si="62">IFERROR(AC79+AE79,"na")</f>
        <v>na</v>
      </c>
      <c r="AJ79" s="26" t="str">
        <f t="shared" si="54"/>
        <v>na</v>
      </c>
      <c r="AK79" s="26" t="str">
        <f t="shared" si="43"/>
        <v>na</v>
      </c>
      <c r="AL79" s="4">
        <v>2228910000</v>
      </c>
      <c r="AM79" s="4">
        <v>189004000</v>
      </c>
      <c r="AN79" s="12">
        <f t="shared" si="44"/>
        <v>-2039906000</v>
      </c>
      <c r="AO79" s="12">
        <f t="shared" si="45"/>
        <v>2417914000</v>
      </c>
      <c r="AP79" s="8">
        <v>19881010000</v>
      </c>
      <c r="AQ79" s="8">
        <v>11183088000</v>
      </c>
      <c r="AR79" s="13">
        <f t="shared" si="46"/>
        <v>-8697922000</v>
      </c>
      <c r="AS79" s="13">
        <f t="shared" si="47"/>
        <v>31064098000</v>
      </c>
      <c r="AT79" s="5">
        <f t="shared" si="58"/>
        <v>0.11211251339846416</v>
      </c>
      <c r="AU79" s="5">
        <f t="shared" si="59"/>
        <v>1.6900877467833572E-2</v>
      </c>
      <c r="AV79" s="5">
        <f t="shared" si="48"/>
        <v>7.9569558052134132E-3</v>
      </c>
      <c r="AW79" s="5">
        <f t="shared" si="49"/>
        <v>5.4051990728022602E-3</v>
      </c>
      <c r="AX79" s="5">
        <f t="shared" si="60"/>
        <v>7.7836285476565265E-2</v>
      </c>
      <c r="AY79" s="10">
        <f t="shared" si="61"/>
        <v>3.1393320212673229E-2</v>
      </c>
      <c r="AZ79" s="24">
        <v>0</v>
      </c>
      <c r="BA79" s="4" t="s">
        <v>152</v>
      </c>
      <c r="BB79" s="18" t="s">
        <v>152</v>
      </c>
      <c r="BC79" s="4" t="s">
        <v>152</v>
      </c>
      <c r="BD79" s="18" t="s">
        <v>152</v>
      </c>
      <c r="BE79" s="4" t="s">
        <v>152</v>
      </c>
      <c r="BF79" s="18" t="s">
        <v>152</v>
      </c>
      <c r="BG79" s="4" t="s">
        <v>152</v>
      </c>
      <c r="BH79" s="26">
        <f t="shared" si="50"/>
        <v>0</v>
      </c>
      <c r="BI79" s="26">
        <f t="shared" si="51"/>
        <v>0</v>
      </c>
      <c r="BJ79" s="26">
        <f t="shared" si="52"/>
        <v>0</v>
      </c>
      <c r="BK79" s="26">
        <f t="shared" si="53"/>
        <v>0</v>
      </c>
      <c r="BL79" s="34">
        <f t="shared" si="57"/>
        <v>0</v>
      </c>
      <c r="BM79" s="35">
        <f t="shared" si="55"/>
        <v>0</v>
      </c>
    </row>
    <row r="80" spans="1:65" x14ac:dyDescent="0.35">
      <c r="A80" s="18">
        <v>79</v>
      </c>
      <c r="B80" t="s">
        <v>314</v>
      </c>
      <c r="C80" s="3" t="s">
        <v>50</v>
      </c>
      <c r="D80" s="17" t="s">
        <v>9</v>
      </c>
      <c r="E80" s="17" t="s">
        <v>2</v>
      </c>
      <c r="F80" s="2">
        <v>0</v>
      </c>
      <c r="G80" s="2">
        <v>0</v>
      </c>
      <c r="H80" s="2">
        <v>1</v>
      </c>
      <c r="I80" s="18">
        <v>2018</v>
      </c>
      <c r="J80" s="2">
        <v>0</v>
      </c>
      <c r="K80" s="2" t="s">
        <v>152</v>
      </c>
      <c r="L80" s="4">
        <v>13513809258.208292</v>
      </c>
      <c r="M80" s="2">
        <v>2</v>
      </c>
      <c r="N80" s="4">
        <v>1800000000</v>
      </c>
      <c r="O80" s="2">
        <v>16</v>
      </c>
      <c r="P80" s="4">
        <v>11010000000</v>
      </c>
      <c r="Q80" s="2">
        <v>18</v>
      </c>
      <c r="R80" s="4">
        <v>12810000000</v>
      </c>
      <c r="S80" s="5">
        <f t="shared" si="34"/>
        <v>0.13319708496748831</v>
      </c>
      <c r="T80" s="15">
        <f t="shared" si="35"/>
        <v>0.81472216971780342</v>
      </c>
      <c r="U80" s="5">
        <f t="shared" si="36"/>
        <v>0.94791925468529181</v>
      </c>
      <c r="V80" s="26">
        <f t="shared" si="37"/>
        <v>1.3406523018255215E-3</v>
      </c>
      <c r="W80" s="26">
        <f t="shared" si="38"/>
        <v>1.3846618205599013E-2</v>
      </c>
      <c r="X80" s="26">
        <f t="shared" si="39"/>
        <v>5.9780757222924821E-3</v>
      </c>
      <c r="Y80" s="26">
        <f t="shared" si="40"/>
        <v>753529411.7647059</v>
      </c>
      <c r="Z80" s="26">
        <f t="shared" si="41"/>
        <v>5.575995615795834E-2</v>
      </c>
      <c r="AA80" s="2">
        <v>2</v>
      </c>
      <c r="AB80" s="18">
        <v>0</v>
      </c>
      <c r="AC80" s="4">
        <v>0</v>
      </c>
      <c r="AD80" s="18">
        <v>0</v>
      </c>
      <c r="AE80" s="4">
        <v>0</v>
      </c>
      <c r="AF80" s="2">
        <v>0</v>
      </c>
      <c r="AG80" s="4">
        <v>0</v>
      </c>
      <c r="AH80" s="28">
        <f t="shared" si="42"/>
        <v>0</v>
      </c>
      <c r="AI80" s="4">
        <f t="shared" si="62"/>
        <v>0</v>
      </c>
      <c r="AJ80" s="26">
        <f t="shared" si="54"/>
        <v>0</v>
      </c>
      <c r="AK80" s="26">
        <f t="shared" si="43"/>
        <v>0</v>
      </c>
      <c r="AL80" s="14">
        <v>1718196000</v>
      </c>
      <c r="AM80" s="14">
        <v>2504860000</v>
      </c>
      <c r="AN80" s="12">
        <f t="shared" si="44"/>
        <v>786664000</v>
      </c>
      <c r="AO80" s="12">
        <f t="shared" si="45"/>
        <v>4223056000</v>
      </c>
      <c r="AP80" s="8">
        <v>4499351000</v>
      </c>
      <c r="AQ80" s="8">
        <v>6696489000</v>
      </c>
      <c r="AR80" s="13">
        <f t="shared" si="46"/>
        <v>2197138000</v>
      </c>
      <c r="AS80" s="13">
        <f t="shared" si="47"/>
        <v>11195840000</v>
      </c>
      <c r="AT80" s="5">
        <f t="shared" si="58"/>
        <v>0.38187640839756665</v>
      </c>
      <c r="AU80" s="5">
        <f t="shared" si="59"/>
        <v>0.3740557178545354</v>
      </c>
      <c r="AV80" s="5">
        <f t="shared" si="48"/>
        <v>1.8007705372686186E-3</v>
      </c>
      <c r="AW80" s="5">
        <f t="shared" si="49"/>
        <v>3.2366602260333224E-3</v>
      </c>
      <c r="AX80" s="5">
        <f t="shared" si="60"/>
        <v>0.37719867379312316</v>
      </c>
      <c r="AY80" s="10">
        <f t="shared" si="61"/>
        <v>0.31249930491914518</v>
      </c>
      <c r="AZ80" s="24">
        <v>101</v>
      </c>
      <c r="BA80" s="19">
        <v>22998381265.191792</v>
      </c>
      <c r="BB80" s="17">
        <v>89</v>
      </c>
      <c r="BC80" s="19">
        <v>22130339937.752663</v>
      </c>
      <c r="BD80" s="17">
        <v>7</v>
      </c>
      <c r="BE80" s="19">
        <v>579789711.17455518</v>
      </c>
      <c r="BF80" s="17">
        <v>5</v>
      </c>
      <c r="BG80" s="19">
        <v>288251616.2645728</v>
      </c>
      <c r="BH80" s="26">
        <f t="shared" si="50"/>
        <v>1.7018429686080234</v>
      </c>
      <c r="BI80" s="26">
        <f t="shared" si="51"/>
        <v>1.6376093161379119</v>
      </c>
      <c r="BJ80" s="26">
        <f t="shared" si="52"/>
        <v>4.2903499679218186E-2</v>
      </c>
      <c r="BK80" s="26">
        <f t="shared" si="53"/>
        <v>2.1330152790893411E-2</v>
      </c>
      <c r="BL80" s="34">
        <f t="shared" si="57"/>
        <v>1352845956.7759876</v>
      </c>
      <c r="BM80" s="35">
        <f t="shared" si="55"/>
        <v>0.10010840991811902</v>
      </c>
    </row>
    <row r="81" spans="1:65" x14ac:dyDescent="0.35">
      <c r="A81" s="18">
        <v>80</v>
      </c>
      <c r="B81" t="s">
        <v>315</v>
      </c>
      <c r="C81" s="3" t="s">
        <v>198</v>
      </c>
      <c r="D81" s="17" t="s">
        <v>9</v>
      </c>
      <c r="E81" s="17" t="s">
        <v>2</v>
      </c>
      <c r="F81" s="2">
        <v>0</v>
      </c>
      <c r="G81" s="2">
        <v>0</v>
      </c>
      <c r="H81" s="2">
        <v>0</v>
      </c>
      <c r="I81" s="3" t="s">
        <v>152</v>
      </c>
      <c r="J81" s="2">
        <v>0</v>
      </c>
      <c r="K81" s="2" t="s">
        <v>152</v>
      </c>
      <c r="L81" s="4">
        <v>1439638443.3813329</v>
      </c>
      <c r="M81" s="2">
        <v>2</v>
      </c>
      <c r="N81" s="4">
        <v>450000000</v>
      </c>
      <c r="O81" s="2">
        <v>0</v>
      </c>
      <c r="P81" s="4">
        <v>0</v>
      </c>
      <c r="Q81" s="2">
        <v>2</v>
      </c>
      <c r="R81" s="4">
        <v>450000000</v>
      </c>
      <c r="S81" s="5">
        <f t="shared" si="34"/>
        <v>0.31257848251333725</v>
      </c>
      <c r="T81" s="15">
        <f t="shared" si="35"/>
        <v>0</v>
      </c>
      <c r="U81" s="5">
        <f t="shared" si="36"/>
        <v>0.31257848251333725</v>
      </c>
      <c r="V81" s="26">
        <f t="shared" si="37"/>
        <v>3.3516307545638038E-4</v>
      </c>
      <c r="W81" s="26">
        <f t="shared" si="38"/>
        <v>0</v>
      </c>
      <c r="X81" s="26">
        <f t="shared" si="39"/>
        <v>2.1000266003369376E-4</v>
      </c>
      <c r="Y81" s="26">
        <f t="shared" si="40"/>
        <v>26470588.235294119</v>
      </c>
      <c r="Z81" s="26">
        <f t="shared" si="41"/>
        <v>1.8386969559608075E-2</v>
      </c>
      <c r="AA81" s="2">
        <v>0</v>
      </c>
      <c r="AB81" s="18" t="s">
        <v>152</v>
      </c>
      <c r="AC81" s="4" t="s">
        <v>152</v>
      </c>
      <c r="AD81" s="2" t="s">
        <v>152</v>
      </c>
      <c r="AE81" s="4" t="s">
        <v>152</v>
      </c>
      <c r="AF81" s="2" t="s">
        <v>152</v>
      </c>
      <c r="AG81" s="4" t="s">
        <v>152</v>
      </c>
      <c r="AH81" s="28">
        <f t="shared" si="42"/>
        <v>0</v>
      </c>
      <c r="AI81" s="4" t="str">
        <f t="shared" si="62"/>
        <v>na</v>
      </c>
      <c r="AJ81" s="26" t="str">
        <f t="shared" si="54"/>
        <v>na</v>
      </c>
      <c r="AK81" s="26" t="str">
        <f t="shared" si="43"/>
        <v>na</v>
      </c>
      <c r="AL81" s="14">
        <v>31924000</v>
      </c>
      <c r="AM81" s="14">
        <v>8402000</v>
      </c>
      <c r="AN81" s="12">
        <f t="shared" si="44"/>
        <v>-23522000</v>
      </c>
      <c r="AO81" s="12">
        <f t="shared" si="45"/>
        <v>40326000</v>
      </c>
      <c r="AP81" s="8">
        <v>335683000</v>
      </c>
      <c r="AQ81" s="8">
        <v>249796000</v>
      </c>
      <c r="AR81" s="13">
        <f t="shared" si="46"/>
        <v>-85887000</v>
      </c>
      <c r="AS81" s="13">
        <f t="shared" si="47"/>
        <v>585479000</v>
      </c>
      <c r="AT81" s="5">
        <f t="shared" si="58"/>
        <v>9.5101628619858616E-2</v>
      </c>
      <c r="AU81" s="5">
        <f t="shared" si="59"/>
        <v>3.3635446524363878E-2</v>
      </c>
      <c r="AV81" s="5">
        <f t="shared" si="48"/>
        <v>1.3435005543287057E-4</v>
      </c>
      <c r="AW81" s="5">
        <f t="shared" si="49"/>
        <v>1.2073562396984747E-4</v>
      </c>
      <c r="AX81" s="5">
        <f t="shared" si="60"/>
        <v>6.887693666211768E-2</v>
      </c>
      <c r="AY81" s="10">
        <f t="shared" si="61"/>
        <v>2.8011199746295193E-2</v>
      </c>
      <c r="AZ81" s="24">
        <v>78</v>
      </c>
      <c r="BA81" s="19">
        <v>371948758.43735373</v>
      </c>
      <c r="BB81" s="17">
        <v>78</v>
      </c>
      <c r="BC81" s="19">
        <v>371948758.43735373</v>
      </c>
      <c r="BD81" s="17">
        <v>0</v>
      </c>
      <c r="BE81" s="19">
        <v>0</v>
      </c>
      <c r="BF81" s="17">
        <v>0</v>
      </c>
      <c r="BG81" s="19">
        <v>0</v>
      </c>
      <c r="BH81" s="26">
        <f t="shared" si="50"/>
        <v>0.25836261885570638</v>
      </c>
      <c r="BI81" s="26">
        <f t="shared" si="51"/>
        <v>0.25836261885570638</v>
      </c>
      <c r="BJ81" s="26">
        <f t="shared" si="52"/>
        <v>0</v>
      </c>
      <c r="BK81" s="26">
        <f t="shared" si="53"/>
        <v>0</v>
      </c>
      <c r="BL81" s="34">
        <f t="shared" si="57"/>
        <v>21879338.731609043</v>
      </c>
      <c r="BM81" s="35">
        <f t="shared" si="55"/>
        <v>1.5197801109159198E-2</v>
      </c>
    </row>
    <row r="82" spans="1:65" x14ac:dyDescent="0.35">
      <c r="A82" s="18">
        <v>81</v>
      </c>
      <c r="B82" t="s">
        <v>316</v>
      </c>
      <c r="C82" s="3" t="s">
        <v>51</v>
      </c>
      <c r="D82" s="17" t="s">
        <v>12</v>
      </c>
      <c r="E82" s="17" t="s">
        <v>5</v>
      </c>
      <c r="F82" s="2">
        <v>0</v>
      </c>
      <c r="G82" s="2">
        <v>0</v>
      </c>
      <c r="H82" s="2">
        <v>1</v>
      </c>
      <c r="I82" s="2">
        <v>2018</v>
      </c>
      <c r="J82" s="2">
        <v>0</v>
      </c>
      <c r="K82" s="2" t="s">
        <v>152</v>
      </c>
      <c r="L82" s="4">
        <v>5173759527.5070505</v>
      </c>
      <c r="M82" s="2">
        <v>4</v>
      </c>
      <c r="N82" s="4">
        <v>920000000</v>
      </c>
      <c r="O82" s="2">
        <v>4</v>
      </c>
      <c r="P82" s="4">
        <v>1830000000</v>
      </c>
      <c r="Q82" s="2">
        <v>8</v>
      </c>
      <c r="R82" s="4">
        <v>2750000000</v>
      </c>
      <c r="S82" s="5">
        <f t="shared" si="34"/>
        <v>0.17782040218697548</v>
      </c>
      <c r="T82" s="5">
        <f t="shared" si="35"/>
        <v>0.35370797391539688</v>
      </c>
      <c r="U82" s="5">
        <f t="shared" si="36"/>
        <v>0.53152837610237236</v>
      </c>
      <c r="V82" s="26">
        <f t="shared" si="37"/>
        <v>6.8522228759971106E-4</v>
      </c>
      <c r="W82" s="26">
        <f t="shared" si="38"/>
        <v>2.3014815001131876E-3</v>
      </c>
      <c r="X82" s="26">
        <f t="shared" si="39"/>
        <v>1.2833495890947951E-3</v>
      </c>
      <c r="Y82" s="26">
        <f t="shared" si="40"/>
        <v>161764705.88235295</v>
      </c>
      <c r="Z82" s="26">
        <f t="shared" si="41"/>
        <v>3.1266375064845434E-2</v>
      </c>
      <c r="AA82" s="2">
        <v>0</v>
      </c>
      <c r="AB82" s="18" t="s">
        <v>152</v>
      </c>
      <c r="AC82" s="4" t="s">
        <v>152</v>
      </c>
      <c r="AD82" s="2" t="s">
        <v>152</v>
      </c>
      <c r="AE82" s="4" t="s">
        <v>152</v>
      </c>
      <c r="AF82" s="2" t="s">
        <v>152</v>
      </c>
      <c r="AG82" s="4" t="s">
        <v>152</v>
      </c>
      <c r="AH82" s="28">
        <f t="shared" si="42"/>
        <v>0</v>
      </c>
      <c r="AI82" s="4" t="str">
        <f t="shared" si="62"/>
        <v>na</v>
      </c>
      <c r="AJ82" s="26" t="str">
        <f t="shared" si="54"/>
        <v>na</v>
      </c>
      <c r="AK82" s="26" t="str">
        <f t="shared" si="43"/>
        <v>na</v>
      </c>
      <c r="AL82" s="4">
        <v>223322000</v>
      </c>
      <c r="AM82" s="4">
        <v>31056000</v>
      </c>
      <c r="AN82" s="12">
        <f t="shared" si="44"/>
        <v>-192266000</v>
      </c>
      <c r="AO82" s="12">
        <f t="shared" si="45"/>
        <v>254378000</v>
      </c>
      <c r="AP82" s="8">
        <v>5980170000</v>
      </c>
      <c r="AQ82" s="8">
        <v>3842163000</v>
      </c>
      <c r="AR82" s="13">
        <f t="shared" si="46"/>
        <v>-2138007000</v>
      </c>
      <c r="AS82" s="13">
        <f t="shared" si="47"/>
        <v>9822333000</v>
      </c>
      <c r="AT82" s="5">
        <f t="shared" si="58"/>
        <v>3.7343754441763362E-2</v>
      </c>
      <c r="AU82" s="5">
        <f t="shared" si="59"/>
        <v>8.0829470274946698E-3</v>
      </c>
      <c r="AV82" s="5">
        <f t="shared" si="48"/>
        <v>2.3934371743519617E-3</v>
      </c>
      <c r="AW82" s="5">
        <f t="shared" si="49"/>
        <v>1.8570591490610776E-3</v>
      </c>
      <c r="AX82" s="5">
        <f t="shared" si="60"/>
        <v>2.5897920585669414E-2</v>
      </c>
      <c r="AY82" s="10">
        <f t="shared" si="61"/>
        <v>4.9166954638607013E-2</v>
      </c>
      <c r="AZ82" s="24">
        <v>69</v>
      </c>
      <c r="BA82" s="19">
        <v>1083990022.7455916</v>
      </c>
      <c r="BB82" s="17">
        <v>61</v>
      </c>
      <c r="BC82" s="19">
        <v>502081136.62308753</v>
      </c>
      <c r="BD82" s="17">
        <v>7</v>
      </c>
      <c r="BE82" s="19">
        <v>581908886.12250423</v>
      </c>
      <c r="BF82" s="17">
        <v>1</v>
      </c>
      <c r="BG82" s="19">
        <v>0</v>
      </c>
      <c r="BH82" s="26">
        <f t="shared" si="50"/>
        <v>0.2095168932731411</v>
      </c>
      <c r="BI82" s="26">
        <f t="shared" si="51"/>
        <v>9.7043771353055669E-2</v>
      </c>
      <c r="BJ82" s="26">
        <f t="shared" si="52"/>
        <v>0.11247312192008546</v>
      </c>
      <c r="BK82" s="26">
        <f t="shared" si="53"/>
        <v>0</v>
      </c>
      <c r="BL82" s="34">
        <f t="shared" si="57"/>
        <v>63764118.985034801</v>
      </c>
      <c r="BM82" s="35">
        <f t="shared" si="55"/>
        <v>1.2324523133714183E-2</v>
      </c>
    </row>
    <row r="83" spans="1:65" x14ac:dyDescent="0.35">
      <c r="A83" s="18">
        <v>82</v>
      </c>
      <c r="B83" t="s">
        <v>317</v>
      </c>
      <c r="C83" s="3" t="s">
        <v>172</v>
      </c>
      <c r="D83" s="17" t="s">
        <v>12</v>
      </c>
      <c r="E83" s="17" t="s">
        <v>10</v>
      </c>
      <c r="F83" s="2">
        <v>0</v>
      </c>
      <c r="G83" s="2">
        <v>0</v>
      </c>
      <c r="H83" s="2">
        <v>0</v>
      </c>
      <c r="I83" s="3" t="s">
        <v>152</v>
      </c>
      <c r="J83" s="2">
        <v>2</v>
      </c>
      <c r="K83" s="2" t="s">
        <v>152</v>
      </c>
      <c r="L83" s="4">
        <v>14332163266.397657</v>
      </c>
      <c r="M83" s="2">
        <v>0</v>
      </c>
      <c r="N83" s="4">
        <v>0</v>
      </c>
      <c r="O83" s="18">
        <v>0</v>
      </c>
      <c r="P83" s="4">
        <v>0</v>
      </c>
      <c r="Q83" s="2">
        <v>0</v>
      </c>
      <c r="R83" s="4">
        <v>0</v>
      </c>
      <c r="S83" s="5">
        <f t="shared" si="34"/>
        <v>0</v>
      </c>
      <c r="T83" s="15">
        <f t="shared" si="35"/>
        <v>0</v>
      </c>
      <c r="U83" s="5">
        <f t="shared" si="36"/>
        <v>0</v>
      </c>
      <c r="V83" s="26">
        <f t="shared" si="37"/>
        <v>0</v>
      </c>
      <c r="W83" s="26">
        <f t="shared" si="38"/>
        <v>0</v>
      </c>
      <c r="X83" s="26">
        <f t="shared" si="39"/>
        <v>0</v>
      </c>
      <c r="Y83" s="26">
        <f t="shared" si="40"/>
        <v>0</v>
      </c>
      <c r="Z83" s="26">
        <f t="shared" si="41"/>
        <v>0</v>
      </c>
      <c r="AA83" s="2">
        <v>0</v>
      </c>
      <c r="AB83" s="18" t="s">
        <v>152</v>
      </c>
      <c r="AC83" s="4" t="s">
        <v>152</v>
      </c>
      <c r="AD83" s="18" t="s">
        <v>152</v>
      </c>
      <c r="AE83" s="4" t="s">
        <v>152</v>
      </c>
      <c r="AF83" s="2" t="s">
        <v>152</v>
      </c>
      <c r="AG83" s="4" t="s">
        <v>152</v>
      </c>
      <c r="AH83" s="28">
        <f t="shared" si="42"/>
        <v>0</v>
      </c>
      <c r="AI83" s="4" t="str">
        <f t="shared" si="62"/>
        <v>na</v>
      </c>
      <c r="AJ83" s="26" t="str">
        <f t="shared" si="54"/>
        <v>na</v>
      </c>
      <c r="AK83" s="26" t="str">
        <f t="shared" si="43"/>
        <v>na</v>
      </c>
      <c r="AL83" s="14">
        <v>561068000</v>
      </c>
      <c r="AM83" s="14">
        <v>4488000</v>
      </c>
      <c r="AN83" s="12">
        <f t="shared" si="44"/>
        <v>-556580000</v>
      </c>
      <c r="AO83" s="12">
        <f t="shared" si="45"/>
        <v>565556000</v>
      </c>
      <c r="AP83" s="8">
        <v>3831949000</v>
      </c>
      <c r="AQ83" s="8">
        <v>1342010000</v>
      </c>
      <c r="AR83" s="13">
        <f t="shared" si="46"/>
        <v>-2489939000</v>
      </c>
      <c r="AS83" s="13">
        <f t="shared" si="47"/>
        <v>5173959000</v>
      </c>
      <c r="AT83" s="5">
        <f t="shared" si="58"/>
        <v>0.14641844137278445</v>
      </c>
      <c r="AU83" s="5">
        <f t="shared" si="59"/>
        <v>3.3442373752803631E-3</v>
      </c>
      <c r="AV83" s="5">
        <f t="shared" si="48"/>
        <v>1.5336569339702425E-3</v>
      </c>
      <c r="AW83" s="5">
        <f t="shared" si="49"/>
        <v>6.4864295154355939E-4</v>
      </c>
      <c r="AX83" s="5">
        <f t="shared" si="60"/>
        <v>0.1093081719433803</v>
      </c>
      <c r="AY83" s="10">
        <f t="shared" si="61"/>
        <v>3.946061662065832E-2</v>
      </c>
      <c r="AZ83" s="24">
        <v>33</v>
      </c>
      <c r="BA83" s="19">
        <v>2036786080.495379</v>
      </c>
      <c r="BB83" s="17">
        <v>30</v>
      </c>
      <c r="BC83" s="19">
        <v>20273430.876614835</v>
      </c>
      <c r="BD83" s="17">
        <v>1</v>
      </c>
      <c r="BE83" s="19">
        <v>0</v>
      </c>
      <c r="BF83" s="17">
        <v>2</v>
      </c>
      <c r="BG83" s="19">
        <v>2016512649.6187642</v>
      </c>
      <c r="BH83" s="26">
        <f t="shared" si="50"/>
        <v>0.14211295549993538</v>
      </c>
      <c r="BI83" s="26">
        <f t="shared" si="51"/>
        <v>1.4145408826137728E-3</v>
      </c>
      <c r="BJ83" s="26">
        <f t="shared" si="52"/>
        <v>0</v>
      </c>
      <c r="BK83" s="26">
        <f t="shared" si="53"/>
        <v>0.14069841461732163</v>
      </c>
      <c r="BL83" s="34">
        <f t="shared" si="57"/>
        <v>119810945.91149288</v>
      </c>
      <c r="BM83" s="35">
        <f t="shared" si="55"/>
        <v>8.3595856176432587E-3</v>
      </c>
    </row>
    <row r="84" spans="1:65" x14ac:dyDescent="0.35">
      <c r="A84" s="18">
        <v>83</v>
      </c>
      <c r="B84" t="s">
        <v>318</v>
      </c>
      <c r="C84" s="3" t="s">
        <v>162</v>
      </c>
      <c r="D84" s="17" t="s">
        <v>12</v>
      </c>
      <c r="E84" s="17" t="s">
        <v>10</v>
      </c>
      <c r="F84" s="2">
        <v>0</v>
      </c>
      <c r="G84" s="2">
        <v>0</v>
      </c>
      <c r="H84" s="2">
        <v>0</v>
      </c>
      <c r="I84" s="3" t="s">
        <v>152</v>
      </c>
      <c r="J84" s="2">
        <v>2</v>
      </c>
      <c r="K84" s="2" t="s">
        <v>152</v>
      </c>
      <c r="L84" s="4">
        <v>25089976946.773567</v>
      </c>
      <c r="M84" s="2">
        <v>1</v>
      </c>
      <c r="N84" s="4">
        <v>350000000</v>
      </c>
      <c r="O84" s="2">
        <v>0</v>
      </c>
      <c r="P84" s="4">
        <v>0</v>
      </c>
      <c r="Q84" s="2">
        <v>1</v>
      </c>
      <c r="R84" s="4">
        <v>350000000</v>
      </c>
      <c r="S84" s="5">
        <f t="shared" si="34"/>
        <v>1.3949793606526532E-2</v>
      </c>
      <c r="T84" s="15">
        <f t="shared" si="35"/>
        <v>0</v>
      </c>
      <c r="U84" s="5">
        <f t="shared" si="36"/>
        <v>1.3949793606526532E-2</v>
      </c>
      <c r="V84" s="26">
        <f t="shared" si="37"/>
        <v>2.6068239202162917E-4</v>
      </c>
      <c r="W84" s="26">
        <f t="shared" si="38"/>
        <v>0</v>
      </c>
      <c r="X84" s="26">
        <f t="shared" si="39"/>
        <v>1.6333540224842849E-4</v>
      </c>
      <c r="Y84" s="26">
        <f t="shared" si="40"/>
        <v>20588235.294117648</v>
      </c>
      <c r="Z84" s="26">
        <f t="shared" si="41"/>
        <v>8.2057609450156082E-4</v>
      </c>
      <c r="AA84" s="2">
        <v>0</v>
      </c>
      <c r="AB84" s="18" t="s">
        <v>152</v>
      </c>
      <c r="AC84" s="4" t="s">
        <v>152</v>
      </c>
      <c r="AD84" s="18" t="s">
        <v>152</v>
      </c>
      <c r="AE84" s="4" t="s">
        <v>152</v>
      </c>
      <c r="AF84" s="18" t="s">
        <v>152</v>
      </c>
      <c r="AG84" s="4" t="s">
        <v>152</v>
      </c>
      <c r="AH84" s="28">
        <f t="shared" si="42"/>
        <v>0</v>
      </c>
      <c r="AI84" s="4" t="str">
        <f t="shared" si="62"/>
        <v>na</v>
      </c>
      <c r="AJ84" s="26" t="str">
        <f t="shared" si="54"/>
        <v>na</v>
      </c>
      <c r="AK84" s="26" t="str">
        <f t="shared" si="43"/>
        <v>na</v>
      </c>
      <c r="AL84" s="4">
        <v>1475811</v>
      </c>
      <c r="AM84" s="4">
        <v>5449</v>
      </c>
      <c r="AN84" s="12">
        <f t="shared" si="44"/>
        <v>-1470362</v>
      </c>
      <c r="AO84" s="12">
        <f t="shared" si="45"/>
        <v>1481260</v>
      </c>
      <c r="AP84" s="8">
        <v>9157061000</v>
      </c>
      <c r="AQ84" s="8">
        <v>3091163000</v>
      </c>
      <c r="AR84" s="13">
        <f t="shared" si="46"/>
        <v>-6065898000</v>
      </c>
      <c r="AS84" s="13">
        <f t="shared" si="47"/>
        <v>12248224000</v>
      </c>
      <c r="AT84" s="5">
        <f t="shared" si="58"/>
        <v>1.611664484925895E-4</v>
      </c>
      <c r="AU84" s="5">
        <f t="shared" si="59"/>
        <v>1.7627669585848433E-6</v>
      </c>
      <c r="AV84" s="5">
        <f t="shared" si="48"/>
        <v>3.6649209312124152E-3</v>
      </c>
      <c r="AW84" s="5">
        <f t="shared" si="49"/>
        <v>1.494073138070688E-3</v>
      </c>
      <c r="AX84" s="5">
        <f t="shared" si="60"/>
        <v>1.2093671702934238E-4</v>
      </c>
      <c r="AY84" s="10">
        <f t="shared" si="61"/>
        <v>5.9037917936009976E-5</v>
      </c>
      <c r="AZ84" s="24">
        <v>3</v>
      </c>
      <c r="BA84" s="19">
        <v>297077897.32473761</v>
      </c>
      <c r="BB84" s="17">
        <v>1</v>
      </c>
      <c r="BC84" s="19">
        <v>286927942.92511201</v>
      </c>
      <c r="BD84" s="17">
        <v>2</v>
      </c>
      <c r="BE84" s="19">
        <v>10149954.399625611</v>
      </c>
      <c r="BF84" s="17">
        <v>0</v>
      </c>
      <c r="BG84" s="19">
        <v>0</v>
      </c>
      <c r="BH84" s="26">
        <f t="shared" si="50"/>
        <v>1.1840501007831345E-2</v>
      </c>
      <c r="BI84" s="26">
        <f t="shared" si="51"/>
        <v>1.143595881071582E-2</v>
      </c>
      <c r="BJ84" s="26">
        <f t="shared" si="52"/>
        <v>4.0454219711552342E-4</v>
      </c>
      <c r="BK84" s="26">
        <f t="shared" si="53"/>
        <v>0</v>
      </c>
      <c r="BL84" s="34">
        <f t="shared" si="57"/>
        <v>17475170.430866919</v>
      </c>
      <c r="BM84" s="35">
        <f t="shared" si="55"/>
        <v>6.9650005928419676E-4</v>
      </c>
    </row>
    <row r="85" spans="1:65" x14ac:dyDescent="0.35">
      <c r="A85" s="18">
        <v>84</v>
      </c>
      <c r="B85" t="s">
        <v>319</v>
      </c>
      <c r="C85" s="3" t="s">
        <v>199</v>
      </c>
      <c r="D85" s="17" t="s">
        <v>23</v>
      </c>
      <c r="E85" s="17" t="s">
        <v>13</v>
      </c>
      <c r="F85" s="2">
        <v>0</v>
      </c>
      <c r="G85" s="2">
        <v>1</v>
      </c>
      <c r="H85" s="2">
        <v>0</v>
      </c>
      <c r="I85" s="3" t="s">
        <v>152</v>
      </c>
      <c r="J85" s="2">
        <v>0</v>
      </c>
      <c r="K85" s="2" t="s">
        <v>152</v>
      </c>
      <c r="L85" s="4">
        <v>363016373358.5166</v>
      </c>
      <c r="M85" s="2">
        <v>0</v>
      </c>
      <c r="N85" s="4">
        <v>0</v>
      </c>
      <c r="O85" s="2">
        <v>0</v>
      </c>
      <c r="P85" s="4">
        <v>0</v>
      </c>
      <c r="Q85" s="2">
        <v>0</v>
      </c>
      <c r="R85" s="4">
        <v>0</v>
      </c>
      <c r="S85" s="5">
        <f t="shared" si="34"/>
        <v>0</v>
      </c>
      <c r="T85" s="15">
        <f t="shared" si="35"/>
        <v>0</v>
      </c>
      <c r="U85" s="5">
        <f t="shared" si="36"/>
        <v>0</v>
      </c>
      <c r="V85" s="26">
        <f t="shared" si="37"/>
        <v>0</v>
      </c>
      <c r="W85" s="26">
        <f t="shared" si="38"/>
        <v>0</v>
      </c>
      <c r="X85" s="26">
        <f t="shared" si="39"/>
        <v>0</v>
      </c>
      <c r="Y85" s="26">
        <f t="shared" si="40"/>
        <v>0</v>
      </c>
      <c r="Z85" s="26">
        <f t="shared" si="41"/>
        <v>0</v>
      </c>
      <c r="AA85" s="2">
        <v>1</v>
      </c>
      <c r="AB85" s="18">
        <v>0</v>
      </c>
      <c r="AC85" s="4">
        <v>0</v>
      </c>
      <c r="AD85" s="18">
        <v>0</v>
      </c>
      <c r="AE85" s="4">
        <v>0</v>
      </c>
      <c r="AF85" s="2">
        <v>0</v>
      </c>
      <c r="AG85" s="4">
        <v>0</v>
      </c>
      <c r="AH85" s="28">
        <f t="shared" si="42"/>
        <v>0</v>
      </c>
      <c r="AI85" s="4">
        <f t="shared" si="62"/>
        <v>0</v>
      </c>
      <c r="AJ85" s="26">
        <f t="shared" si="54"/>
        <v>0</v>
      </c>
      <c r="AK85" s="26">
        <f t="shared" si="43"/>
        <v>0</v>
      </c>
      <c r="AL85" s="4">
        <v>264601840000</v>
      </c>
      <c r="AM85" s="4">
        <v>296069015000</v>
      </c>
      <c r="AN85" s="12">
        <f t="shared" si="44"/>
        <v>31467175000</v>
      </c>
      <c r="AO85" s="12">
        <f t="shared" si="45"/>
        <v>560670855000</v>
      </c>
      <c r="AP85" s="8">
        <v>578590151000</v>
      </c>
      <c r="AQ85" s="8">
        <v>535711019000</v>
      </c>
      <c r="AR85" s="13">
        <f t="shared" si="46"/>
        <v>-42879132000</v>
      </c>
      <c r="AS85" s="13">
        <f t="shared" si="47"/>
        <v>1114301170000</v>
      </c>
      <c r="AT85" s="5">
        <f t="shared" si="58"/>
        <v>0.45732171476247613</v>
      </c>
      <c r="AU85" s="5">
        <f t="shared" si="59"/>
        <v>0.55266553141405517</v>
      </c>
      <c r="AV85" s="5">
        <f t="shared" si="48"/>
        <v>0.23156853001123964</v>
      </c>
      <c r="AW85" s="5">
        <f t="shared" si="49"/>
        <v>0.2589289025704487</v>
      </c>
      <c r="AX85" s="5">
        <f t="shared" si="60"/>
        <v>0.50315917284731915</v>
      </c>
      <c r="AY85" s="10">
        <f t="shared" si="61"/>
        <v>1.5444781451945115</v>
      </c>
      <c r="AZ85" s="24" t="s">
        <v>152</v>
      </c>
      <c r="BA85" s="29" t="s">
        <v>152</v>
      </c>
      <c r="BB85" s="24" t="s">
        <v>152</v>
      </c>
      <c r="BC85" s="29" t="s">
        <v>152</v>
      </c>
      <c r="BD85" s="24" t="s">
        <v>152</v>
      </c>
      <c r="BE85" s="29" t="s">
        <v>152</v>
      </c>
      <c r="BF85" s="24" t="s">
        <v>152</v>
      </c>
      <c r="BG85" s="29" t="s">
        <v>152</v>
      </c>
      <c r="BH85" s="26">
        <f t="shared" si="50"/>
        <v>0</v>
      </c>
      <c r="BI85" s="26">
        <f t="shared" si="51"/>
        <v>0</v>
      </c>
      <c r="BJ85" s="26">
        <f t="shared" si="52"/>
        <v>0</v>
      </c>
      <c r="BK85" s="26">
        <f t="shared" si="53"/>
        <v>0</v>
      </c>
      <c r="BL85" s="34">
        <f t="shared" si="57"/>
        <v>0</v>
      </c>
      <c r="BM85" s="35">
        <f t="shared" si="55"/>
        <v>0</v>
      </c>
    </row>
    <row r="86" spans="1:65" x14ac:dyDescent="0.35">
      <c r="A86" s="18">
        <v>85</v>
      </c>
      <c r="B86" t="s">
        <v>320</v>
      </c>
      <c r="C86" s="3" t="s">
        <v>52</v>
      </c>
      <c r="D86" s="17" t="s">
        <v>4</v>
      </c>
      <c r="E86" s="17" t="s">
        <v>13</v>
      </c>
      <c r="F86" s="2">
        <v>1</v>
      </c>
      <c r="G86" s="2">
        <v>0</v>
      </c>
      <c r="H86" s="2">
        <v>1</v>
      </c>
      <c r="I86" s="2">
        <v>2015</v>
      </c>
      <c r="J86" s="2">
        <v>0</v>
      </c>
      <c r="K86" s="2" t="s">
        <v>152</v>
      </c>
      <c r="L86" s="4">
        <v>163503650313.08057</v>
      </c>
      <c r="M86" s="2">
        <v>5</v>
      </c>
      <c r="N86" s="4">
        <v>3480000000</v>
      </c>
      <c r="O86" s="2">
        <v>4</v>
      </c>
      <c r="P86" s="4">
        <v>2400000000</v>
      </c>
      <c r="Q86" s="2">
        <v>9</v>
      </c>
      <c r="R86" s="4">
        <v>5880000000</v>
      </c>
      <c r="S86" s="5">
        <f t="shared" si="34"/>
        <v>2.1283928483164846E-2</v>
      </c>
      <c r="T86" s="5">
        <f t="shared" si="35"/>
        <v>1.4678571367699893E-2</v>
      </c>
      <c r="U86" s="5">
        <f t="shared" si="36"/>
        <v>3.5962499850864735E-2</v>
      </c>
      <c r="V86" s="26">
        <f t="shared" si="37"/>
        <v>2.5919277835293416E-3</v>
      </c>
      <c r="W86" s="26">
        <f t="shared" si="38"/>
        <v>3.0183363935910659E-3</v>
      </c>
      <c r="X86" s="26">
        <f t="shared" si="39"/>
        <v>2.7440347577735984E-3</v>
      </c>
      <c r="Y86" s="26">
        <f t="shared" si="40"/>
        <v>345882352.94117647</v>
      </c>
      <c r="Z86" s="26">
        <f t="shared" si="41"/>
        <v>2.1154411676979259E-3</v>
      </c>
      <c r="AA86" s="2">
        <v>2</v>
      </c>
      <c r="AB86" s="11">
        <v>1</v>
      </c>
      <c r="AC86" s="27">
        <v>216100000</v>
      </c>
      <c r="AD86" s="2">
        <v>0</v>
      </c>
      <c r="AE86" s="4">
        <v>0</v>
      </c>
      <c r="AF86" s="2">
        <v>0</v>
      </c>
      <c r="AG86" s="4">
        <v>0</v>
      </c>
      <c r="AH86" s="28">
        <f t="shared" si="42"/>
        <v>1</v>
      </c>
      <c r="AI86" s="4">
        <f t="shared" si="62"/>
        <v>216100000</v>
      </c>
      <c r="AJ86" s="26">
        <f t="shared" si="54"/>
        <v>1.3216830302333112E-3</v>
      </c>
      <c r="AK86" s="26">
        <f t="shared" si="43"/>
        <v>5.4214438802786639E-3</v>
      </c>
      <c r="AL86" s="4">
        <v>7157898000</v>
      </c>
      <c r="AM86" s="4">
        <v>1666401000</v>
      </c>
      <c r="AN86" s="12">
        <f t="shared" si="44"/>
        <v>-5491497000</v>
      </c>
      <c r="AO86" s="12">
        <f t="shared" si="45"/>
        <v>8824299000</v>
      </c>
      <c r="AP86" s="8">
        <v>117324011000</v>
      </c>
      <c r="AQ86" s="8">
        <v>122180658000</v>
      </c>
      <c r="AR86" s="13">
        <f t="shared" si="46"/>
        <v>4856647000</v>
      </c>
      <c r="AS86" s="13">
        <f t="shared" si="47"/>
        <v>239504669000</v>
      </c>
      <c r="AT86" s="5">
        <f t="shared" si="58"/>
        <v>6.1009659821466555E-2</v>
      </c>
      <c r="AU86" s="5">
        <f t="shared" si="59"/>
        <v>1.3638828168694262E-2</v>
      </c>
      <c r="AV86" s="5">
        <f t="shared" si="48"/>
        <v>4.6956466015427398E-2</v>
      </c>
      <c r="AW86" s="5">
        <f t="shared" si="49"/>
        <v>5.9054420329695163E-2</v>
      </c>
      <c r="AX86" s="5">
        <f t="shared" si="60"/>
        <v>3.6843953969014277E-2</v>
      </c>
      <c r="AY86" s="10">
        <f t="shared" si="61"/>
        <v>5.3970042767259495E-2</v>
      </c>
      <c r="AZ86" s="24" t="s">
        <v>152</v>
      </c>
      <c r="BA86" s="29" t="s">
        <v>152</v>
      </c>
      <c r="BB86" s="24" t="s">
        <v>152</v>
      </c>
      <c r="BC86" s="29" t="s">
        <v>152</v>
      </c>
      <c r="BD86" s="24" t="s">
        <v>152</v>
      </c>
      <c r="BE86" s="29" t="s">
        <v>152</v>
      </c>
      <c r="BF86" s="24" t="s">
        <v>152</v>
      </c>
      <c r="BG86" s="29" t="s">
        <v>152</v>
      </c>
      <c r="BH86" s="26">
        <f t="shared" si="50"/>
        <v>0</v>
      </c>
      <c r="BI86" s="26">
        <f t="shared" si="51"/>
        <v>0</v>
      </c>
      <c r="BJ86" s="26">
        <f t="shared" si="52"/>
        <v>0</v>
      </c>
      <c r="BK86" s="26">
        <f t="shared" si="53"/>
        <v>0</v>
      </c>
      <c r="BL86" s="34">
        <f t="shared" si="57"/>
        <v>0</v>
      </c>
      <c r="BM86" s="35">
        <f t="shared" si="55"/>
        <v>0</v>
      </c>
    </row>
    <row r="87" spans="1:65" x14ac:dyDescent="0.35">
      <c r="A87" s="18">
        <v>86</v>
      </c>
      <c r="B87" t="s">
        <v>321</v>
      </c>
      <c r="C87" s="3" t="s">
        <v>174</v>
      </c>
      <c r="D87" s="17" t="s">
        <v>4</v>
      </c>
      <c r="E87" s="17" t="s">
        <v>13</v>
      </c>
      <c r="F87" s="2">
        <v>3</v>
      </c>
      <c r="G87" s="2">
        <v>1</v>
      </c>
      <c r="H87" s="2">
        <v>0</v>
      </c>
      <c r="I87" s="3" t="s">
        <v>152</v>
      </c>
      <c r="J87" s="2">
        <v>0</v>
      </c>
      <c r="K87" s="2" t="s">
        <v>152</v>
      </c>
      <c r="L87" s="4">
        <v>24857740445.040115</v>
      </c>
      <c r="M87" s="2">
        <v>0</v>
      </c>
      <c r="N87" s="4">
        <v>0</v>
      </c>
      <c r="O87" s="2">
        <v>0</v>
      </c>
      <c r="P87" s="4">
        <v>0</v>
      </c>
      <c r="Q87" s="2">
        <v>0</v>
      </c>
      <c r="R87" s="4">
        <v>0</v>
      </c>
      <c r="S87" s="5">
        <f t="shared" si="34"/>
        <v>0</v>
      </c>
      <c r="T87" s="15">
        <f t="shared" si="35"/>
        <v>0</v>
      </c>
      <c r="U87" s="5">
        <f t="shared" si="36"/>
        <v>0</v>
      </c>
      <c r="V87" s="26">
        <f t="shared" si="37"/>
        <v>0</v>
      </c>
      <c r="W87" s="26">
        <f t="shared" si="38"/>
        <v>0</v>
      </c>
      <c r="X87" s="26">
        <f t="shared" si="39"/>
        <v>0</v>
      </c>
      <c r="Y87" s="26">
        <f t="shared" si="40"/>
        <v>0</v>
      </c>
      <c r="Z87" s="26">
        <f t="shared" si="41"/>
        <v>0</v>
      </c>
      <c r="AA87" s="2">
        <v>2</v>
      </c>
      <c r="AB87" s="18">
        <v>0</v>
      </c>
      <c r="AC87" s="4">
        <v>0</v>
      </c>
      <c r="AD87" s="18">
        <v>0</v>
      </c>
      <c r="AE87" s="4">
        <v>0</v>
      </c>
      <c r="AF87" s="2">
        <v>0</v>
      </c>
      <c r="AG87" s="4">
        <v>0</v>
      </c>
      <c r="AH87" s="28">
        <f t="shared" si="42"/>
        <v>0</v>
      </c>
      <c r="AI87" s="4">
        <f t="shared" si="62"/>
        <v>0</v>
      </c>
      <c r="AJ87" s="26">
        <f t="shared" si="54"/>
        <v>0</v>
      </c>
      <c r="AK87" s="26">
        <f t="shared" si="43"/>
        <v>0</v>
      </c>
      <c r="AL87" s="4">
        <v>483334000</v>
      </c>
      <c r="AM87" s="4">
        <v>129845000</v>
      </c>
      <c r="AN87" s="12">
        <f t="shared" si="44"/>
        <v>-353489000</v>
      </c>
      <c r="AO87" s="12">
        <f t="shared" si="45"/>
        <v>613179000</v>
      </c>
      <c r="AP87" s="8">
        <v>6560654000</v>
      </c>
      <c r="AQ87" s="8">
        <v>5231459000</v>
      </c>
      <c r="AR87" s="13">
        <f t="shared" si="46"/>
        <v>-1329195000</v>
      </c>
      <c r="AS87" s="13">
        <f t="shared" si="47"/>
        <v>11792113000</v>
      </c>
      <c r="AT87" s="5">
        <f t="shared" si="58"/>
        <v>7.3671618713622142E-2</v>
      </c>
      <c r="AU87" s="5">
        <f t="shared" si="59"/>
        <v>2.4820035863800136E-2</v>
      </c>
      <c r="AV87" s="5">
        <f t="shared" si="48"/>
        <v>2.6257636775645003E-3</v>
      </c>
      <c r="AW87" s="5">
        <f t="shared" si="49"/>
        <v>2.5285571692007648E-3</v>
      </c>
      <c r="AX87" s="5">
        <f t="shared" si="60"/>
        <v>5.1999077688621199E-2</v>
      </c>
      <c r="AY87" s="10">
        <f t="shared" si="61"/>
        <v>2.4667527660276464E-2</v>
      </c>
      <c r="AZ87" s="24" t="s">
        <v>152</v>
      </c>
      <c r="BA87" s="29" t="s">
        <v>152</v>
      </c>
      <c r="BB87" s="24" t="s">
        <v>152</v>
      </c>
      <c r="BC87" s="29" t="s">
        <v>152</v>
      </c>
      <c r="BD87" s="24" t="s">
        <v>152</v>
      </c>
      <c r="BE87" s="29" t="s">
        <v>152</v>
      </c>
      <c r="BF87" s="24" t="s">
        <v>152</v>
      </c>
      <c r="BG87" s="29" t="s">
        <v>152</v>
      </c>
      <c r="BH87" s="26">
        <f t="shared" si="50"/>
        <v>0</v>
      </c>
      <c r="BI87" s="26">
        <f t="shared" si="51"/>
        <v>0</v>
      </c>
      <c r="BJ87" s="26">
        <f t="shared" si="52"/>
        <v>0</v>
      </c>
      <c r="BK87" s="26">
        <f t="shared" si="53"/>
        <v>0</v>
      </c>
      <c r="BL87" s="34">
        <f t="shared" si="57"/>
        <v>0</v>
      </c>
      <c r="BM87" s="35">
        <f t="shared" si="55"/>
        <v>0</v>
      </c>
    </row>
    <row r="88" spans="1:65" x14ac:dyDescent="0.35">
      <c r="A88" s="18">
        <v>87</v>
      </c>
      <c r="B88" t="s">
        <v>322</v>
      </c>
      <c r="C88" s="3" t="s">
        <v>165</v>
      </c>
      <c r="D88" s="17" t="s">
        <v>1</v>
      </c>
      <c r="E88" s="17" t="s">
        <v>10</v>
      </c>
      <c r="F88" s="2">
        <v>3</v>
      </c>
      <c r="G88" s="2">
        <v>1</v>
      </c>
      <c r="H88" s="2">
        <v>0</v>
      </c>
      <c r="I88" s="3" t="s">
        <v>152</v>
      </c>
      <c r="J88" s="2">
        <v>0</v>
      </c>
      <c r="K88" s="2" t="s">
        <v>152</v>
      </c>
      <c r="L88" s="4">
        <v>2870504096717.4771</v>
      </c>
      <c r="M88" s="2">
        <v>71</v>
      </c>
      <c r="N88" s="4">
        <v>34560000000</v>
      </c>
      <c r="O88" s="2">
        <v>0</v>
      </c>
      <c r="P88" s="4">
        <v>0</v>
      </c>
      <c r="Q88" s="2">
        <v>71</v>
      </c>
      <c r="R88" s="4">
        <v>34560000000</v>
      </c>
      <c r="S88" s="5">
        <f t="shared" si="34"/>
        <v>1.203969715267802E-2</v>
      </c>
      <c r="T88" s="15">
        <f t="shared" si="35"/>
        <v>0</v>
      </c>
      <c r="U88" s="5">
        <f t="shared" si="36"/>
        <v>1.203969715267802E-2</v>
      </c>
      <c r="V88" s="26">
        <f t="shared" si="37"/>
        <v>2.5740524195050015E-2</v>
      </c>
      <c r="W88" s="26">
        <f t="shared" si="38"/>
        <v>0</v>
      </c>
      <c r="X88" s="26">
        <f t="shared" si="39"/>
        <v>1.6128204290587679E-2</v>
      </c>
      <c r="Y88" s="26">
        <f t="shared" si="40"/>
        <v>2032941176.4705882</v>
      </c>
      <c r="Z88" s="26">
        <f t="shared" si="41"/>
        <v>7.0821747956929533E-4</v>
      </c>
      <c r="AA88" s="2">
        <v>1</v>
      </c>
      <c r="AB88" s="11">
        <v>27</v>
      </c>
      <c r="AC88" s="27">
        <v>6674670000</v>
      </c>
      <c r="AD88" s="11">
        <v>16</v>
      </c>
      <c r="AE88" s="27">
        <v>5207850000</v>
      </c>
      <c r="AF88" s="11">
        <v>1</v>
      </c>
      <c r="AG88" s="27">
        <v>35000000</v>
      </c>
      <c r="AH88" s="28">
        <f t="shared" si="42"/>
        <v>44</v>
      </c>
      <c r="AI88" s="4">
        <f t="shared" si="62"/>
        <v>11882520000</v>
      </c>
      <c r="AJ88" s="26">
        <f t="shared" si="54"/>
        <v>4.1395237908171184E-3</v>
      </c>
      <c r="AK88" s="26">
        <f t="shared" si="43"/>
        <v>0.29810465218088306</v>
      </c>
      <c r="AL88" s="4">
        <v>68402093000</v>
      </c>
      <c r="AM88" s="4">
        <v>17278833000</v>
      </c>
      <c r="AN88" s="12">
        <f t="shared" si="44"/>
        <v>-51123260000</v>
      </c>
      <c r="AO88" s="12">
        <f t="shared" si="45"/>
        <v>85680926000</v>
      </c>
      <c r="AP88" s="8">
        <v>478883729000</v>
      </c>
      <c r="AQ88" s="8">
        <v>323250726000</v>
      </c>
      <c r="AR88" s="13">
        <f t="shared" si="46"/>
        <v>-155633003000</v>
      </c>
      <c r="AS88" s="13">
        <f t="shared" si="47"/>
        <v>802134455000</v>
      </c>
      <c r="AT88" s="5">
        <f t="shared" si="58"/>
        <v>0.14283653600600826</v>
      </c>
      <c r="AU88" s="5">
        <f t="shared" si="59"/>
        <v>5.3453346304317348E-2</v>
      </c>
      <c r="AV88" s="5">
        <f t="shared" si="48"/>
        <v>0.19166313318532593</v>
      </c>
      <c r="AW88" s="5">
        <f t="shared" si="49"/>
        <v>0.15623900343606861</v>
      </c>
      <c r="AX88" s="5">
        <f t="shared" si="60"/>
        <v>0.10681616462915809</v>
      </c>
      <c r="AY88" s="10">
        <f t="shared" si="61"/>
        <v>2.9848738449103476E-2</v>
      </c>
      <c r="AZ88" s="24">
        <v>55</v>
      </c>
      <c r="BA88" s="19">
        <v>39265828068.341133</v>
      </c>
      <c r="BB88" s="17">
        <v>7</v>
      </c>
      <c r="BC88" s="19">
        <v>1318426.1142835901</v>
      </c>
      <c r="BD88" s="17">
        <v>40</v>
      </c>
      <c r="BE88" s="19">
        <v>37901803538.01329</v>
      </c>
      <c r="BF88" s="17">
        <v>8</v>
      </c>
      <c r="BG88" s="19">
        <v>1362706104.213562</v>
      </c>
      <c r="BH88" s="26">
        <f t="shared" si="50"/>
        <v>1.3679070555322668E-2</v>
      </c>
      <c r="BI88" s="26">
        <f t="shared" si="51"/>
        <v>4.5930124809480572E-7</v>
      </c>
      <c r="BJ88" s="26">
        <f t="shared" si="52"/>
        <v>1.3203884147511004E-2</v>
      </c>
      <c r="BK88" s="26">
        <f t="shared" si="53"/>
        <v>4.7472710656357002E-4</v>
      </c>
      <c r="BL88" s="34">
        <f t="shared" si="57"/>
        <v>2309754592.2553606</v>
      </c>
      <c r="BM88" s="35">
        <f t="shared" si="55"/>
        <v>8.0465120913662748E-4</v>
      </c>
    </row>
    <row r="89" spans="1:65" x14ac:dyDescent="0.35">
      <c r="A89" s="18">
        <v>88</v>
      </c>
      <c r="B89" t="s">
        <v>323</v>
      </c>
      <c r="C89" s="3" t="s">
        <v>53</v>
      </c>
      <c r="D89" s="17" t="s">
        <v>23</v>
      </c>
      <c r="E89" s="17" t="s">
        <v>10</v>
      </c>
      <c r="F89" s="2">
        <v>0</v>
      </c>
      <c r="G89" s="2">
        <v>1</v>
      </c>
      <c r="H89" s="2">
        <v>1</v>
      </c>
      <c r="I89" s="18">
        <v>2015</v>
      </c>
      <c r="J89" s="2">
        <v>0</v>
      </c>
      <c r="K89" s="2" t="s">
        <v>152</v>
      </c>
      <c r="L89" s="4">
        <v>1119091259074.6206</v>
      </c>
      <c r="M89" s="2">
        <v>42</v>
      </c>
      <c r="N89" s="4">
        <v>15520000000</v>
      </c>
      <c r="O89" s="2">
        <v>81</v>
      </c>
      <c r="P89" s="4">
        <v>39550000000</v>
      </c>
      <c r="Q89" s="2">
        <v>123</v>
      </c>
      <c r="R89" s="4">
        <v>55070000000</v>
      </c>
      <c r="S89" s="5">
        <f t="shared" si="34"/>
        <v>1.3868395337868628E-2</v>
      </c>
      <c r="T89" s="5">
        <f t="shared" si="35"/>
        <v>3.5341174975045374E-2</v>
      </c>
      <c r="U89" s="5">
        <f t="shared" si="36"/>
        <v>4.9209570312914001E-2</v>
      </c>
      <c r="V89" s="26">
        <f t="shared" si="37"/>
        <v>1.1559402069073386E-2</v>
      </c>
      <c r="W89" s="26">
        <f t="shared" si="38"/>
        <v>4.9739668486052768E-2</v>
      </c>
      <c r="X89" s="26">
        <f t="shared" si="39"/>
        <v>2.5699658862345591E-2</v>
      </c>
      <c r="Y89" s="26">
        <f t="shared" si="40"/>
        <v>3239411764.7058825</v>
      </c>
      <c r="Z89" s="26">
        <f t="shared" si="41"/>
        <v>2.8946806066420003E-3</v>
      </c>
      <c r="AA89" s="2">
        <v>1</v>
      </c>
      <c r="AB89" s="11">
        <v>10</v>
      </c>
      <c r="AC89" s="27">
        <v>2899900000</v>
      </c>
      <c r="AD89" s="11">
        <v>1</v>
      </c>
      <c r="AE89" s="27">
        <v>250000000</v>
      </c>
      <c r="AF89" s="2">
        <v>0</v>
      </c>
      <c r="AG89" s="4">
        <v>0</v>
      </c>
      <c r="AH89" s="28">
        <f t="shared" si="42"/>
        <v>11</v>
      </c>
      <c r="AI89" s="4">
        <f t="shared" si="62"/>
        <v>3149900000</v>
      </c>
      <c r="AJ89" s="26">
        <f t="shared" si="54"/>
        <v>2.8146944893526022E-3</v>
      </c>
      <c r="AK89" s="26">
        <f t="shared" si="43"/>
        <v>7.9023628313233521E-2</v>
      </c>
      <c r="AL89" s="4">
        <v>44930621000</v>
      </c>
      <c r="AM89" s="4">
        <v>27961887000</v>
      </c>
      <c r="AN89" s="12">
        <f t="shared" si="44"/>
        <v>-16968734000</v>
      </c>
      <c r="AO89" s="12">
        <f t="shared" si="45"/>
        <v>72892508000</v>
      </c>
      <c r="AP89" s="8">
        <v>171275737000</v>
      </c>
      <c r="AQ89" s="8">
        <v>167682996000</v>
      </c>
      <c r="AR89" s="13">
        <f t="shared" si="46"/>
        <v>-3592741000</v>
      </c>
      <c r="AS89" s="13">
        <f t="shared" si="47"/>
        <v>338958733000</v>
      </c>
      <c r="AT89" s="5">
        <f t="shared" si="58"/>
        <v>0.26232916457980271</v>
      </c>
      <c r="AU89" s="5">
        <f t="shared" si="59"/>
        <v>0.16675445732136132</v>
      </c>
      <c r="AV89" s="5">
        <f t="shared" si="48"/>
        <v>6.854950879328342E-2</v>
      </c>
      <c r="AW89" s="5">
        <f t="shared" si="49"/>
        <v>8.1047379266254993E-2</v>
      </c>
      <c r="AX89" s="5">
        <f t="shared" si="60"/>
        <v>0.21504832566151938</v>
      </c>
      <c r="AY89" s="10">
        <f t="shared" si="61"/>
        <v>6.5135445754687604E-2</v>
      </c>
      <c r="AZ89" s="24">
        <v>257</v>
      </c>
      <c r="BA89" s="19">
        <v>99427299972.997116</v>
      </c>
      <c r="BB89" s="17">
        <v>94</v>
      </c>
      <c r="BC89" s="19">
        <v>6537878994.209197</v>
      </c>
      <c r="BD89" s="17">
        <v>147</v>
      </c>
      <c r="BE89" s="19">
        <v>42066840342.080299</v>
      </c>
      <c r="BF89" s="17">
        <v>16</v>
      </c>
      <c r="BG89" s="19">
        <v>50822580636.707619</v>
      </c>
      <c r="BH89" s="26">
        <f t="shared" si="50"/>
        <v>8.8846462848091404E-2</v>
      </c>
      <c r="BI89" s="26">
        <f t="shared" si="51"/>
        <v>5.842132123894333E-3</v>
      </c>
      <c r="BJ89" s="26">
        <f t="shared" si="52"/>
        <v>3.7590178639108913E-2</v>
      </c>
      <c r="BK89" s="26">
        <f t="shared" si="53"/>
        <v>4.5414152085088165E-2</v>
      </c>
      <c r="BL89" s="34">
        <f t="shared" si="57"/>
        <v>5848664704.2939482</v>
      </c>
      <c r="BM89" s="35">
        <f t="shared" si="55"/>
        <v>5.226262520475965E-3</v>
      </c>
    </row>
    <row r="90" spans="1:65" x14ac:dyDescent="0.35">
      <c r="A90" s="18">
        <v>89</v>
      </c>
      <c r="B90" t="s">
        <v>325</v>
      </c>
      <c r="C90" s="3" t="s">
        <v>145</v>
      </c>
      <c r="D90" s="17" t="s">
        <v>7</v>
      </c>
      <c r="E90" s="17" t="s">
        <v>10</v>
      </c>
      <c r="F90" s="2">
        <v>0</v>
      </c>
      <c r="G90" s="2">
        <v>0</v>
      </c>
      <c r="H90" s="2">
        <v>1</v>
      </c>
      <c r="I90" s="18">
        <v>2018</v>
      </c>
      <c r="J90" s="2">
        <v>0</v>
      </c>
      <c r="K90" s="2" t="s">
        <v>152</v>
      </c>
      <c r="L90" s="4">
        <v>258245497664.39365</v>
      </c>
      <c r="M90" s="2">
        <v>17</v>
      </c>
      <c r="N90" s="4">
        <v>14680000000</v>
      </c>
      <c r="O90" s="2">
        <v>17</v>
      </c>
      <c r="P90" s="4">
        <v>11880000000</v>
      </c>
      <c r="Q90" s="2">
        <v>34</v>
      </c>
      <c r="R90" s="4">
        <v>26560000000</v>
      </c>
      <c r="S90" s="5">
        <f t="shared" si="34"/>
        <v>5.6845134311218806E-2</v>
      </c>
      <c r="T90" s="5">
        <f t="shared" si="35"/>
        <v>4.6002738121068081E-2</v>
      </c>
      <c r="U90" s="5">
        <f t="shared" si="36"/>
        <v>0.10284787243228689</v>
      </c>
      <c r="V90" s="26">
        <f t="shared" si="37"/>
        <v>1.0933764328221476E-2</v>
      </c>
      <c r="W90" s="26">
        <f t="shared" si="38"/>
        <v>1.4940765148275775E-2</v>
      </c>
      <c r="X90" s="26">
        <f t="shared" si="39"/>
        <v>1.2394823667766458E-2</v>
      </c>
      <c r="Y90" s="26">
        <f t="shared" si="40"/>
        <v>1562352941.1764705</v>
      </c>
      <c r="Z90" s="26">
        <f t="shared" si="41"/>
        <v>6.0498748489580525E-3</v>
      </c>
      <c r="AA90" s="2">
        <v>1</v>
      </c>
      <c r="AB90" s="18">
        <v>0</v>
      </c>
      <c r="AC90" s="4">
        <v>0</v>
      </c>
      <c r="AD90" s="18">
        <v>0</v>
      </c>
      <c r="AE90" s="4">
        <v>0</v>
      </c>
      <c r="AF90" s="2">
        <v>0</v>
      </c>
      <c r="AG90" s="4">
        <v>0</v>
      </c>
      <c r="AH90" s="28">
        <f t="shared" si="42"/>
        <v>0</v>
      </c>
      <c r="AI90" s="4">
        <f t="shared" si="62"/>
        <v>0</v>
      </c>
      <c r="AJ90" s="26">
        <f t="shared" si="54"/>
        <v>0</v>
      </c>
      <c r="AK90" s="26">
        <f t="shared" si="43"/>
        <v>0</v>
      </c>
      <c r="AL90" s="14">
        <v>9608726000</v>
      </c>
      <c r="AM90" s="14">
        <v>13401559000</v>
      </c>
      <c r="AN90" s="12">
        <f t="shared" si="44"/>
        <v>3792833000</v>
      </c>
      <c r="AO90" s="12">
        <f t="shared" si="45"/>
        <v>23010285000</v>
      </c>
      <c r="AP90" s="8">
        <v>35276061000</v>
      </c>
      <c r="AQ90" s="8">
        <v>30798216000</v>
      </c>
      <c r="AR90" s="13">
        <f t="shared" si="46"/>
        <v>-4477845000</v>
      </c>
      <c r="AS90" s="13">
        <f t="shared" si="47"/>
        <v>66074277000</v>
      </c>
      <c r="AT90" s="5">
        <f t="shared" si="58"/>
        <v>0.27238659100855961</v>
      </c>
      <c r="AU90" s="5">
        <f t="shared" si="59"/>
        <v>0.43514075620483994</v>
      </c>
      <c r="AV90" s="5">
        <f t="shared" si="48"/>
        <v>1.4118500939288924E-2</v>
      </c>
      <c r="AW90" s="5">
        <f t="shared" si="49"/>
        <v>1.4885914209667646E-2</v>
      </c>
      <c r="AX90" s="5">
        <f t="shared" si="60"/>
        <v>0.34824875949834455</v>
      </c>
      <c r="AY90" s="10">
        <f t="shared" si="61"/>
        <v>8.9102366577958003E-2</v>
      </c>
      <c r="AZ90" s="24">
        <v>77</v>
      </c>
      <c r="BA90" s="19">
        <v>89177687080.527771</v>
      </c>
      <c r="BB90" s="17">
        <v>10</v>
      </c>
      <c r="BC90" s="19">
        <v>6566530.3152619414</v>
      </c>
      <c r="BD90" s="17">
        <v>41</v>
      </c>
      <c r="BE90" s="19">
        <v>28422188032.474449</v>
      </c>
      <c r="BF90" s="17">
        <v>26</v>
      </c>
      <c r="BG90" s="19">
        <v>60748932517.738075</v>
      </c>
      <c r="BH90" s="26">
        <f t="shared" si="50"/>
        <v>0.34532136237441713</v>
      </c>
      <c r="BI90" s="26">
        <f t="shared" si="51"/>
        <v>2.5427472597394757E-5</v>
      </c>
      <c r="BJ90" s="26">
        <f t="shared" si="52"/>
        <v>0.1100587940139459</v>
      </c>
      <c r="BK90" s="26">
        <f t="shared" si="53"/>
        <v>0.2352371408878739</v>
      </c>
      <c r="BL90" s="34">
        <f t="shared" si="57"/>
        <v>5245746298.8545752</v>
      </c>
      <c r="BM90" s="35">
        <f t="shared" si="55"/>
        <v>2.0313021316142186E-2</v>
      </c>
    </row>
    <row r="91" spans="1:65" x14ac:dyDescent="0.35">
      <c r="A91" s="18">
        <v>90</v>
      </c>
      <c r="B91" t="s">
        <v>324</v>
      </c>
      <c r="C91" s="3" t="s">
        <v>54</v>
      </c>
      <c r="D91" s="17" t="s">
        <v>7</v>
      </c>
      <c r="E91" s="17" t="s">
        <v>5</v>
      </c>
      <c r="F91" s="2">
        <v>0</v>
      </c>
      <c r="G91" s="2">
        <v>0</v>
      </c>
      <c r="H91" s="2">
        <v>1</v>
      </c>
      <c r="I91" s="2">
        <v>2015</v>
      </c>
      <c r="J91" s="2">
        <v>0</v>
      </c>
      <c r="K91" s="2" t="s">
        <v>152</v>
      </c>
      <c r="L91" s="4">
        <v>222434137055.83755</v>
      </c>
      <c r="M91" s="2">
        <v>11</v>
      </c>
      <c r="N91" s="4">
        <v>13760000000</v>
      </c>
      <c r="O91" s="2">
        <v>28</v>
      </c>
      <c r="P91" s="4">
        <v>11370000000</v>
      </c>
      <c r="Q91" s="2">
        <v>39</v>
      </c>
      <c r="R91" s="4">
        <v>25130000000</v>
      </c>
      <c r="S91" s="5">
        <f t="shared" si="34"/>
        <v>6.1861008306228787E-2</v>
      </c>
      <c r="T91" s="5">
        <f t="shared" si="35"/>
        <v>5.1116254683271897E-2</v>
      </c>
      <c r="U91" s="5">
        <f t="shared" si="36"/>
        <v>0.11297726298950068</v>
      </c>
      <c r="V91" s="26">
        <f t="shared" si="37"/>
        <v>1.0248542040621764E-2</v>
      </c>
      <c r="W91" s="26">
        <f t="shared" si="38"/>
        <v>1.4299368664637675E-2</v>
      </c>
      <c r="X91" s="26">
        <f t="shared" si="39"/>
        <v>1.1727481881437164E-2</v>
      </c>
      <c r="Y91" s="26">
        <f t="shared" si="40"/>
        <v>1478235294.1176472</v>
      </c>
      <c r="Z91" s="26">
        <f t="shared" si="41"/>
        <v>6.6457213523235708E-3</v>
      </c>
      <c r="AA91" s="2">
        <v>0</v>
      </c>
      <c r="AB91" s="18" t="s">
        <v>152</v>
      </c>
      <c r="AC91" s="4" t="s">
        <v>152</v>
      </c>
      <c r="AD91" s="18" t="s">
        <v>152</v>
      </c>
      <c r="AE91" s="4" t="s">
        <v>152</v>
      </c>
      <c r="AF91" s="2" t="s">
        <v>152</v>
      </c>
      <c r="AG91" s="4" t="s">
        <v>152</v>
      </c>
      <c r="AH91" s="28">
        <f t="shared" si="42"/>
        <v>0</v>
      </c>
      <c r="AI91" s="4" t="str">
        <f t="shared" si="62"/>
        <v>na</v>
      </c>
      <c r="AJ91" s="26" t="str">
        <f t="shared" si="54"/>
        <v>na</v>
      </c>
      <c r="AK91" s="26" t="str">
        <f t="shared" si="43"/>
        <v>na</v>
      </c>
      <c r="AL91" s="14">
        <v>9473787000</v>
      </c>
      <c r="AM91" s="14">
        <v>23806377000</v>
      </c>
      <c r="AN91" s="12">
        <f t="shared" si="44"/>
        <v>14332590000</v>
      </c>
      <c r="AO91" s="12">
        <f t="shared" si="45"/>
        <v>33280164000</v>
      </c>
      <c r="AP91" s="8">
        <v>51027496000</v>
      </c>
      <c r="AQ91" s="8">
        <v>91224183000</v>
      </c>
      <c r="AR91" s="13">
        <f t="shared" si="46"/>
        <v>40196687000</v>
      </c>
      <c r="AS91" s="13">
        <f t="shared" si="47"/>
        <v>142251679000</v>
      </c>
      <c r="AT91" s="5">
        <f t="shared" si="58"/>
        <v>0.18566043295559712</v>
      </c>
      <c r="AU91" s="5">
        <f t="shared" si="59"/>
        <v>0.26096563671060774</v>
      </c>
      <c r="AV91" s="5">
        <f t="shared" si="48"/>
        <v>2.0422681268341208E-2</v>
      </c>
      <c r="AW91" s="5">
        <f t="shared" si="49"/>
        <v>4.4092013705762108E-2</v>
      </c>
      <c r="AX91" s="5">
        <f t="shared" si="60"/>
        <v>0.233952697317548</v>
      </c>
      <c r="AY91" s="10">
        <f t="shared" si="61"/>
        <v>0.14961805971196632</v>
      </c>
      <c r="AZ91" s="24">
        <v>20</v>
      </c>
      <c r="BA91" s="19">
        <v>8213165570.2614946</v>
      </c>
      <c r="BB91" s="17">
        <v>19</v>
      </c>
      <c r="BC91" s="19">
        <v>8213165570.2614946</v>
      </c>
      <c r="BD91" s="17">
        <v>1</v>
      </c>
      <c r="BE91" s="19">
        <v>0</v>
      </c>
      <c r="BF91" s="17">
        <v>0</v>
      </c>
      <c r="BG91" s="19">
        <v>0</v>
      </c>
      <c r="BH91" s="26">
        <f t="shared" si="50"/>
        <v>3.6924033689126355E-2</v>
      </c>
      <c r="BI91" s="26">
        <f t="shared" si="51"/>
        <v>3.6924033689126355E-2</v>
      </c>
      <c r="BJ91" s="26">
        <f t="shared" si="52"/>
        <v>0</v>
      </c>
      <c r="BK91" s="26">
        <f t="shared" si="53"/>
        <v>0</v>
      </c>
      <c r="BL91" s="34">
        <f t="shared" si="57"/>
        <v>483127386.48597026</v>
      </c>
      <c r="BM91" s="35">
        <f t="shared" si="55"/>
        <v>2.172001981713315E-3</v>
      </c>
    </row>
    <row r="92" spans="1:65" x14ac:dyDescent="0.35">
      <c r="A92" s="18">
        <v>91</v>
      </c>
      <c r="B92" t="s">
        <v>326</v>
      </c>
      <c r="C92" s="3" t="s">
        <v>177</v>
      </c>
      <c r="D92" s="17" t="s">
        <v>4</v>
      </c>
      <c r="E92" s="17" t="s">
        <v>13</v>
      </c>
      <c r="F92" s="2">
        <v>2</v>
      </c>
      <c r="G92" s="2">
        <v>0</v>
      </c>
      <c r="H92" s="2">
        <v>0</v>
      </c>
      <c r="I92" s="3" t="s">
        <v>152</v>
      </c>
      <c r="J92" s="2">
        <v>0</v>
      </c>
      <c r="K92" s="2" t="s">
        <v>152</v>
      </c>
      <c r="L92" s="4">
        <v>399122063504.14838</v>
      </c>
      <c r="M92" s="2">
        <v>6</v>
      </c>
      <c r="N92" s="4">
        <v>7930000000</v>
      </c>
      <c r="O92" s="2">
        <v>0</v>
      </c>
      <c r="P92" s="4">
        <v>0</v>
      </c>
      <c r="Q92" s="2">
        <v>6</v>
      </c>
      <c r="R92" s="4">
        <v>7930000000</v>
      </c>
      <c r="S92" s="5">
        <f t="shared" si="34"/>
        <v>1.9868608441180744E-2</v>
      </c>
      <c r="T92" s="15">
        <f t="shared" si="35"/>
        <v>0</v>
      </c>
      <c r="U92" s="5">
        <f t="shared" si="36"/>
        <v>1.9868608441180744E-2</v>
      </c>
      <c r="V92" s="26">
        <f t="shared" si="37"/>
        <v>5.9063181963757696E-3</v>
      </c>
      <c r="W92" s="26">
        <f t="shared" si="38"/>
        <v>0</v>
      </c>
      <c r="X92" s="26">
        <f t="shared" si="39"/>
        <v>3.7007135423715366E-3</v>
      </c>
      <c r="Y92" s="26">
        <f t="shared" si="40"/>
        <v>466470588.2352941</v>
      </c>
      <c r="Z92" s="26">
        <f t="shared" si="41"/>
        <v>1.1687416730106321E-3</v>
      </c>
      <c r="AA92" s="2">
        <v>2</v>
      </c>
      <c r="AB92" s="2">
        <v>0</v>
      </c>
      <c r="AC92" s="4">
        <v>0</v>
      </c>
      <c r="AD92" s="2">
        <v>0</v>
      </c>
      <c r="AE92" s="4">
        <v>0</v>
      </c>
      <c r="AF92" s="2">
        <v>0</v>
      </c>
      <c r="AG92" s="4">
        <v>0</v>
      </c>
      <c r="AH92" s="28">
        <f t="shared" si="42"/>
        <v>0</v>
      </c>
      <c r="AI92" s="4">
        <f t="shared" si="62"/>
        <v>0</v>
      </c>
      <c r="AJ92" s="26">
        <f t="shared" si="54"/>
        <v>0</v>
      </c>
      <c r="AK92" s="26">
        <f t="shared" si="43"/>
        <v>0</v>
      </c>
      <c r="AL92" s="4">
        <v>5706890000</v>
      </c>
      <c r="AM92" s="4">
        <v>9212614000</v>
      </c>
      <c r="AN92" s="12">
        <f t="shared" si="44"/>
        <v>3505724000</v>
      </c>
      <c r="AO92" s="12">
        <f t="shared" si="45"/>
        <v>14919504000</v>
      </c>
      <c r="AP92" s="8">
        <v>101473370000</v>
      </c>
      <c r="AQ92" s="8">
        <v>170743383000</v>
      </c>
      <c r="AR92" s="13">
        <f t="shared" si="46"/>
        <v>69270013000</v>
      </c>
      <c r="AS92" s="13">
        <f t="shared" si="47"/>
        <v>272216753000</v>
      </c>
      <c r="AT92" s="5">
        <f t="shared" si="58"/>
        <v>5.6240272694205388E-2</v>
      </c>
      <c r="AU92" s="5">
        <f t="shared" si="59"/>
        <v>5.3955906449387851E-2</v>
      </c>
      <c r="AV92" s="5">
        <f t="shared" si="48"/>
        <v>4.0612580572922032E-2</v>
      </c>
      <c r="AW92" s="5">
        <f t="shared" si="49"/>
        <v>8.2526577227928569E-2</v>
      </c>
      <c r="AX92" s="5">
        <f t="shared" si="60"/>
        <v>5.4807442361932808E-2</v>
      </c>
      <c r="AY92" s="10">
        <f t="shared" si="61"/>
        <v>3.7380804932235799E-2</v>
      </c>
      <c r="AZ92" s="24" t="s">
        <v>152</v>
      </c>
      <c r="BA92" s="29" t="s">
        <v>152</v>
      </c>
      <c r="BB92" s="24" t="s">
        <v>152</v>
      </c>
      <c r="BC92" s="29" t="s">
        <v>152</v>
      </c>
      <c r="BD92" s="24" t="s">
        <v>152</v>
      </c>
      <c r="BE92" s="29" t="s">
        <v>152</v>
      </c>
      <c r="BF92" s="24" t="s">
        <v>152</v>
      </c>
      <c r="BG92" s="29" t="s">
        <v>152</v>
      </c>
      <c r="BH92" s="26">
        <f t="shared" si="50"/>
        <v>0</v>
      </c>
      <c r="BI92" s="26">
        <f t="shared" si="51"/>
        <v>0</v>
      </c>
      <c r="BJ92" s="26">
        <f t="shared" si="52"/>
        <v>0</v>
      </c>
      <c r="BK92" s="26">
        <f t="shared" si="53"/>
        <v>0</v>
      </c>
      <c r="BL92" s="34">
        <f t="shared" si="57"/>
        <v>0</v>
      </c>
      <c r="BM92" s="35">
        <f t="shared" si="55"/>
        <v>0</v>
      </c>
    </row>
    <row r="93" spans="1:65" x14ac:dyDescent="0.35">
      <c r="A93" s="18">
        <v>92</v>
      </c>
      <c r="B93" t="s">
        <v>327</v>
      </c>
      <c r="C93" s="3" t="s">
        <v>181</v>
      </c>
      <c r="D93" s="17" t="s">
        <v>7</v>
      </c>
      <c r="E93" s="17" t="s">
        <v>13</v>
      </c>
      <c r="F93" s="2">
        <v>0</v>
      </c>
      <c r="G93" s="2">
        <v>0</v>
      </c>
      <c r="H93" s="2">
        <v>0</v>
      </c>
      <c r="I93" s="3" t="s">
        <v>152</v>
      </c>
      <c r="J93" s="2">
        <v>0</v>
      </c>
      <c r="K93" s="2" t="s">
        <v>152</v>
      </c>
      <c r="L93" s="4">
        <v>394652208893.13806</v>
      </c>
      <c r="M93" s="2">
        <v>3</v>
      </c>
      <c r="N93" s="4">
        <v>1820000000</v>
      </c>
      <c r="O93" s="2">
        <v>15</v>
      </c>
      <c r="P93" s="4">
        <v>10960000000</v>
      </c>
      <c r="Q93" s="2">
        <v>18</v>
      </c>
      <c r="R93" s="4">
        <v>12780000000</v>
      </c>
      <c r="S93" s="5">
        <f t="shared" si="34"/>
        <v>4.6116554246699035E-3</v>
      </c>
      <c r="T93" s="5">
        <f t="shared" si="35"/>
        <v>2.7771287612297878E-2</v>
      </c>
      <c r="U93" s="5">
        <f t="shared" si="36"/>
        <v>3.238294303696778E-2</v>
      </c>
      <c r="V93" s="26">
        <f t="shared" si="37"/>
        <v>1.3555484385124718E-3</v>
      </c>
      <c r="W93" s="26">
        <f t="shared" si="38"/>
        <v>1.3783736197399201E-2</v>
      </c>
      <c r="X93" s="26">
        <f t="shared" si="39"/>
        <v>5.9640755449569026E-3</v>
      </c>
      <c r="Y93" s="26">
        <f t="shared" si="40"/>
        <v>751764705.88235295</v>
      </c>
      <c r="Z93" s="26">
        <f t="shared" si="41"/>
        <v>1.9048790021745756E-3</v>
      </c>
      <c r="AA93" s="2">
        <v>1</v>
      </c>
      <c r="AB93" s="18">
        <v>0</v>
      </c>
      <c r="AC93" s="4">
        <v>0</v>
      </c>
      <c r="AD93" s="18">
        <v>0</v>
      </c>
      <c r="AE93" s="4">
        <v>0</v>
      </c>
      <c r="AF93" s="2">
        <v>0</v>
      </c>
      <c r="AG93" s="4">
        <v>0</v>
      </c>
      <c r="AH93" s="28">
        <f t="shared" si="42"/>
        <v>0</v>
      </c>
      <c r="AI93" s="4">
        <f t="shared" si="62"/>
        <v>0</v>
      </c>
      <c r="AJ93" s="26">
        <f t="shared" si="54"/>
        <v>0</v>
      </c>
      <c r="AK93" s="26">
        <f t="shared" si="43"/>
        <v>0</v>
      </c>
      <c r="AL93" s="4">
        <v>10230484000</v>
      </c>
      <c r="AM93" s="4">
        <v>4721776000</v>
      </c>
      <c r="AN93" s="12">
        <f t="shared" si="44"/>
        <v>-5508708000</v>
      </c>
      <c r="AO93" s="12">
        <f t="shared" si="45"/>
        <v>14952260000</v>
      </c>
      <c r="AP93" s="8">
        <v>76491065000</v>
      </c>
      <c r="AQ93" s="8">
        <v>58448249000</v>
      </c>
      <c r="AR93" s="13">
        <f t="shared" si="46"/>
        <v>-18042816000</v>
      </c>
      <c r="AS93" s="13">
        <f t="shared" si="47"/>
        <v>134939314000</v>
      </c>
      <c r="AT93" s="5">
        <f t="shared" si="58"/>
        <v>0.13374743834459621</v>
      </c>
      <c r="AU93" s="5">
        <f t="shared" si="59"/>
        <v>8.0785585210602293E-2</v>
      </c>
      <c r="AV93" s="5">
        <f t="shared" si="48"/>
        <v>3.0613938813908677E-2</v>
      </c>
      <c r="AW93" s="5">
        <f t="shared" si="49"/>
        <v>2.8250195411295663E-2</v>
      </c>
      <c r="AX93" s="5">
        <f t="shared" si="60"/>
        <v>0.11080729223212148</v>
      </c>
      <c r="AY93" s="10">
        <f t="shared" si="61"/>
        <v>3.7887181835205938E-2</v>
      </c>
      <c r="AZ93" s="24">
        <v>15</v>
      </c>
      <c r="BA93" s="19">
        <v>2654539877.4793816</v>
      </c>
      <c r="BB93" s="17">
        <v>0</v>
      </c>
      <c r="BC93" s="19">
        <v>0</v>
      </c>
      <c r="BD93" s="17">
        <v>15</v>
      </c>
      <c r="BE93" s="19">
        <v>2654539877.4793816</v>
      </c>
      <c r="BF93" s="17">
        <v>0</v>
      </c>
      <c r="BG93" s="19">
        <v>0</v>
      </c>
      <c r="BH93" s="26">
        <f t="shared" si="50"/>
        <v>6.726276497791412E-3</v>
      </c>
      <c r="BI93" s="26">
        <f t="shared" si="51"/>
        <v>0</v>
      </c>
      <c r="BJ93" s="26">
        <f t="shared" si="52"/>
        <v>6.726276497791412E-3</v>
      </c>
      <c r="BK93" s="26">
        <f t="shared" si="53"/>
        <v>0</v>
      </c>
      <c r="BL93" s="34">
        <f t="shared" si="57"/>
        <v>156149404.55761069</v>
      </c>
      <c r="BM93" s="35">
        <f t="shared" si="55"/>
        <v>3.9566332339949488E-4</v>
      </c>
    </row>
    <row r="94" spans="1:65" x14ac:dyDescent="0.35">
      <c r="A94" s="18">
        <v>93</v>
      </c>
      <c r="B94" t="s">
        <v>328</v>
      </c>
      <c r="C94" s="3" t="s">
        <v>55</v>
      </c>
      <c r="D94" s="17" t="s">
        <v>4</v>
      </c>
      <c r="E94" s="17" t="s">
        <v>13</v>
      </c>
      <c r="F94" s="2">
        <v>3</v>
      </c>
      <c r="G94" s="2">
        <v>0</v>
      </c>
      <c r="H94" s="2">
        <v>1</v>
      </c>
      <c r="I94" s="18">
        <v>2019</v>
      </c>
      <c r="J94" s="2">
        <v>0</v>
      </c>
      <c r="K94" s="2" t="s">
        <v>152</v>
      </c>
      <c r="L94" s="4">
        <v>2004913357799.9968</v>
      </c>
      <c r="M94" s="2">
        <v>7</v>
      </c>
      <c r="N94" s="4">
        <v>3550000000</v>
      </c>
      <c r="O94" s="2">
        <v>25</v>
      </c>
      <c r="P94" s="4">
        <v>23780000000</v>
      </c>
      <c r="Q94" s="2">
        <v>32</v>
      </c>
      <c r="R94" s="4">
        <v>27330000000</v>
      </c>
      <c r="S94" s="5">
        <f t="shared" si="34"/>
        <v>1.7706500813059751E-3</v>
      </c>
      <c r="T94" s="5">
        <f t="shared" si="35"/>
        <v>1.1860861671396081E-2</v>
      </c>
      <c r="U94" s="5">
        <f t="shared" si="36"/>
        <v>1.3631511752702056E-2</v>
      </c>
      <c r="V94" s="26">
        <f t="shared" si="37"/>
        <v>2.6440642619336677E-3</v>
      </c>
      <c r="W94" s="26">
        <f t="shared" si="38"/>
        <v>2.9906683099831476E-2</v>
      </c>
      <c r="X94" s="26">
        <f t="shared" si="39"/>
        <v>1.2754161552713E-2</v>
      </c>
      <c r="Y94" s="26">
        <f t="shared" si="40"/>
        <v>1607647058.8235295</v>
      </c>
      <c r="Z94" s="26">
        <f t="shared" si="41"/>
        <v>8.0185363251188569E-4</v>
      </c>
      <c r="AA94" s="2">
        <v>2</v>
      </c>
      <c r="AB94" s="18">
        <v>0</v>
      </c>
      <c r="AC94" s="4">
        <v>0</v>
      </c>
      <c r="AD94" s="2">
        <v>0</v>
      </c>
      <c r="AE94" s="4">
        <v>0</v>
      </c>
      <c r="AF94" s="2">
        <v>0</v>
      </c>
      <c r="AG94" s="4">
        <v>0</v>
      </c>
      <c r="AH94" s="28">
        <f t="shared" si="42"/>
        <v>0</v>
      </c>
      <c r="AI94" s="4">
        <f t="shared" si="62"/>
        <v>0</v>
      </c>
      <c r="AJ94" s="26">
        <f t="shared" si="54"/>
        <v>0</v>
      </c>
      <c r="AK94" s="26">
        <f t="shared" si="43"/>
        <v>0</v>
      </c>
      <c r="AL94" s="4">
        <v>35449437000</v>
      </c>
      <c r="AM94" s="4">
        <v>14519418000</v>
      </c>
      <c r="AN94" s="12">
        <f t="shared" si="44"/>
        <v>-20930019000</v>
      </c>
      <c r="AO94" s="12">
        <f t="shared" si="45"/>
        <v>49968855000</v>
      </c>
      <c r="AP94" s="8">
        <v>474957328000</v>
      </c>
      <c r="AQ94" s="8">
        <v>537748429000</v>
      </c>
      <c r="AR94" s="13">
        <f t="shared" si="46"/>
        <v>62791101000</v>
      </c>
      <c r="AS94" s="13">
        <f t="shared" si="47"/>
        <v>1012705757000</v>
      </c>
      <c r="AT94" s="5">
        <f t="shared" si="58"/>
        <v>7.4637098766902277E-2</v>
      </c>
      <c r="AU94" s="5">
        <f t="shared" si="59"/>
        <v>2.7000391292635463E-2</v>
      </c>
      <c r="AV94" s="5">
        <f t="shared" si="48"/>
        <v>0.19009167382634237</v>
      </c>
      <c r="AW94" s="5">
        <f t="shared" si="49"/>
        <v>0.25991365800141003</v>
      </c>
      <c r="AX94" s="5">
        <f t="shared" si="60"/>
        <v>4.9341928447238004E-2</v>
      </c>
      <c r="AY94" s="10">
        <f t="shared" si="61"/>
        <v>2.4923199202399011E-2</v>
      </c>
      <c r="AZ94" s="24" t="s">
        <v>152</v>
      </c>
      <c r="BA94" s="29" t="s">
        <v>152</v>
      </c>
      <c r="BB94" s="24" t="s">
        <v>152</v>
      </c>
      <c r="BC94" s="29" t="s">
        <v>152</v>
      </c>
      <c r="BD94" s="24" t="s">
        <v>152</v>
      </c>
      <c r="BE94" s="29" t="s">
        <v>152</v>
      </c>
      <c r="BF94" s="24" t="s">
        <v>152</v>
      </c>
      <c r="BG94" s="29" t="s">
        <v>152</v>
      </c>
      <c r="BH94" s="26">
        <f t="shared" si="50"/>
        <v>0</v>
      </c>
      <c r="BI94" s="26">
        <f t="shared" si="51"/>
        <v>0</v>
      </c>
      <c r="BJ94" s="26">
        <f t="shared" si="52"/>
        <v>0</v>
      </c>
      <c r="BK94" s="26">
        <f t="shared" si="53"/>
        <v>0</v>
      </c>
      <c r="BL94" s="34">
        <f t="shared" si="57"/>
        <v>0</v>
      </c>
      <c r="BM94" s="35">
        <f t="shared" si="55"/>
        <v>0</v>
      </c>
    </row>
    <row r="95" spans="1:65" x14ac:dyDescent="0.35">
      <c r="A95" s="18">
        <v>94</v>
      </c>
      <c r="B95" t="s">
        <v>330</v>
      </c>
      <c r="C95" s="3" t="s">
        <v>56</v>
      </c>
      <c r="D95" s="17" t="s">
        <v>12</v>
      </c>
      <c r="E95" s="17" t="s">
        <v>5</v>
      </c>
      <c r="F95" s="2">
        <v>1</v>
      </c>
      <c r="G95" s="2">
        <v>0</v>
      </c>
      <c r="H95" s="2">
        <v>1</v>
      </c>
      <c r="I95" s="2">
        <v>2019</v>
      </c>
      <c r="J95" s="2">
        <v>0</v>
      </c>
      <c r="K95" s="2" t="s">
        <v>152</v>
      </c>
      <c r="L95" s="4">
        <v>15830768549.891571</v>
      </c>
      <c r="M95" s="2">
        <v>2</v>
      </c>
      <c r="N95" s="4">
        <v>540000000</v>
      </c>
      <c r="O95" s="2">
        <v>4</v>
      </c>
      <c r="P95" s="4">
        <v>2140000000</v>
      </c>
      <c r="Q95" s="2">
        <v>6</v>
      </c>
      <c r="R95" s="4">
        <v>2680000000</v>
      </c>
      <c r="S95" s="5">
        <f t="shared" si="34"/>
        <v>3.4110788639108658E-2</v>
      </c>
      <c r="T95" s="5">
        <f t="shared" si="35"/>
        <v>0.1351797920142454</v>
      </c>
      <c r="U95" s="5">
        <f t="shared" si="36"/>
        <v>0.16929058065335406</v>
      </c>
      <c r="V95" s="26">
        <f t="shared" si="37"/>
        <v>4.0219569054765649E-4</v>
      </c>
      <c r="W95" s="26">
        <f t="shared" si="38"/>
        <v>2.6913499509520337E-3</v>
      </c>
      <c r="X95" s="26">
        <f t="shared" si="39"/>
        <v>1.2506825086451095E-3</v>
      </c>
      <c r="Y95" s="26">
        <f t="shared" si="40"/>
        <v>157647058.82352942</v>
      </c>
      <c r="Z95" s="26">
        <f t="shared" si="41"/>
        <v>9.9582694501972983E-3</v>
      </c>
      <c r="AA95" s="2">
        <v>0</v>
      </c>
      <c r="AB95" s="2" t="s">
        <v>152</v>
      </c>
      <c r="AC95" s="4" t="s">
        <v>152</v>
      </c>
      <c r="AD95" s="2" t="s">
        <v>152</v>
      </c>
      <c r="AE95" s="4" t="s">
        <v>152</v>
      </c>
      <c r="AF95" s="2" t="s">
        <v>152</v>
      </c>
      <c r="AG95" s="4" t="s">
        <v>152</v>
      </c>
      <c r="AH95" s="28">
        <f t="shared" si="42"/>
        <v>0</v>
      </c>
      <c r="AI95" s="4" t="str">
        <f t="shared" si="62"/>
        <v>na</v>
      </c>
      <c r="AJ95" s="26" t="str">
        <f t="shared" si="54"/>
        <v>na</v>
      </c>
      <c r="AK95" s="26" t="str">
        <f t="shared" si="43"/>
        <v>na</v>
      </c>
      <c r="AL95" s="4">
        <v>492158</v>
      </c>
      <c r="AM95" s="4">
        <v>36193</v>
      </c>
      <c r="AN95" s="12">
        <f t="shared" si="44"/>
        <v>-455965</v>
      </c>
      <c r="AO95" s="12">
        <f t="shared" si="45"/>
        <v>528351</v>
      </c>
      <c r="AP95" s="8">
        <v>6339233000</v>
      </c>
      <c r="AQ95" s="8">
        <v>1586351000</v>
      </c>
      <c r="AR95" s="13">
        <f t="shared" si="46"/>
        <v>-4752882000</v>
      </c>
      <c r="AS95" s="13">
        <f t="shared" si="47"/>
        <v>7925584000</v>
      </c>
      <c r="AT95" s="5">
        <f t="shared" si="58"/>
        <v>7.7636837137868263E-5</v>
      </c>
      <c r="AU95" s="5">
        <f t="shared" si="59"/>
        <v>2.2815253370786162E-5</v>
      </c>
      <c r="AV95" s="5">
        <f t="shared" si="48"/>
        <v>2.5371445826922493E-3</v>
      </c>
      <c r="AW95" s="5">
        <f t="shared" si="49"/>
        <v>7.6674197273051401E-4</v>
      </c>
      <c r="AX95" s="5">
        <f t="shared" si="60"/>
        <v>6.6663983373338795E-5</v>
      </c>
      <c r="AY95" s="10">
        <f t="shared" si="61"/>
        <v>3.3374943126410549E-5</v>
      </c>
      <c r="AZ95" s="24">
        <v>79</v>
      </c>
      <c r="BA95" s="19">
        <v>2417432921.7819471</v>
      </c>
      <c r="BB95" s="17">
        <v>52</v>
      </c>
      <c r="BC95" s="19">
        <v>392676844.9338299</v>
      </c>
      <c r="BD95" s="17">
        <v>24</v>
      </c>
      <c r="BE95" s="19">
        <v>2003071917.3938727</v>
      </c>
      <c r="BF95" s="17">
        <v>3</v>
      </c>
      <c r="BG95" s="19">
        <v>21684159.454244822</v>
      </c>
      <c r="BH95" s="26">
        <f t="shared" si="50"/>
        <v>0.15270471008171646</v>
      </c>
      <c r="BI95" s="26">
        <f t="shared" si="51"/>
        <v>2.4804660853722068E-2</v>
      </c>
      <c r="BJ95" s="26">
        <f t="shared" si="52"/>
        <v>0.12653030148732686</v>
      </c>
      <c r="BK95" s="26">
        <f t="shared" si="53"/>
        <v>1.3697477406675459E-3</v>
      </c>
      <c r="BL95" s="34">
        <f t="shared" si="57"/>
        <v>142201936.57540867</v>
      </c>
      <c r="BM95" s="35">
        <f t="shared" si="55"/>
        <v>8.9826300048068512E-3</v>
      </c>
    </row>
    <row r="96" spans="1:65" x14ac:dyDescent="0.35">
      <c r="A96" s="18">
        <v>95</v>
      </c>
      <c r="B96" t="s">
        <v>331</v>
      </c>
      <c r="C96" s="3" t="s">
        <v>164</v>
      </c>
      <c r="D96" s="17" t="s">
        <v>23</v>
      </c>
      <c r="E96" s="17" t="s">
        <v>13</v>
      </c>
      <c r="F96" s="2">
        <v>0</v>
      </c>
      <c r="G96" s="2">
        <v>0</v>
      </c>
      <c r="H96" s="2">
        <v>0</v>
      </c>
      <c r="I96" s="3" t="s">
        <v>152</v>
      </c>
      <c r="J96" s="2">
        <v>0</v>
      </c>
      <c r="K96" s="2" t="s">
        <v>152</v>
      </c>
      <c r="L96" s="4">
        <v>5148781948478.1729</v>
      </c>
      <c r="M96" s="2">
        <v>26</v>
      </c>
      <c r="N96" s="4">
        <v>11800000000</v>
      </c>
      <c r="O96" s="2">
        <v>0</v>
      </c>
      <c r="P96" s="4">
        <v>0</v>
      </c>
      <c r="Q96" s="2">
        <v>26</v>
      </c>
      <c r="R96" s="4">
        <v>11800000000</v>
      </c>
      <c r="S96" s="5">
        <f t="shared" si="34"/>
        <v>2.2918041816643118E-3</v>
      </c>
      <c r="T96" s="15">
        <f t="shared" si="35"/>
        <v>0</v>
      </c>
      <c r="U96" s="5">
        <f t="shared" si="36"/>
        <v>2.2918041816643118E-3</v>
      </c>
      <c r="V96" s="26">
        <f t="shared" si="37"/>
        <v>8.7887206453006409E-3</v>
      </c>
      <c r="W96" s="26">
        <f t="shared" si="38"/>
        <v>0</v>
      </c>
      <c r="X96" s="26">
        <f t="shared" si="39"/>
        <v>5.5067364186613035E-3</v>
      </c>
      <c r="Y96" s="26">
        <f t="shared" si="40"/>
        <v>694117647.05882359</v>
      </c>
      <c r="Z96" s="26">
        <f t="shared" si="41"/>
        <v>1.34812010686136E-4</v>
      </c>
      <c r="AA96" s="2">
        <v>0</v>
      </c>
      <c r="AB96" s="18" t="s">
        <v>152</v>
      </c>
      <c r="AC96" s="4" t="s">
        <v>152</v>
      </c>
      <c r="AD96" s="18" t="s">
        <v>152</v>
      </c>
      <c r="AE96" s="4" t="s">
        <v>152</v>
      </c>
      <c r="AF96" s="2" t="s">
        <v>152</v>
      </c>
      <c r="AG96" s="4" t="s">
        <v>152</v>
      </c>
      <c r="AH96" s="28">
        <f t="shared" si="42"/>
        <v>0</v>
      </c>
      <c r="AI96" s="4" t="str">
        <f t="shared" si="62"/>
        <v>na</v>
      </c>
      <c r="AJ96" s="26" t="str">
        <f t="shared" si="54"/>
        <v>na</v>
      </c>
      <c r="AK96" s="26" t="str">
        <f t="shared" si="43"/>
        <v>na</v>
      </c>
      <c r="AL96" s="4">
        <v>169236468000</v>
      </c>
      <c r="AM96" s="4">
        <v>134719884000</v>
      </c>
      <c r="AN96" s="12">
        <f t="shared" si="44"/>
        <v>-34516584000</v>
      </c>
      <c r="AO96" s="12">
        <f t="shared" si="45"/>
        <v>303956352000</v>
      </c>
      <c r="AP96" s="8">
        <v>720964445000</v>
      </c>
      <c r="AQ96" s="8">
        <v>705842013000</v>
      </c>
      <c r="AR96" s="13">
        <f t="shared" si="46"/>
        <v>-15122432000</v>
      </c>
      <c r="AS96" s="13">
        <f t="shared" si="47"/>
        <v>1426806458000</v>
      </c>
      <c r="AT96" s="5">
        <f t="shared" si="58"/>
        <v>0.23473621920426327</v>
      </c>
      <c r="AU96" s="5">
        <f t="shared" si="59"/>
        <v>0.19086407654796259</v>
      </c>
      <c r="AV96" s="5">
        <f t="shared" si="48"/>
        <v>0.28855084454940749</v>
      </c>
      <c r="AW96" s="5">
        <f t="shared" si="49"/>
        <v>0.34115948959826486</v>
      </c>
      <c r="AX96" s="5">
        <f t="shared" si="60"/>
        <v>0.21303264384299556</v>
      </c>
      <c r="AY96" s="10">
        <f t="shared" si="61"/>
        <v>5.90346134370364E-2</v>
      </c>
      <c r="AZ96" s="24" t="s">
        <v>152</v>
      </c>
      <c r="BA96" s="29" t="s">
        <v>152</v>
      </c>
      <c r="BB96" s="24" t="s">
        <v>152</v>
      </c>
      <c r="BC96" s="29" t="s">
        <v>152</v>
      </c>
      <c r="BD96" s="24" t="s">
        <v>152</v>
      </c>
      <c r="BE96" s="29" t="s">
        <v>152</v>
      </c>
      <c r="BF96" s="24" t="s">
        <v>152</v>
      </c>
      <c r="BG96" s="29" t="s">
        <v>152</v>
      </c>
      <c r="BH96" s="26">
        <f t="shared" si="50"/>
        <v>0</v>
      </c>
      <c r="BI96" s="26">
        <f t="shared" si="51"/>
        <v>0</v>
      </c>
      <c r="BJ96" s="26">
        <f t="shared" si="52"/>
        <v>0</v>
      </c>
      <c r="BK96" s="26">
        <f t="shared" si="53"/>
        <v>0</v>
      </c>
      <c r="BL96" s="34">
        <f t="shared" si="57"/>
        <v>0</v>
      </c>
      <c r="BM96" s="35">
        <f t="shared" si="55"/>
        <v>0</v>
      </c>
    </row>
    <row r="97" spans="1:65" x14ac:dyDescent="0.35">
      <c r="A97" s="18">
        <v>96</v>
      </c>
      <c r="B97" t="s">
        <v>332</v>
      </c>
      <c r="C97" s="3" t="s">
        <v>183</v>
      </c>
      <c r="D97" s="17" t="s">
        <v>7</v>
      </c>
      <c r="E97" s="17" t="s">
        <v>5</v>
      </c>
      <c r="F97" s="2">
        <v>0</v>
      </c>
      <c r="G97" s="2">
        <v>0</v>
      </c>
      <c r="H97" s="2">
        <v>0</v>
      </c>
      <c r="I97" s="3" t="s">
        <v>152</v>
      </c>
      <c r="J97" s="2">
        <v>0</v>
      </c>
      <c r="K97" s="2" t="s">
        <v>152</v>
      </c>
      <c r="L97" s="4">
        <v>44502895915.492958</v>
      </c>
      <c r="M97" s="2">
        <v>3</v>
      </c>
      <c r="N97" s="4">
        <v>1940000000</v>
      </c>
      <c r="O97" s="2">
        <v>7</v>
      </c>
      <c r="P97" s="4">
        <v>4400000000</v>
      </c>
      <c r="Q97" s="2">
        <v>10</v>
      </c>
      <c r="R97" s="4">
        <v>6340000000</v>
      </c>
      <c r="S97" s="5">
        <f t="shared" si="34"/>
        <v>4.3592668748655986E-2</v>
      </c>
      <c r="T97" s="5">
        <f t="shared" si="35"/>
        <v>9.8869970357776463E-2</v>
      </c>
      <c r="U97" s="5">
        <f t="shared" si="36"/>
        <v>0.14246263910643245</v>
      </c>
      <c r="V97" s="26">
        <f t="shared" si="37"/>
        <v>1.4449252586341732E-3</v>
      </c>
      <c r="W97" s="26">
        <f t="shared" si="38"/>
        <v>5.5336167215836209E-3</v>
      </c>
      <c r="X97" s="26">
        <f t="shared" si="39"/>
        <v>2.958704143585819E-3</v>
      </c>
      <c r="Y97" s="26">
        <f t="shared" si="40"/>
        <v>372941176.47058821</v>
      </c>
      <c r="Z97" s="26">
        <f t="shared" si="41"/>
        <v>8.3801552415548493E-3</v>
      </c>
      <c r="AA97" s="2">
        <v>1</v>
      </c>
      <c r="AB97" s="11">
        <v>1</v>
      </c>
      <c r="AC97" s="27">
        <v>250000000</v>
      </c>
      <c r="AD97" s="18">
        <v>0</v>
      </c>
      <c r="AE97" s="4">
        <v>0</v>
      </c>
      <c r="AF97" s="2">
        <v>0</v>
      </c>
      <c r="AG97" s="4">
        <v>0</v>
      </c>
      <c r="AH97" s="28">
        <f t="shared" si="42"/>
        <v>1</v>
      </c>
      <c r="AI97" s="4">
        <f t="shared" si="62"/>
        <v>250000000</v>
      </c>
      <c r="AJ97" s="26">
        <f t="shared" si="54"/>
        <v>5.6176119521463902E-3</v>
      </c>
      <c r="AK97" s="26">
        <f t="shared" si="43"/>
        <v>6.2719156412293659E-3</v>
      </c>
      <c r="AL97" s="4">
        <v>3086738000</v>
      </c>
      <c r="AM97" s="4">
        <v>206890000</v>
      </c>
      <c r="AN97" s="12">
        <f t="shared" si="44"/>
        <v>-2879848000</v>
      </c>
      <c r="AO97" s="12">
        <f t="shared" si="45"/>
        <v>3293628000</v>
      </c>
      <c r="AP97" s="8">
        <v>19336709000</v>
      </c>
      <c r="AQ97" s="8">
        <v>8312917000</v>
      </c>
      <c r="AR97" s="13">
        <f t="shared" si="46"/>
        <v>-11023792000</v>
      </c>
      <c r="AS97" s="13">
        <f t="shared" si="47"/>
        <v>27649626000</v>
      </c>
      <c r="AT97" s="5">
        <f t="shared" si="58"/>
        <v>0.15963098994766897</v>
      </c>
      <c r="AU97" s="5">
        <f t="shared" si="59"/>
        <v>2.4887774050913778E-2</v>
      </c>
      <c r="AV97" s="5">
        <f t="shared" si="48"/>
        <v>7.7391107861860368E-3</v>
      </c>
      <c r="AW97" s="5">
        <f t="shared" si="49"/>
        <v>4.0179395226687068E-3</v>
      </c>
      <c r="AX97" s="5">
        <f t="shared" si="60"/>
        <v>0.11912016459101472</v>
      </c>
      <c r="AY97" s="10">
        <f t="shared" si="61"/>
        <v>7.4009296074896036E-2</v>
      </c>
      <c r="AZ97" s="24">
        <v>72</v>
      </c>
      <c r="BA97" s="19">
        <v>4727412211.0386553</v>
      </c>
      <c r="BB97" s="17">
        <v>56</v>
      </c>
      <c r="BC97" s="19">
        <v>282307787.39558607</v>
      </c>
      <c r="BD97" s="17">
        <v>15</v>
      </c>
      <c r="BE97" s="19">
        <v>1692278229.7153194</v>
      </c>
      <c r="BF97" s="17">
        <v>1</v>
      </c>
      <c r="BG97" s="19">
        <v>2752826193.9277501</v>
      </c>
      <c r="BH97" s="26">
        <f t="shared" si="50"/>
        <v>0.10622706935781417</v>
      </c>
      <c r="BI97" s="26">
        <f t="shared" si="51"/>
        <v>6.3435824026297849E-3</v>
      </c>
      <c r="BJ97" s="26">
        <f t="shared" si="52"/>
        <v>3.8026249638423652E-2</v>
      </c>
      <c r="BK97" s="26">
        <f t="shared" si="53"/>
        <v>6.1857237316760738E-2</v>
      </c>
      <c r="BL97" s="34">
        <f t="shared" si="57"/>
        <v>278083071.23756796</v>
      </c>
      <c r="BM97" s="35">
        <f t="shared" si="55"/>
        <v>6.2486511386949514E-3</v>
      </c>
    </row>
    <row r="98" spans="1:65" x14ac:dyDescent="0.35">
      <c r="A98" s="18">
        <v>97</v>
      </c>
      <c r="B98" t="s">
        <v>333</v>
      </c>
      <c r="C98" s="3" t="s">
        <v>57</v>
      </c>
      <c r="D98" s="17" t="s">
        <v>4</v>
      </c>
      <c r="E98" s="17" t="s">
        <v>5</v>
      </c>
      <c r="F98" s="2">
        <v>3</v>
      </c>
      <c r="G98" s="2">
        <v>0</v>
      </c>
      <c r="H98" s="2">
        <v>1</v>
      </c>
      <c r="I98" s="18">
        <v>2015</v>
      </c>
      <c r="J98" s="2">
        <v>0</v>
      </c>
      <c r="K98" s="2" t="s">
        <v>152</v>
      </c>
      <c r="L98" s="4">
        <v>181667190075.54071</v>
      </c>
      <c r="M98" s="2">
        <v>19</v>
      </c>
      <c r="N98" s="4">
        <v>22190000000</v>
      </c>
      <c r="O98" s="2">
        <v>27</v>
      </c>
      <c r="P98" s="4">
        <v>12490000000</v>
      </c>
      <c r="Q98" s="2">
        <v>46</v>
      </c>
      <c r="R98" s="4">
        <v>34680000000</v>
      </c>
      <c r="S98" s="5">
        <f t="shared" si="34"/>
        <v>0.12214643706864718</v>
      </c>
      <c r="T98" s="5">
        <f t="shared" si="35"/>
        <v>6.8752095492897847E-2</v>
      </c>
      <c r="U98" s="5">
        <f t="shared" si="36"/>
        <v>0.19089853256154504</v>
      </c>
      <c r="V98" s="26">
        <f t="shared" si="37"/>
        <v>1.652726365417129E-2</v>
      </c>
      <c r="W98" s="26">
        <f t="shared" si="38"/>
        <v>1.5707925648313505E-2</v>
      </c>
      <c r="X98" s="26">
        <f t="shared" si="39"/>
        <v>1.6184204999930001E-2</v>
      </c>
      <c r="Y98" s="26">
        <f t="shared" si="40"/>
        <v>2040000000</v>
      </c>
      <c r="Z98" s="26">
        <f t="shared" si="41"/>
        <v>1.1229325444796767E-2</v>
      </c>
      <c r="AA98" s="2">
        <v>1</v>
      </c>
      <c r="AB98" s="11">
        <v>2</v>
      </c>
      <c r="AC98" s="27">
        <v>796700000</v>
      </c>
      <c r="AD98" s="2">
        <v>0</v>
      </c>
      <c r="AE98" s="4">
        <v>0</v>
      </c>
      <c r="AF98" s="2">
        <v>0</v>
      </c>
      <c r="AG98" s="4">
        <v>0</v>
      </c>
      <c r="AH98" s="28">
        <f t="shared" si="42"/>
        <v>2</v>
      </c>
      <c r="AI98" s="4">
        <f t="shared" si="62"/>
        <v>796700000</v>
      </c>
      <c r="AJ98" s="26">
        <f t="shared" si="54"/>
        <v>4.3854919518968548E-3</v>
      </c>
      <c r="AK98" s="26">
        <f t="shared" si="43"/>
        <v>1.9987340765469742E-2</v>
      </c>
      <c r="AL98" s="4">
        <v>6537806000</v>
      </c>
      <c r="AM98" s="4">
        <v>7823406000</v>
      </c>
      <c r="AN98" s="12">
        <f t="shared" si="44"/>
        <v>1285600000</v>
      </c>
      <c r="AO98" s="12">
        <f t="shared" si="45"/>
        <v>14361212000</v>
      </c>
      <c r="AP98" s="8">
        <v>38356664000</v>
      </c>
      <c r="AQ98" s="8">
        <v>57722942000</v>
      </c>
      <c r="AR98" s="13">
        <f t="shared" si="46"/>
        <v>19366278000</v>
      </c>
      <c r="AS98" s="13">
        <f t="shared" si="47"/>
        <v>96079606000</v>
      </c>
      <c r="AT98" s="5">
        <f t="shared" si="58"/>
        <v>0.17044772193953051</v>
      </c>
      <c r="AU98" s="5">
        <f t="shared" si="59"/>
        <v>0.13553373630886659</v>
      </c>
      <c r="AV98" s="5">
        <f t="shared" si="48"/>
        <v>1.535144745077943E-2</v>
      </c>
      <c r="AW98" s="5">
        <f t="shared" si="49"/>
        <v>2.7899627775245857E-2</v>
      </c>
      <c r="AX98" s="5">
        <f t="shared" si="60"/>
        <v>0.14947201178156372</v>
      </c>
      <c r="AY98" s="10">
        <f t="shared" si="61"/>
        <v>7.905231535770621E-2</v>
      </c>
      <c r="AZ98" s="24">
        <v>124</v>
      </c>
      <c r="BA98" s="19">
        <v>83520871989.101364</v>
      </c>
      <c r="BB98" s="17">
        <v>52</v>
      </c>
      <c r="BC98" s="19">
        <v>27212651292.361855</v>
      </c>
      <c r="BD98" s="17">
        <v>59</v>
      </c>
      <c r="BE98" s="19">
        <v>50505760818.666328</v>
      </c>
      <c r="BF98" s="17">
        <v>13</v>
      </c>
      <c r="BG98" s="19">
        <v>5802459878.0731754</v>
      </c>
      <c r="BH98" s="26">
        <f t="shared" si="50"/>
        <v>0.45974659460726935</v>
      </c>
      <c r="BI98" s="26">
        <f t="shared" si="51"/>
        <v>0.14979397920475521</v>
      </c>
      <c r="BJ98" s="26">
        <f t="shared" si="52"/>
        <v>0.27801256130875951</v>
      </c>
      <c r="BK98" s="26">
        <f t="shared" si="53"/>
        <v>3.1940054093754632E-2</v>
      </c>
      <c r="BL98" s="34">
        <f t="shared" si="57"/>
        <v>4912992469.9471388</v>
      </c>
      <c r="BM98" s="35">
        <f t="shared" si="55"/>
        <v>2.7043917329839372E-2</v>
      </c>
    </row>
    <row r="99" spans="1:65" x14ac:dyDescent="0.35">
      <c r="A99" s="18">
        <v>98</v>
      </c>
      <c r="B99" t="s">
        <v>334</v>
      </c>
      <c r="C99" s="3" t="s">
        <v>58</v>
      </c>
      <c r="D99" s="17" t="s">
        <v>9</v>
      </c>
      <c r="E99" s="17" t="s">
        <v>10</v>
      </c>
      <c r="F99" s="2">
        <v>0</v>
      </c>
      <c r="G99" s="2">
        <v>0</v>
      </c>
      <c r="H99" s="2">
        <v>1</v>
      </c>
      <c r="I99" s="2">
        <v>2017</v>
      </c>
      <c r="J99" s="2">
        <v>0</v>
      </c>
      <c r="K99" s="2" t="s">
        <v>152</v>
      </c>
      <c r="L99" s="4">
        <v>95503088538.09198</v>
      </c>
      <c r="M99" s="2">
        <v>10</v>
      </c>
      <c r="N99" s="4">
        <v>7340000000</v>
      </c>
      <c r="O99" s="2">
        <v>32</v>
      </c>
      <c r="P99" s="4">
        <v>9220000000</v>
      </c>
      <c r="Q99" s="2">
        <v>42</v>
      </c>
      <c r="R99" s="4">
        <v>16560000000</v>
      </c>
      <c r="S99" s="5">
        <f t="shared" si="34"/>
        <v>7.6856153160663451E-2</v>
      </c>
      <c r="T99" s="5">
        <f t="shared" si="35"/>
        <v>9.6541380400724394E-2</v>
      </c>
      <c r="U99" s="5">
        <f t="shared" si="36"/>
        <v>0.17339753356138785</v>
      </c>
      <c r="V99" s="26">
        <f t="shared" si="37"/>
        <v>5.4668821641107382E-3</v>
      </c>
      <c r="W99" s="26">
        <f t="shared" si="38"/>
        <v>1.1595442312045677E-2</v>
      </c>
      <c r="X99" s="26">
        <f t="shared" si="39"/>
        <v>7.7280978892399306E-3</v>
      </c>
      <c r="Y99" s="26">
        <f t="shared" si="40"/>
        <v>974117647.05882359</v>
      </c>
      <c r="Z99" s="26">
        <f t="shared" si="41"/>
        <v>1.0199854915375757E-2</v>
      </c>
      <c r="AA99" s="2">
        <v>3</v>
      </c>
      <c r="AB99" s="2">
        <v>0</v>
      </c>
      <c r="AC99" s="4">
        <v>0</v>
      </c>
      <c r="AD99" s="2">
        <v>0</v>
      </c>
      <c r="AE99" s="4">
        <v>0</v>
      </c>
      <c r="AF99" s="2">
        <v>0</v>
      </c>
      <c r="AG99" s="4">
        <v>0</v>
      </c>
      <c r="AH99" s="28">
        <f t="shared" si="42"/>
        <v>0</v>
      </c>
      <c r="AI99" s="4">
        <f t="shared" si="62"/>
        <v>0</v>
      </c>
      <c r="AJ99" s="26">
        <f t="shared" si="54"/>
        <v>0</v>
      </c>
      <c r="AK99" s="26">
        <f t="shared" si="43"/>
        <v>0</v>
      </c>
      <c r="AL99" s="4">
        <v>3590419000</v>
      </c>
      <c r="AM99" s="4">
        <v>148552000</v>
      </c>
      <c r="AN99" s="12">
        <f t="shared" si="44"/>
        <v>-3441867000</v>
      </c>
      <c r="AO99" s="12">
        <f t="shared" si="45"/>
        <v>3738971000</v>
      </c>
      <c r="AP99" s="8">
        <v>17220379000</v>
      </c>
      <c r="AQ99" s="8">
        <v>5836027000</v>
      </c>
      <c r="AR99" s="13">
        <f t="shared" si="46"/>
        <v>-11384352000</v>
      </c>
      <c r="AS99" s="13">
        <f t="shared" si="47"/>
        <v>23056406000</v>
      </c>
      <c r="AT99" s="5">
        <f t="shared" si="58"/>
        <v>0.20849825662954341</v>
      </c>
      <c r="AU99" s="5">
        <f t="shared" si="59"/>
        <v>2.5454303072963851E-2</v>
      </c>
      <c r="AV99" s="5">
        <f t="shared" si="48"/>
        <v>6.8920942473257212E-3</v>
      </c>
      <c r="AW99" s="5">
        <f t="shared" si="49"/>
        <v>2.8207671914277123E-3</v>
      </c>
      <c r="AX99" s="5">
        <f t="shared" si="60"/>
        <v>0.1621662543589838</v>
      </c>
      <c r="AY99" s="10">
        <f t="shared" si="61"/>
        <v>3.9150262648403135E-2</v>
      </c>
      <c r="AZ99" s="24">
        <v>191</v>
      </c>
      <c r="BA99" s="19">
        <v>15971557294.632847</v>
      </c>
      <c r="BB99" s="17">
        <v>133</v>
      </c>
      <c r="BC99" s="19">
        <v>2806509408.8657408</v>
      </c>
      <c r="BD99" s="17">
        <v>36</v>
      </c>
      <c r="BE99" s="19">
        <v>7976308103.5065899</v>
      </c>
      <c r="BF99" s="17">
        <v>22</v>
      </c>
      <c r="BG99" s="19">
        <v>5188739782.2605143</v>
      </c>
      <c r="BH99" s="26">
        <f t="shared" si="50"/>
        <v>0.16723602910771304</v>
      </c>
      <c r="BI99" s="26">
        <f t="shared" si="51"/>
        <v>2.9386582694091067E-2</v>
      </c>
      <c r="BJ99" s="26">
        <f t="shared" si="52"/>
        <v>8.351884976290784E-2</v>
      </c>
      <c r="BK99" s="26">
        <f t="shared" si="53"/>
        <v>5.4330596650714123E-2</v>
      </c>
      <c r="BL99" s="34">
        <f t="shared" si="57"/>
        <v>939503370.27252042</v>
      </c>
      <c r="BM99" s="35">
        <f t="shared" si="55"/>
        <v>9.8374134769242966E-3</v>
      </c>
    </row>
    <row r="100" spans="1:65" x14ac:dyDescent="0.35">
      <c r="A100" s="18">
        <v>99</v>
      </c>
      <c r="B100" t="s">
        <v>335</v>
      </c>
      <c r="C100" s="3" t="s">
        <v>59</v>
      </c>
      <c r="D100" s="17" t="s">
        <v>23</v>
      </c>
      <c r="E100" s="17" t="s">
        <v>10</v>
      </c>
      <c r="F100" s="2">
        <v>0</v>
      </c>
      <c r="G100" s="2">
        <v>0</v>
      </c>
      <c r="H100" s="2">
        <v>1</v>
      </c>
      <c r="I100" s="2">
        <v>2020</v>
      </c>
      <c r="J100" s="2">
        <v>1</v>
      </c>
      <c r="K100" s="2">
        <v>2019</v>
      </c>
      <c r="L100" s="4">
        <v>194647201.94647205</v>
      </c>
      <c r="M100" s="2">
        <v>0</v>
      </c>
      <c r="N100" s="4">
        <v>0</v>
      </c>
      <c r="O100" s="2">
        <v>0</v>
      </c>
      <c r="P100" s="4">
        <v>0</v>
      </c>
      <c r="Q100" s="2">
        <v>0</v>
      </c>
      <c r="R100" s="4">
        <v>0</v>
      </c>
      <c r="S100" s="5">
        <f t="shared" si="34"/>
        <v>0</v>
      </c>
      <c r="T100" s="15">
        <f t="shared" si="35"/>
        <v>0</v>
      </c>
      <c r="U100" s="5">
        <f t="shared" si="36"/>
        <v>0</v>
      </c>
      <c r="V100" s="26">
        <f t="shared" si="37"/>
        <v>0</v>
      </c>
      <c r="W100" s="26">
        <f t="shared" si="38"/>
        <v>0</v>
      </c>
      <c r="X100" s="26">
        <f t="shared" si="39"/>
        <v>0</v>
      </c>
      <c r="Y100" s="26">
        <f t="shared" si="40"/>
        <v>0</v>
      </c>
      <c r="Z100" s="26">
        <f t="shared" si="41"/>
        <v>0</v>
      </c>
      <c r="AA100" s="2">
        <v>0</v>
      </c>
      <c r="AB100" s="18" t="s">
        <v>152</v>
      </c>
      <c r="AC100" s="4" t="s">
        <v>152</v>
      </c>
      <c r="AD100" s="18" t="s">
        <v>152</v>
      </c>
      <c r="AE100" s="4" t="s">
        <v>152</v>
      </c>
      <c r="AF100" s="2" t="s">
        <v>152</v>
      </c>
      <c r="AG100" s="4" t="s">
        <v>152</v>
      </c>
      <c r="AH100" s="28">
        <f t="shared" si="42"/>
        <v>0</v>
      </c>
      <c r="AI100" s="4" t="str">
        <f t="shared" si="62"/>
        <v>na</v>
      </c>
      <c r="AJ100" s="26" t="str">
        <f t="shared" si="54"/>
        <v>na</v>
      </c>
      <c r="AK100" s="26" t="str">
        <f t="shared" si="43"/>
        <v>na</v>
      </c>
      <c r="AL100" s="14">
        <v>20208000</v>
      </c>
      <c r="AM100" s="14">
        <v>1919000</v>
      </c>
      <c r="AN100" s="12">
        <f t="shared" si="44"/>
        <v>-18289000</v>
      </c>
      <c r="AO100" s="12">
        <f t="shared" si="45"/>
        <v>22127000</v>
      </c>
      <c r="AP100" s="8">
        <v>104950000</v>
      </c>
      <c r="AQ100" s="8">
        <v>98354000</v>
      </c>
      <c r="AR100" s="13">
        <f t="shared" si="46"/>
        <v>-6596000</v>
      </c>
      <c r="AS100" s="13">
        <f t="shared" si="47"/>
        <v>203304000</v>
      </c>
      <c r="AT100" s="5">
        <f t="shared" si="58"/>
        <v>0.19254883277751311</v>
      </c>
      <c r="AU100" s="5">
        <f t="shared" si="59"/>
        <v>1.9511153588059459E-2</v>
      </c>
      <c r="AV100" s="5">
        <f t="shared" si="48"/>
        <v>4.2004028555749819E-5</v>
      </c>
      <c r="AW100" s="5">
        <f t="shared" si="49"/>
        <v>4.7538117343473782E-5</v>
      </c>
      <c r="AX100" s="5">
        <f t="shared" si="60"/>
        <v>0.10883701255263055</v>
      </c>
      <c r="AY100" s="10">
        <f t="shared" si="61"/>
        <v>0.11367746249999998</v>
      </c>
      <c r="AZ100" s="24">
        <v>1</v>
      </c>
      <c r="BA100" s="19">
        <v>11932058.166570701</v>
      </c>
      <c r="BB100" s="17">
        <v>1</v>
      </c>
      <c r="BC100" s="19">
        <v>11932058.166570701</v>
      </c>
      <c r="BD100" s="17">
        <v>0</v>
      </c>
      <c r="BE100" s="19">
        <v>0</v>
      </c>
      <c r="BF100" s="17">
        <v>0</v>
      </c>
      <c r="BG100" s="19">
        <v>0</v>
      </c>
      <c r="BH100" s="26">
        <f t="shared" si="50"/>
        <v>6.1300948830756964E-2</v>
      </c>
      <c r="BI100" s="26">
        <f t="shared" si="51"/>
        <v>6.1300948830756964E-2</v>
      </c>
      <c r="BJ100" s="26">
        <f t="shared" si="52"/>
        <v>0</v>
      </c>
      <c r="BK100" s="26">
        <f t="shared" si="53"/>
        <v>0</v>
      </c>
      <c r="BL100" s="34">
        <f t="shared" si="57"/>
        <v>701885.77450415888</v>
      </c>
      <c r="BM100" s="35">
        <f t="shared" si="55"/>
        <v>3.6059381665151159E-3</v>
      </c>
    </row>
    <row r="101" spans="1:65" x14ac:dyDescent="0.35">
      <c r="A101" s="18">
        <v>100</v>
      </c>
      <c r="B101" t="s">
        <v>408</v>
      </c>
      <c r="C101" s="3" t="s">
        <v>210</v>
      </c>
      <c r="D101" s="17" t="s">
        <v>23</v>
      </c>
      <c r="E101" s="17" t="s">
        <v>2</v>
      </c>
      <c r="F101" s="2">
        <v>2</v>
      </c>
      <c r="G101" s="2">
        <v>1</v>
      </c>
      <c r="H101" s="2">
        <v>1</v>
      </c>
      <c r="I101" s="18">
        <v>2018</v>
      </c>
      <c r="J101" s="2">
        <v>0</v>
      </c>
      <c r="K101" s="2" t="s">
        <v>152</v>
      </c>
      <c r="L101" s="4">
        <v>1646739219509.8928</v>
      </c>
      <c r="M101" s="2">
        <v>4</v>
      </c>
      <c r="N101" s="4">
        <v>2120000000</v>
      </c>
      <c r="O101" s="2">
        <v>14</v>
      </c>
      <c r="P101" s="4">
        <v>7240000000</v>
      </c>
      <c r="Q101" s="2">
        <v>18</v>
      </c>
      <c r="R101" s="4">
        <v>9360000000</v>
      </c>
      <c r="S101" s="5">
        <f t="shared" si="34"/>
        <v>1.2873926696365199E-3</v>
      </c>
      <c r="T101" s="5">
        <f t="shared" si="35"/>
        <v>4.39656741894736E-3</v>
      </c>
      <c r="U101" s="5">
        <f t="shared" si="36"/>
        <v>5.6839600885838799E-3</v>
      </c>
      <c r="V101" s="26">
        <f t="shared" si="37"/>
        <v>1.5789904888167253E-3</v>
      </c>
      <c r="W101" s="26">
        <f t="shared" si="38"/>
        <v>9.1053147873330475E-3</v>
      </c>
      <c r="X101" s="26">
        <f t="shared" si="39"/>
        <v>4.3680553287008305E-3</v>
      </c>
      <c r="Y101" s="26">
        <f t="shared" si="40"/>
        <v>550588235.29411769</v>
      </c>
      <c r="Z101" s="26">
        <f t="shared" si="41"/>
        <v>3.3435059344611063E-4</v>
      </c>
      <c r="AA101" s="2">
        <v>1</v>
      </c>
      <c r="AB101" s="18">
        <v>0</v>
      </c>
      <c r="AC101" s="4">
        <v>0</v>
      </c>
      <c r="AD101" s="2">
        <v>0</v>
      </c>
      <c r="AE101" s="4">
        <v>0</v>
      </c>
      <c r="AF101" s="2">
        <v>0</v>
      </c>
      <c r="AG101" s="4">
        <v>0</v>
      </c>
      <c r="AH101" s="28">
        <f t="shared" si="42"/>
        <v>0</v>
      </c>
      <c r="AI101" s="4">
        <f t="shared" si="62"/>
        <v>0</v>
      </c>
      <c r="AJ101" s="26">
        <f t="shared" si="54"/>
        <v>0</v>
      </c>
      <c r="AK101" s="26">
        <f t="shared" si="43"/>
        <v>0</v>
      </c>
      <c r="AL101" s="4">
        <v>107219763000</v>
      </c>
      <c r="AM101" s="4">
        <v>136213398000</v>
      </c>
      <c r="AN101" s="12">
        <f t="shared" si="44"/>
        <v>28993635000</v>
      </c>
      <c r="AO101" s="12">
        <f t="shared" si="45"/>
        <v>243433161000</v>
      </c>
      <c r="AP101" s="8">
        <v>503259397000</v>
      </c>
      <c r="AQ101" s="8">
        <v>542333337000</v>
      </c>
      <c r="AR101" s="13">
        <f t="shared" si="46"/>
        <v>39073940000</v>
      </c>
      <c r="AS101" s="13">
        <f t="shared" si="47"/>
        <v>1045592734000</v>
      </c>
      <c r="AT101" s="5">
        <f t="shared" si="58"/>
        <v>0.21305069242452715</v>
      </c>
      <c r="AU101" s="5">
        <f t="shared" si="59"/>
        <v>0.25116176474322099</v>
      </c>
      <c r="AV101" s="5">
        <f t="shared" si="48"/>
        <v>0.20141898125333429</v>
      </c>
      <c r="AW101" s="5">
        <f t="shared" si="49"/>
        <v>0.26212971321536199</v>
      </c>
      <c r="AX101" s="5">
        <f t="shared" si="60"/>
        <v>0.23281833651303854</v>
      </c>
      <c r="AY101" s="10">
        <f t="shared" si="61"/>
        <v>0.14782739010275789</v>
      </c>
      <c r="AZ101" s="24" t="s">
        <v>152</v>
      </c>
      <c r="BA101" s="29" t="s">
        <v>152</v>
      </c>
      <c r="BB101" s="24" t="s">
        <v>152</v>
      </c>
      <c r="BC101" s="29" t="s">
        <v>152</v>
      </c>
      <c r="BD101" s="24" t="s">
        <v>152</v>
      </c>
      <c r="BE101" s="29" t="s">
        <v>152</v>
      </c>
      <c r="BF101" s="24" t="s">
        <v>152</v>
      </c>
      <c r="BG101" s="29" t="s">
        <v>152</v>
      </c>
      <c r="BH101" s="26">
        <f t="shared" si="50"/>
        <v>0</v>
      </c>
      <c r="BI101" s="26">
        <f t="shared" si="51"/>
        <v>0</v>
      </c>
      <c r="BJ101" s="26">
        <f t="shared" si="52"/>
        <v>0</v>
      </c>
      <c r="BK101" s="26">
        <f t="shared" si="53"/>
        <v>0</v>
      </c>
      <c r="BL101" s="34">
        <f t="shared" si="57"/>
        <v>0</v>
      </c>
      <c r="BM101" s="35">
        <f t="shared" si="55"/>
        <v>0</v>
      </c>
    </row>
    <row r="102" spans="1:65" x14ac:dyDescent="0.35">
      <c r="A102" s="18">
        <v>101</v>
      </c>
      <c r="B102" t="s">
        <v>374</v>
      </c>
      <c r="C102" s="3" t="s">
        <v>212</v>
      </c>
      <c r="D102" s="17" t="s">
        <v>23</v>
      </c>
      <c r="E102" s="17" t="s">
        <v>13</v>
      </c>
      <c r="F102" s="2">
        <v>0</v>
      </c>
      <c r="G102" s="2">
        <v>0</v>
      </c>
      <c r="H102" s="2">
        <v>0</v>
      </c>
      <c r="I102" s="3" t="s">
        <v>152</v>
      </c>
      <c r="J102" s="2">
        <v>0</v>
      </c>
      <c r="K102" s="2" t="s">
        <v>152</v>
      </c>
      <c r="L102" s="4" t="s">
        <v>152</v>
      </c>
      <c r="M102" s="2">
        <v>1</v>
      </c>
      <c r="N102" s="4">
        <v>2000000000</v>
      </c>
      <c r="O102" s="2">
        <v>0</v>
      </c>
      <c r="P102" s="4">
        <v>0</v>
      </c>
      <c r="Q102" s="2">
        <v>1</v>
      </c>
      <c r="R102" s="4">
        <v>2000000000</v>
      </c>
      <c r="S102" s="5">
        <f t="shared" si="34"/>
        <v>0</v>
      </c>
      <c r="T102" s="15">
        <f t="shared" si="35"/>
        <v>0</v>
      </c>
      <c r="U102" s="5">
        <f t="shared" si="36"/>
        <v>0</v>
      </c>
      <c r="V102" s="26">
        <f t="shared" si="37"/>
        <v>1.4896136686950239E-3</v>
      </c>
      <c r="W102" s="26">
        <f t="shared" si="38"/>
        <v>0</v>
      </c>
      <c r="X102" s="26">
        <f t="shared" si="39"/>
        <v>9.3334515570530556E-4</v>
      </c>
      <c r="Y102" s="26">
        <f t="shared" si="40"/>
        <v>117647058.82352941</v>
      </c>
      <c r="Z102" s="26">
        <f t="shared" si="41"/>
        <v>0</v>
      </c>
      <c r="AA102" s="2">
        <v>0</v>
      </c>
      <c r="AB102" s="18" t="s">
        <v>152</v>
      </c>
      <c r="AC102" s="4" t="s">
        <v>152</v>
      </c>
      <c r="AD102" s="18" t="s">
        <v>152</v>
      </c>
      <c r="AE102" s="4" t="s">
        <v>152</v>
      </c>
      <c r="AF102" s="2" t="s">
        <v>152</v>
      </c>
      <c r="AG102" s="4" t="s">
        <v>152</v>
      </c>
      <c r="AH102" s="28">
        <f t="shared" si="42"/>
        <v>0</v>
      </c>
      <c r="AI102" s="4" t="str">
        <f t="shared" si="62"/>
        <v>na</v>
      </c>
      <c r="AJ102" s="26" t="str">
        <f t="shared" si="54"/>
        <v>na</v>
      </c>
      <c r="AK102" s="26" t="str">
        <f t="shared" si="43"/>
        <v>na</v>
      </c>
      <c r="AL102" s="7">
        <v>2929120000</v>
      </c>
      <c r="AM102" s="7">
        <v>2576499000</v>
      </c>
      <c r="AN102" s="12">
        <f t="shared" si="44"/>
        <v>-352621000</v>
      </c>
      <c r="AO102" s="12">
        <f t="shared" si="45"/>
        <v>5505619000</v>
      </c>
      <c r="AP102" s="7">
        <v>3239556000</v>
      </c>
      <c r="AQ102" s="7">
        <v>2997825000</v>
      </c>
      <c r="AR102" s="13">
        <f t="shared" si="46"/>
        <v>-241731000</v>
      </c>
      <c r="AS102" s="13">
        <f t="shared" si="47"/>
        <v>6237381000</v>
      </c>
      <c r="AT102" s="5">
        <f t="shared" si="58"/>
        <v>0.90417328794439733</v>
      </c>
      <c r="AU102" s="5">
        <f t="shared" si="59"/>
        <v>0.85945610567661557</v>
      </c>
      <c r="AV102" s="5">
        <f t="shared" si="48"/>
        <v>1.2965641041634175E-3</v>
      </c>
      <c r="AW102" s="5">
        <f t="shared" si="49"/>
        <v>1.4489594386115387E-3</v>
      </c>
      <c r="AX102" s="5">
        <f t="shared" si="60"/>
        <v>0.88268120866754818</v>
      </c>
      <c r="AY102" s="10" t="str">
        <f t="shared" si="61"/>
        <v>na</v>
      </c>
      <c r="AZ102" s="24">
        <v>126</v>
      </c>
      <c r="BA102" s="19">
        <v>7330423494.5992079</v>
      </c>
      <c r="BB102" s="17">
        <v>115</v>
      </c>
      <c r="BC102" s="19">
        <v>7182188240.9055529</v>
      </c>
      <c r="BD102" s="17">
        <v>9</v>
      </c>
      <c r="BE102" s="19">
        <v>148235253.69365531</v>
      </c>
      <c r="BF102" s="17">
        <v>2</v>
      </c>
      <c r="BG102" s="19">
        <v>0</v>
      </c>
      <c r="BH102" s="26">
        <f t="shared" si="50"/>
        <v>0</v>
      </c>
      <c r="BI102" s="26">
        <f t="shared" si="51"/>
        <v>0</v>
      </c>
      <c r="BJ102" s="26">
        <f t="shared" si="52"/>
        <v>0</v>
      </c>
      <c r="BK102" s="26">
        <f t="shared" si="53"/>
        <v>0</v>
      </c>
      <c r="BL102" s="34">
        <f t="shared" si="57"/>
        <v>431201382.0352475</v>
      </c>
      <c r="BM102" s="35">
        <f t="shared" si="55"/>
        <v>0</v>
      </c>
    </row>
    <row r="103" spans="1:65" x14ac:dyDescent="0.35">
      <c r="A103" s="18">
        <v>102</v>
      </c>
      <c r="B103" t="s">
        <v>455</v>
      </c>
      <c r="C103" s="3" t="s">
        <v>336</v>
      </c>
      <c r="D103" s="17" t="s">
        <v>4</v>
      </c>
      <c r="E103" s="17" t="s">
        <v>5</v>
      </c>
      <c r="F103" s="2">
        <v>0</v>
      </c>
      <c r="G103" s="2">
        <v>0</v>
      </c>
      <c r="H103" s="2">
        <v>0</v>
      </c>
      <c r="I103" s="18" t="s">
        <v>152</v>
      </c>
      <c r="J103" s="2">
        <v>0</v>
      </c>
      <c r="K103" s="2" t="s">
        <v>152</v>
      </c>
      <c r="L103" s="19">
        <v>7953156068.0698614</v>
      </c>
      <c r="M103" s="2">
        <v>0</v>
      </c>
      <c r="N103" s="4">
        <v>0</v>
      </c>
      <c r="O103" s="2">
        <v>0</v>
      </c>
      <c r="P103" s="4">
        <v>0</v>
      </c>
      <c r="Q103" s="2">
        <v>0</v>
      </c>
      <c r="R103" s="4">
        <v>0</v>
      </c>
      <c r="S103" s="5">
        <f t="shared" si="34"/>
        <v>0</v>
      </c>
      <c r="T103" s="15">
        <f t="shared" si="35"/>
        <v>0</v>
      </c>
      <c r="U103" s="5">
        <f t="shared" si="36"/>
        <v>0</v>
      </c>
      <c r="V103" s="26">
        <f t="shared" si="37"/>
        <v>0</v>
      </c>
      <c r="W103" s="26">
        <f t="shared" si="38"/>
        <v>0</v>
      </c>
      <c r="X103" s="26">
        <f t="shared" si="39"/>
        <v>0</v>
      </c>
      <c r="Y103" s="26">
        <f t="shared" si="40"/>
        <v>0</v>
      </c>
      <c r="Z103" s="26">
        <f t="shared" si="41"/>
        <v>0</v>
      </c>
      <c r="AA103" s="2">
        <v>0</v>
      </c>
      <c r="AB103" s="18" t="s">
        <v>152</v>
      </c>
      <c r="AC103" s="4" t="s">
        <v>152</v>
      </c>
      <c r="AD103" s="18" t="s">
        <v>152</v>
      </c>
      <c r="AE103" s="4" t="s">
        <v>152</v>
      </c>
      <c r="AF103" s="2" t="s">
        <v>152</v>
      </c>
      <c r="AG103" s="4" t="s">
        <v>152</v>
      </c>
      <c r="AH103" s="28">
        <f t="shared" si="42"/>
        <v>0</v>
      </c>
      <c r="AI103" s="4" t="s">
        <v>152</v>
      </c>
      <c r="AJ103" s="26" t="str">
        <f t="shared" si="54"/>
        <v>na</v>
      </c>
      <c r="AK103" s="26" t="str">
        <f t="shared" si="43"/>
        <v>na</v>
      </c>
      <c r="AL103" s="18" t="s">
        <v>152</v>
      </c>
      <c r="AM103" s="18" t="s">
        <v>152</v>
      </c>
      <c r="AN103" s="12" t="str">
        <f t="shared" si="44"/>
        <v>na</v>
      </c>
      <c r="AO103" s="12" t="str">
        <f t="shared" si="45"/>
        <v>na</v>
      </c>
      <c r="AP103" s="18" t="s">
        <v>152</v>
      </c>
      <c r="AQ103" s="18" t="s">
        <v>152</v>
      </c>
      <c r="AR103" s="13" t="str">
        <f t="shared" si="46"/>
        <v>na</v>
      </c>
      <c r="AS103" s="13" t="str">
        <f t="shared" si="47"/>
        <v>na</v>
      </c>
      <c r="AT103" s="5" t="str">
        <f t="shared" si="58"/>
        <v>na</v>
      </c>
      <c r="AU103" s="5" t="str">
        <f t="shared" si="59"/>
        <v>na</v>
      </c>
      <c r="AV103" s="5" t="str">
        <f t="shared" si="48"/>
        <v>na</v>
      </c>
      <c r="AW103" s="5" t="str">
        <f t="shared" si="49"/>
        <v>na</v>
      </c>
      <c r="AX103" s="5" t="str">
        <f t="shared" si="60"/>
        <v>na</v>
      </c>
      <c r="AY103" s="10" t="str">
        <f t="shared" si="61"/>
        <v>na</v>
      </c>
      <c r="AZ103" s="24">
        <v>0</v>
      </c>
      <c r="BA103" s="4" t="s">
        <v>152</v>
      </c>
      <c r="BB103" s="18" t="s">
        <v>152</v>
      </c>
      <c r="BC103" s="4" t="s">
        <v>152</v>
      </c>
      <c r="BD103" s="18" t="s">
        <v>152</v>
      </c>
      <c r="BE103" s="4" t="s">
        <v>152</v>
      </c>
      <c r="BF103" s="18" t="s">
        <v>152</v>
      </c>
      <c r="BG103" s="4" t="s">
        <v>152</v>
      </c>
      <c r="BH103" s="26">
        <f t="shared" si="50"/>
        <v>0</v>
      </c>
      <c r="BI103" s="26">
        <f t="shared" si="51"/>
        <v>0</v>
      </c>
      <c r="BJ103" s="26">
        <f t="shared" si="52"/>
        <v>0</v>
      </c>
      <c r="BK103" s="26">
        <f t="shared" si="53"/>
        <v>0</v>
      </c>
      <c r="BL103" s="34">
        <f t="shared" si="57"/>
        <v>0</v>
      </c>
      <c r="BM103" s="35">
        <f t="shared" si="55"/>
        <v>0</v>
      </c>
    </row>
    <row r="104" spans="1:65" x14ac:dyDescent="0.35">
      <c r="A104" s="18">
        <v>103</v>
      </c>
      <c r="B104" t="s">
        <v>337</v>
      </c>
      <c r="C104" s="3" t="s">
        <v>60</v>
      </c>
      <c r="D104" s="17" t="s">
        <v>7</v>
      </c>
      <c r="E104" s="17" t="s">
        <v>13</v>
      </c>
      <c r="F104" s="2">
        <v>0</v>
      </c>
      <c r="G104" s="2">
        <v>0</v>
      </c>
      <c r="H104" s="2">
        <v>1</v>
      </c>
      <c r="I104" s="18">
        <v>2018</v>
      </c>
      <c r="J104" s="2">
        <v>0</v>
      </c>
      <c r="K104" s="2" t="s">
        <v>152</v>
      </c>
      <c r="L104" s="4">
        <v>136196760180.97563</v>
      </c>
      <c r="M104" s="2">
        <v>7</v>
      </c>
      <c r="N104" s="4">
        <v>2690000000</v>
      </c>
      <c r="O104" s="2">
        <v>20</v>
      </c>
      <c r="P104" s="4">
        <v>8420000000</v>
      </c>
      <c r="Q104" s="2">
        <v>27</v>
      </c>
      <c r="R104" s="4">
        <v>11110000000</v>
      </c>
      <c r="S104" s="5">
        <f t="shared" si="34"/>
        <v>1.975083692464916E-2</v>
      </c>
      <c r="T104" s="5">
        <f t="shared" si="35"/>
        <v>6.1822322269719676E-2</v>
      </c>
      <c r="U104" s="5">
        <f t="shared" si="36"/>
        <v>8.1573159194368833E-2</v>
      </c>
      <c r="V104" s="26">
        <f t="shared" si="37"/>
        <v>2.0035303843948071E-3</v>
      </c>
      <c r="W104" s="26">
        <f t="shared" si="38"/>
        <v>1.0589330180848655E-2</v>
      </c>
      <c r="X104" s="26">
        <f t="shared" si="39"/>
        <v>5.1847323399429723E-3</v>
      </c>
      <c r="Y104" s="26">
        <f t="shared" si="40"/>
        <v>653529411.7647059</v>
      </c>
      <c r="Z104" s="26">
        <f t="shared" si="41"/>
        <v>4.7984211290805203E-3</v>
      </c>
      <c r="AA104" s="2">
        <v>3</v>
      </c>
      <c r="AB104" s="2">
        <v>0</v>
      </c>
      <c r="AC104" s="4">
        <v>0</v>
      </c>
      <c r="AD104" s="2">
        <v>0</v>
      </c>
      <c r="AE104" s="4">
        <v>0</v>
      </c>
      <c r="AF104" s="2">
        <v>0</v>
      </c>
      <c r="AG104" s="4">
        <v>0</v>
      </c>
      <c r="AH104" s="28">
        <f t="shared" si="42"/>
        <v>0</v>
      </c>
      <c r="AI104" s="4">
        <f t="shared" ref="AI104:AI111" si="63">IFERROR(AC104+AE104,"na")</f>
        <v>0</v>
      </c>
      <c r="AJ104" s="26">
        <f t="shared" si="54"/>
        <v>0</v>
      </c>
      <c r="AK104" s="26">
        <f t="shared" si="43"/>
        <v>0</v>
      </c>
      <c r="AL104" s="4">
        <v>5988380000</v>
      </c>
      <c r="AM104" s="4">
        <v>910739000</v>
      </c>
      <c r="AN104" s="12">
        <f t="shared" si="44"/>
        <v>-5077641000</v>
      </c>
      <c r="AO104" s="12">
        <f t="shared" si="45"/>
        <v>6899119000</v>
      </c>
      <c r="AP104" s="8">
        <v>33530893000</v>
      </c>
      <c r="AQ104" s="8">
        <v>64482097000</v>
      </c>
      <c r="AR104" s="13">
        <f t="shared" si="46"/>
        <v>30951204000</v>
      </c>
      <c r="AS104" s="13">
        <f t="shared" si="47"/>
        <v>98012990000</v>
      </c>
      <c r="AT104" s="5">
        <f t="shared" si="58"/>
        <v>0.17859291728377172</v>
      </c>
      <c r="AU104" s="5">
        <f t="shared" si="59"/>
        <v>1.4123904810353794E-2</v>
      </c>
      <c r="AV104" s="5">
        <f t="shared" si="48"/>
        <v>1.3420034178864141E-2</v>
      </c>
      <c r="AW104" s="5">
        <f t="shared" si="49"/>
        <v>3.1166576791378679E-2</v>
      </c>
      <c r="AX104" s="5">
        <f t="shared" si="60"/>
        <v>7.0389843223842063E-2</v>
      </c>
      <c r="AY104" s="10">
        <f t="shared" si="61"/>
        <v>5.065552947685821E-2</v>
      </c>
      <c r="AZ104" s="24" t="s">
        <v>152</v>
      </c>
      <c r="BA104" s="29" t="s">
        <v>152</v>
      </c>
      <c r="BB104" s="24" t="s">
        <v>152</v>
      </c>
      <c r="BC104" s="29" t="s">
        <v>152</v>
      </c>
      <c r="BD104" s="24" t="s">
        <v>152</v>
      </c>
      <c r="BE104" s="29" t="s">
        <v>152</v>
      </c>
      <c r="BF104" s="24" t="s">
        <v>152</v>
      </c>
      <c r="BG104" s="29" t="s">
        <v>152</v>
      </c>
      <c r="BH104" s="26">
        <f t="shared" si="50"/>
        <v>0</v>
      </c>
      <c r="BI104" s="26">
        <f t="shared" si="51"/>
        <v>0</v>
      </c>
      <c r="BJ104" s="26">
        <f t="shared" si="52"/>
        <v>0</v>
      </c>
      <c r="BK104" s="26">
        <f t="shared" si="53"/>
        <v>0</v>
      </c>
      <c r="BL104" s="34">
        <f t="shared" si="57"/>
        <v>0</v>
      </c>
      <c r="BM104" s="35">
        <f t="shared" si="55"/>
        <v>0</v>
      </c>
    </row>
    <row r="105" spans="1:65" x14ac:dyDescent="0.35">
      <c r="A105" s="18">
        <v>104</v>
      </c>
      <c r="B105" t="s">
        <v>338</v>
      </c>
      <c r="C105" s="3" t="s">
        <v>139</v>
      </c>
      <c r="D105" s="17" t="s">
        <v>4</v>
      </c>
      <c r="E105" s="17" t="s">
        <v>10</v>
      </c>
      <c r="F105" s="2">
        <v>2</v>
      </c>
      <c r="G105" s="2">
        <v>0</v>
      </c>
      <c r="H105" s="2">
        <v>1</v>
      </c>
      <c r="I105" s="18">
        <v>2013</v>
      </c>
      <c r="J105" s="2">
        <v>0</v>
      </c>
      <c r="K105" s="2" t="s">
        <v>152</v>
      </c>
      <c r="L105" s="4">
        <v>8871019822.7670345</v>
      </c>
      <c r="M105" s="2">
        <v>1</v>
      </c>
      <c r="N105" s="4">
        <v>390000000</v>
      </c>
      <c r="O105" s="2">
        <v>8</v>
      </c>
      <c r="P105" s="4">
        <v>4340000000</v>
      </c>
      <c r="Q105" s="2">
        <v>9</v>
      </c>
      <c r="R105" s="4">
        <v>4730000000</v>
      </c>
      <c r="S105" s="5">
        <f t="shared" si="34"/>
        <v>4.3963378257715562E-2</v>
      </c>
      <c r="T105" s="5">
        <f t="shared" si="35"/>
        <v>0.48923349138073213</v>
      </c>
      <c r="U105" s="5">
        <f t="shared" si="36"/>
        <v>0.5331968696384477</v>
      </c>
      <c r="V105" s="26">
        <f t="shared" si="37"/>
        <v>2.9047466539552967E-4</v>
      </c>
      <c r="W105" s="26">
        <f t="shared" si="38"/>
        <v>5.4581583117438437E-3</v>
      </c>
      <c r="X105" s="26">
        <f t="shared" si="39"/>
        <v>2.2073612932430476E-3</v>
      </c>
      <c r="Y105" s="26">
        <f t="shared" si="40"/>
        <v>278235294.11764705</v>
      </c>
      <c r="Z105" s="26">
        <f t="shared" si="41"/>
        <v>3.1364521743438102E-2</v>
      </c>
      <c r="AA105" s="2">
        <v>1</v>
      </c>
      <c r="AB105" s="11">
        <v>1</v>
      </c>
      <c r="AC105" s="27">
        <v>50000000</v>
      </c>
      <c r="AD105" s="2">
        <v>0</v>
      </c>
      <c r="AE105" s="4">
        <v>0</v>
      </c>
      <c r="AF105" s="2">
        <v>0</v>
      </c>
      <c r="AG105" s="4">
        <v>0</v>
      </c>
      <c r="AH105" s="28">
        <f t="shared" si="42"/>
        <v>1</v>
      </c>
      <c r="AI105" s="4">
        <f t="shared" si="63"/>
        <v>50000000</v>
      </c>
      <c r="AJ105" s="26">
        <f t="shared" si="54"/>
        <v>5.6363305458609694E-3</v>
      </c>
      <c r="AK105" s="26">
        <f t="shared" si="43"/>
        <v>1.2543831282458731E-3</v>
      </c>
      <c r="AL105" s="4">
        <v>1733932000</v>
      </c>
      <c r="AM105" s="4">
        <v>81469000</v>
      </c>
      <c r="AN105" s="12">
        <f t="shared" si="44"/>
        <v>-1652463000</v>
      </c>
      <c r="AO105" s="12">
        <f t="shared" si="45"/>
        <v>1815401000</v>
      </c>
      <c r="AP105" s="8">
        <v>4903813000</v>
      </c>
      <c r="AQ105" s="8">
        <v>1965502000</v>
      </c>
      <c r="AR105" s="13">
        <f t="shared" si="46"/>
        <v>-2938311000</v>
      </c>
      <c r="AS105" s="13">
        <f t="shared" si="47"/>
        <v>6869315000</v>
      </c>
      <c r="AT105" s="5">
        <f t="shared" si="58"/>
        <v>0.35358852386907902</v>
      </c>
      <c r="AU105" s="5">
        <f t="shared" si="59"/>
        <v>4.1449461766001762E-2</v>
      </c>
      <c r="AV105" s="5">
        <f t="shared" si="48"/>
        <v>1.9626479398195062E-3</v>
      </c>
      <c r="AW105" s="5">
        <f t="shared" si="49"/>
        <v>9.499996412431869E-4</v>
      </c>
      <c r="AX105" s="5">
        <f t="shared" si="60"/>
        <v>0.26427686021095265</v>
      </c>
      <c r="AY105" s="10">
        <f t="shared" si="61"/>
        <v>0.20464400218573101</v>
      </c>
      <c r="AZ105" s="24">
        <v>96</v>
      </c>
      <c r="BA105" s="19">
        <v>3151288944.3117113</v>
      </c>
      <c r="BB105" s="17">
        <v>58</v>
      </c>
      <c r="BC105" s="19">
        <v>761839555.53911817</v>
      </c>
      <c r="BD105" s="17">
        <v>34</v>
      </c>
      <c r="BE105" s="19">
        <v>2325623547.1757441</v>
      </c>
      <c r="BF105" s="17">
        <v>4</v>
      </c>
      <c r="BG105" s="19">
        <v>63825841.59684895</v>
      </c>
      <c r="BH105" s="26">
        <f t="shared" si="50"/>
        <v>0.35523412271316129</v>
      </c>
      <c r="BI105" s="26">
        <f t="shared" si="51"/>
        <v>8.5879591158605523E-2</v>
      </c>
      <c r="BJ105" s="26">
        <f t="shared" si="52"/>
        <v>0.26215966074240371</v>
      </c>
      <c r="BK105" s="26">
        <f t="shared" si="53"/>
        <v>7.1948708121520686E-3</v>
      </c>
      <c r="BL105" s="34">
        <f t="shared" si="57"/>
        <v>185369937.90068889</v>
      </c>
      <c r="BM105" s="35">
        <f t="shared" si="55"/>
        <v>2.0896124865480075E-2</v>
      </c>
    </row>
    <row r="106" spans="1:65" x14ac:dyDescent="0.35">
      <c r="A106" s="18">
        <v>105</v>
      </c>
      <c r="B106" t="s">
        <v>339</v>
      </c>
      <c r="C106" s="3" t="s">
        <v>146</v>
      </c>
      <c r="D106" s="17" t="s">
        <v>23</v>
      </c>
      <c r="E106" s="17" t="s">
        <v>10</v>
      </c>
      <c r="F106" s="2">
        <v>4</v>
      </c>
      <c r="G106" s="2">
        <v>1</v>
      </c>
      <c r="H106" s="2">
        <v>1</v>
      </c>
      <c r="I106" s="18">
        <v>2018</v>
      </c>
      <c r="J106" s="2">
        <v>0</v>
      </c>
      <c r="K106" s="2" t="s">
        <v>152</v>
      </c>
      <c r="L106" s="4">
        <v>18245925331.239628</v>
      </c>
      <c r="M106" s="2">
        <v>17</v>
      </c>
      <c r="N106" s="4">
        <v>7700000000</v>
      </c>
      <c r="O106" s="18">
        <v>36</v>
      </c>
      <c r="P106" s="4">
        <v>22110000000</v>
      </c>
      <c r="Q106" s="2">
        <v>53</v>
      </c>
      <c r="R106" s="4">
        <v>29810000000</v>
      </c>
      <c r="S106" s="5">
        <f t="shared" si="34"/>
        <v>0.42201203064316511</v>
      </c>
      <c r="T106" s="15">
        <f t="shared" si="35"/>
        <v>1.211777402275374</v>
      </c>
      <c r="U106" s="5">
        <f t="shared" si="36"/>
        <v>1.6337894329185392</v>
      </c>
      <c r="V106" s="26">
        <f t="shared" si="37"/>
        <v>5.735012624475842E-3</v>
      </c>
      <c r="W106" s="26">
        <f t="shared" si="38"/>
        <v>2.7806424025957694E-2</v>
      </c>
      <c r="X106" s="26">
        <f t="shared" si="39"/>
        <v>1.3911509545787581E-2</v>
      </c>
      <c r="Y106" s="26">
        <f t="shared" si="40"/>
        <v>1753529411.7647059</v>
      </c>
      <c r="Z106" s="26">
        <f t="shared" si="41"/>
        <v>9.6105260759914074E-2</v>
      </c>
      <c r="AA106" s="2">
        <v>1</v>
      </c>
      <c r="AB106" s="11">
        <v>2</v>
      </c>
      <c r="AC106" s="27">
        <v>70000000</v>
      </c>
      <c r="AD106" s="2">
        <v>0</v>
      </c>
      <c r="AE106" s="4">
        <v>0</v>
      </c>
      <c r="AF106" s="2">
        <v>0</v>
      </c>
      <c r="AG106" s="4">
        <v>0</v>
      </c>
      <c r="AH106" s="28">
        <f t="shared" si="42"/>
        <v>2</v>
      </c>
      <c r="AI106" s="4">
        <f t="shared" si="63"/>
        <v>70000000</v>
      </c>
      <c r="AJ106" s="26">
        <f t="shared" si="54"/>
        <v>3.8364730058469553E-3</v>
      </c>
      <c r="AK106" s="26">
        <f t="shared" si="43"/>
        <v>1.7561363795442224E-3</v>
      </c>
      <c r="AL106" s="4">
        <v>1681038</v>
      </c>
      <c r="AM106" s="4">
        <v>1672285</v>
      </c>
      <c r="AN106" s="12">
        <f t="shared" si="44"/>
        <v>-8753</v>
      </c>
      <c r="AO106" s="12">
        <f t="shared" si="45"/>
        <v>3353323</v>
      </c>
      <c r="AP106" s="8">
        <v>5797445000</v>
      </c>
      <c r="AQ106" s="8">
        <v>5809346000</v>
      </c>
      <c r="AR106" s="13">
        <f t="shared" si="46"/>
        <v>11901000</v>
      </c>
      <c r="AS106" s="13">
        <f t="shared" si="47"/>
        <v>11606791000</v>
      </c>
      <c r="AT106" s="5">
        <f t="shared" ref="AT106:AT137" si="64">IFERROR(AL106/AP106,"na")</f>
        <v>2.8996187113461186E-4</v>
      </c>
      <c r="AU106" s="5">
        <f t="shared" ref="AU106:AU137" si="65">IFERROR(AM106/AQ106,"na")</f>
        <v>2.8786114650427089E-4</v>
      </c>
      <c r="AV106" s="5">
        <f t="shared" si="48"/>
        <v>2.3203053390222872E-3</v>
      </c>
      <c r="AW106" s="5">
        <f t="shared" si="49"/>
        <v>2.8078712796311286E-3</v>
      </c>
      <c r="AX106" s="5">
        <f t="shared" ref="AX106:AX137" si="66">IFERROR(AO106/AS106,"na")</f>
        <v>2.8891043183253666E-4</v>
      </c>
      <c r="AY106" s="10">
        <f t="shared" ref="AY106:AY137" si="67">IFERROR(AO106/L106,"na")</f>
        <v>1.8378475956265329E-4</v>
      </c>
      <c r="AZ106" s="24">
        <v>240</v>
      </c>
      <c r="BA106" s="19">
        <v>15505734362.315592</v>
      </c>
      <c r="BB106" s="17">
        <v>148</v>
      </c>
      <c r="BC106" s="19">
        <v>2178454652.0293546</v>
      </c>
      <c r="BD106" s="17">
        <v>63</v>
      </c>
      <c r="BE106" s="19">
        <v>12583814821.697277</v>
      </c>
      <c r="BF106" s="17">
        <v>29</v>
      </c>
      <c r="BG106" s="19">
        <v>743464888.58896065</v>
      </c>
      <c r="BH106" s="26">
        <f t="shared" si="50"/>
        <v>0.84981901881224742</v>
      </c>
      <c r="BI106" s="26">
        <f t="shared" si="51"/>
        <v>0.11939403524246202</v>
      </c>
      <c r="BJ106" s="26">
        <f t="shared" si="52"/>
        <v>0.68967808391454888</v>
      </c>
      <c r="BK106" s="26">
        <f t="shared" si="53"/>
        <v>4.0746899655236597E-2</v>
      </c>
      <c r="BL106" s="34">
        <f t="shared" si="57"/>
        <v>912102021.31268191</v>
      </c>
      <c r="BM106" s="35">
        <f t="shared" si="55"/>
        <v>4.9989354047779266E-2</v>
      </c>
    </row>
    <row r="107" spans="1:65" x14ac:dyDescent="0.35">
      <c r="A107" s="18">
        <v>106</v>
      </c>
      <c r="B107" t="s">
        <v>340</v>
      </c>
      <c r="C107" s="3" t="s">
        <v>61</v>
      </c>
      <c r="D107" s="17" t="s">
        <v>4</v>
      </c>
      <c r="E107" s="17" t="s">
        <v>13</v>
      </c>
      <c r="F107" s="2">
        <v>0</v>
      </c>
      <c r="G107" s="2">
        <v>0</v>
      </c>
      <c r="H107" s="2">
        <v>1</v>
      </c>
      <c r="I107" s="2">
        <v>2016</v>
      </c>
      <c r="J107" s="2">
        <v>0</v>
      </c>
      <c r="K107" s="2" t="s">
        <v>152</v>
      </c>
      <c r="L107" s="4">
        <v>34055464655.325436</v>
      </c>
      <c r="M107" s="2">
        <v>0</v>
      </c>
      <c r="N107" s="4">
        <v>0</v>
      </c>
      <c r="O107" s="2">
        <v>1</v>
      </c>
      <c r="P107" s="4">
        <v>110000000</v>
      </c>
      <c r="Q107" s="2">
        <v>1</v>
      </c>
      <c r="R107" s="4">
        <v>110000000</v>
      </c>
      <c r="S107" s="5">
        <f t="shared" si="34"/>
        <v>0</v>
      </c>
      <c r="T107" s="5">
        <f t="shared" si="35"/>
        <v>3.2300249347148083E-3</v>
      </c>
      <c r="U107" s="5">
        <f t="shared" si="36"/>
        <v>3.2300249347148083E-3</v>
      </c>
      <c r="V107" s="26">
        <f t="shared" si="37"/>
        <v>0</v>
      </c>
      <c r="W107" s="26">
        <f t="shared" si="38"/>
        <v>1.383404180395905E-4</v>
      </c>
      <c r="X107" s="26">
        <f t="shared" si="39"/>
        <v>5.1333983563791811E-5</v>
      </c>
      <c r="Y107" s="26">
        <f t="shared" si="40"/>
        <v>6470588.2352941176</v>
      </c>
      <c r="Z107" s="26">
        <f t="shared" si="41"/>
        <v>1.9000146674792988E-4</v>
      </c>
      <c r="AA107" s="2">
        <v>0</v>
      </c>
      <c r="AB107" s="2" t="s">
        <v>152</v>
      </c>
      <c r="AC107" s="4" t="s">
        <v>152</v>
      </c>
      <c r="AD107" s="2" t="s">
        <v>152</v>
      </c>
      <c r="AE107" s="4" t="s">
        <v>152</v>
      </c>
      <c r="AF107" s="2" t="s">
        <v>152</v>
      </c>
      <c r="AG107" s="4" t="s">
        <v>152</v>
      </c>
      <c r="AH107" s="28">
        <f t="shared" si="42"/>
        <v>0</v>
      </c>
      <c r="AI107" s="4" t="str">
        <f t="shared" si="63"/>
        <v>na</v>
      </c>
      <c r="AJ107" s="26" t="str">
        <f t="shared" si="54"/>
        <v>na</v>
      </c>
      <c r="AK107" s="26" t="str">
        <f t="shared" si="43"/>
        <v>na</v>
      </c>
      <c r="AL107" s="4">
        <v>570676000</v>
      </c>
      <c r="AM107" s="4">
        <v>179440000</v>
      </c>
      <c r="AN107" s="12">
        <f t="shared" si="44"/>
        <v>-391236000</v>
      </c>
      <c r="AO107" s="12">
        <f t="shared" si="45"/>
        <v>750116000</v>
      </c>
      <c r="AP107" s="8">
        <v>17767575000</v>
      </c>
      <c r="AQ107" s="8">
        <v>14447102000</v>
      </c>
      <c r="AR107" s="13">
        <f t="shared" si="46"/>
        <v>-3320473000</v>
      </c>
      <c r="AS107" s="13">
        <f t="shared" si="47"/>
        <v>32214677000</v>
      </c>
      <c r="AT107" s="5">
        <f t="shared" si="64"/>
        <v>3.2118958270895157E-2</v>
      </c>
      <c r="AU107" s="5">
        <f t="shared" si="65"/>
        <v>1.2420484052787888E-2</v>
      </c>
      <c r="AV107" s="5">
        <f t="shared" si="48"/>
        <v>7.1110979291703338E-3</v>
      </c>
      <c r="AW107" s="5">
        <f t="shared" si="49"/>
        <v>6.9828174771654908E-3</v>
      </c>
      <c r="AX107" s="5">
        <f t="shared" si="66"/>
        <v>2.3284914512723503E-2</v>
      </c>
      <c r="AY107" s="10">
        <f t="shared" si="67"/>
        <v>2.2026303490259393E-2</v>
      </c>
      <c r="AZ107" s="24" t="s">
        <v>152</v>
      </c>
      <c r="BA107" s="29" t="s">
        <v>152</v>
      </c>
      <c r="BB107" s="24" t="s">
        <v>152</v>
      </c>
      <c r="BC107" s="29" t="s">
        <v>152</v>
      </c>
      <c r="BD107" s="24" t="s">
        <v>152</v>
      </c>
      <c r="BE107" s="29" t="s">
        <v>152</v>
      </c>
      <c r="BF107" s="24" t="s">
        <v>152</v>
      </c>
      <c r="BG107" s="29" t="s">
        <v>152</v>
      </c>
      <c r="BH107" s="26">
        <f t="shared" si="50"/>
        <v>0</v>
      </c>
      <c r="BI107" s="26">
        <f t="shared" si="51"/>
        <v>0</v>
      </c>
      <c r="BJ107" s="26">
        <f t="shared" si="52"/>
        <v>0</v>
      </c>
      <c r="BK107" s="26">
        <f t="shared" si="53"/>
        <v>0</v>
      </c>
      <c r="BL107" s="34">
        <f t="shared" si="57"/>
        <v>0</v>
      </c>
      <c r="BM107" s="35">
        <f t="shared" si="55"/>
        <v>0</v>
      </c>
    </row>
    <row r="108" spans="1:65" x14ac:dyDescent="0.35">
      <c r="A108" s="18">
        <v>107</v>
      </c>
      <c r="B108" t="s">
        <v>341</v>
      </c>
      <c r="C108" s="3" t="s">
        <v>62</v>
      </c>
      <c r="D108" s="17" t="s">
        <v>7</v>
      </c>
      <c r="E108" s="17" t="s">
        <v>5</v>
      </c>
      <c r="F108" s="2">
        <v>0</v>
      </c>
      <c r="G108" s="2">
        <v>0</v>
      </c>
      <c r="H108" s="2">
        <v>1</v>
      </c>
      <c r="I108" s="18">
        <v>2017</v>
      </c>
      <c r="J108" s="2">
        <v>0</v>
      </c>
      <c r="K108" s="2" t="s">
        <v>152</v>
      </c>
      <c r="L108" s="4">
        <v>51991634491.634491</v>
      </c>
      <c r="M108" s="2">
        <v>0</v>
      </c>
      <c r="N108" s="4">
        <v>0</v>
      </c>
      <c r="O108" s="2">
        <v>0</v>
      </c>
      <c r="P108" s="4">
        <v>0</v>
      </c>
      <c r="Q108" s="2">
        <v>0</v>
      </c>
      <c r="R108" s="4">
        <v>0</v>
      </c>
      <c r="S108" s="5">
        <f t="shared" si="34"/>
        <v>0</v>
      </c>
      <c r="T108" s="15">
        <f t="shared" si="35"/>
        <v>0</v>
      </c>
      <c r="U108" s="5">
        <f t="shared" si="36"/>
        <v>0</v>
      </c>
      <c r="V108" s="26">
        <f t="shared" si="37"/>
        <v>0</v>
      </c>
      <c r="W108" s="26">
        <f t="shared" si="38"/>
        <v>0</v>
      </c>
      <c r="X108" s="26">
        <f t="shared" si="39"/>
        <v>0</v>
      </c>
      <c r="Y108" s="26">
        <f t="shared" si="40"/>
        <v>0</v>
      </c>
      <c r="Z108" s="26">
        <f t="shared" si="41"/>
        <v>0</v>
      </c>
      <c r="AA108" s="2">
        <v>3</v>
      </c>
      <c r="AB108" s="18">
        <v>0</v>
      </c>
      <c r="AC108" s="4">
        <v>0</v>
      </c>
      <c r="AD108" s="2">
        <v>0</v>
      </c>
      <c r="AE108" s="4">
        <v>0</v>
      </c>
      <c r="AF108" s="2">
        <v>0</v>
      </c>
      <c r="AG108" s="4">
        <v>0</v>
      </c>
      <c r="AH108" s="28">
        <f t="shared" si="42"/>
        <v>0</v>
      </c>
      <c r="AI108" s="4">
        <f t="shared" si="63"/>
        <v>0</v>
      </c>
      <c r="AJ108" s="26">
        <f t="shared" si="54"/>
        <v>0</v>
      </c>
      <c r="AK108" s="26">
        <f t="shared" si="43"/>
        <v>0</v>
      </c>
      <c r="AL108" s="4">
        <v>1626506000</v>
      </c>
      <c r="AM108" s="4">
        <v>13593000</v>
      </c>
      <c r="AN108" s="12">
        <f t="shared" si="44"/>
        <v>-1612913000</v>
      </c>
      <c r="AO108" s="12">
        <f t="shared" si="45"/>
        <v>1640099000</v>
      </c>
      <c r="AP108" s="8">
        <v>19239394000</v>
      </c>
      <c r="AQ108" s="8">
        <v>3731350000</v>
      </c>
      <c r="AR108" s="13">
        <f t="shared" si="46"/>
        <v>-15508044000</v>
      </c>
      <c r="AS108" s="13">
        <f t="shared" si="47"/>
        <v>22970744000</v>
      </c>
      <c r="AT108" s="5">
        <f t="shared" si="64"/>
        <v>8.4540396646588759E-2</v>
      </c>
      <c r="AU108" s="5">
        <f t="shared" si="65"/>
        <v>3.6429174427486033E-3</v>
      </c>
      <c r="AV108" s="5">
        <f t="shared" si="48"/>
        <v>7.7001625056819607E-3</v>
      </c>
      <c r="AW108" s="5">
        <f t="shared" si="49"/>
        <v>1.8034991372955942E-3</v>
      </c>
      <c r="AX108" s="5">
        <f t="shared" si="66"/>
        <v>7.1399472302682052E-2</v>
      </c>
      <c r="AY108" s="10">
        <f t="shared" si="67"/>
        <v>3.1545440262392477E-2</v>
      </c>
      <c r="AZ108" s="24">
        <v>71</v>
      </c>
      <c r="BA108" s="19">
        <v>171154932.98376152</v>
      </c>
      <c r="BB108" s="17">
        <v>68</v>
      </c>
      <c r="BC108" s="19">
        <v>170202739.3696748</v>
      </c>
      <c r="BD108" s="17">
        <v>3</v>
      </c>
      <c r="BE108" s="19">
        <v>952193.61408672202</v>
      </c>
      <c r="BF108" s="17">
        <v>0</v>
      </c>
      <c r="BG108" s="19">
        <v>0</v>
      </c>
      <c r="BH108" s="26">
        <f t="shared" si="50"/>
        <v>3.2919706152208109E-3</v>
      </c>
      <c r="BI108" s="26">
        <f t="shared" si="51"/>
        <v>3.2736562532393668E-3</v>
      </c>
      <c r="BJ108" s="26">
        <f t="shared" si="52"/>
        <v>1.8314361981443976E-5</v>
      </c>
      <c r="BK108" s="26">
        <f t="shared" si="53"/>
        <v>0</v>
      </c>
      <c r="BL108" s="34">
        <f t="shared" si="57"/>
        <v>10067937.234338913</v>
      </c>
      <c r="BM108" s="35">
        <f t="shared" si="55"/>
        <v>1.9364533030710653E-4</v>
      </c>
    </row>
    <row r="109" spans="1:65" x14ac:dyDescent="0.35">
      <c r="A109" s="18">
        <v>108</v>
      </c>
      <c r="B109" t="s">
        <v>342</v>
      </c>
      <c r="C109" s="3" t="s">
        <v>63</v>
      </c>
      <c r="D109" s="17" t="s">
        <v>9</v>
      </c>
      <c r="E109" s="17" t="s">
        <v>10</v>
      </c>
      <c r="F109" s="2">
        <v>0</v>
      </c>
      <c r="G109" s="2">
        <v>0</v>
      </c>
      <c r="H109" s="2">
        <v>1</v>
      </c>
      <c r="I109" s="18">
        <v>2019</v>
      </c>
      <c r="J109" s="2">
        <v>0</v>
      </c>
      <c r="K109" s="2" t="s">
        <v>152</v>
      </c>
      <c r="L109" s="4">
        <v>2366213068.575067</v>
      </c>
      <c r="M109" s="2">
        <v>0</v>
      </c>
      <c r="N109" s="4">
        <v>0</v>
      </c>
      <c r="O109" s="2">
        <v>1</v>
      </c>
      <c r="P109" s="4">
        <v>100000000</v>
      </c>
      <c r="Q109" s="2">
        <v>1</v>
      </c>
      <c r="R109" s="4">
        <v>100000000</v>
      </c>
      <c r="S109" s="5">
        <f t="shared" si="34"/>
        <v>0</v>
      </c>
      <c r="T109" s="5">
        <f t="shared" si="35"/>
        <v>4.2261621038303186E-2</v>
      </c>
      <c r="U109" s="5">
        <f t="shared" si="36"/>
        <v>4.2261621038303186E-2</v>
      </c>
      <c r="V109" s="26">
        <f t="shared" si="37"/>
        <v>0</v>
      </c>
      <c r="W109" s="26">
        <f t="shared" si="38"/>
        <v>1.2576401639962775E-4</v>
      </c>
      <c r="X109" s="26">
        <f t="shared" si="39"/>
        <v>4.6667257785265281E-5</v>
      </c>
      <c r="Y109" s="26">
        <f t="shared" si="40"/>
        <v>5882352.9411764704</v>
      </c>
      <c r="Z109" s="26">
        <f t="shared" si="41"/>
        <v>2.4859777081354816E-3</v>
      </c>
      <c r="AA109" s="2">
        <v>0</v>
      </c>
      <c r="AB109" s="18" t="s">
        <v>152</v>
      </c>
      <c r="AC109" s="4" t="s">
        <v>152</v>
      </c>
      <c r="AD109" s="18" t="s">
        <v>152</v>
      </c>
      <c r="AE109" s="4" t="s">
        <v>152</v>
      </c>
      <c r="AF109" s="2" t="s">
        <v>152</v>
      </c>
      <c r="AG109" s="4" t="s">
        <v>152</v>
      </c>
      <c r="AH109" s="28">
        <f t="shared" si="42"/>
        <v>0</v>
      </c>
      <c r="AI109" s="4" t="str">
        <f t="shared" si="63"/>
        <v>na</v>
      </c>
      <c r="AJ109" s="26" t="str">
        <f t="shared" si="54"/>
        <v>na</v>
      </c>
      <c r="AK109" s="26" t="str">
        <f t="shared" si="43"/>
        <v>na</v>
      </c>
      <c r="AL109" s="4">
        <v>84452000</v>
      </c>
      <c r="AM109" s="4">
        <v>17745000</v>
      </c>
      <c r="AN109" s="12">
        <f t="shared" si="44"/>
        <v>-66707000</v>
      </c>
      <c r="AO109" s="12">
        <f t="shared" si="45"/>
        <v>102197000</v>
      </c>
      <c r="AP109" s="8">
        <v>1369285000</v>
      </c>
      <c r="AQ109" s="8">
        <v>645750000</v>
      </c>
      <c r="AR109" s="13">
        <f t="shared" si="46"/>
        <v>-723535000</v>
      </c>
      <c r="AS109" s="13">
        <f t="shared" si="47"/>
        <v>2015035000</v>
      </c>
      <c r="AT109" s="5">
        <f t="shared" si="64"/>
        <v>6.1675984181525395E-2</v>
      </c>
      <c r="AU109" s="5">
        <f t="shared" si="65"/>
        <v>2.7479674796747969E-2</v>
      </c>
      <c r="AV109" s="5">
        <f t="shared" si="48"/>
        <v>5.4802750110490603E-4</v>
      </c>
      <c r="AW109" s="5">
        <f t="shared" si="49"/>
        <v>3.1211480239286857E-4</v>
      </c>
      <c r="AX109" s="5">
        <f t="shared" si="66"/>
        <v>5.0717233199423332E-2</v>
      </c>
      <c r="AY109" s="10">
        <f t="shared" si="67"/>
        <v>4.3190108852514709E-2</v>
      </c>
      <c r="AZ109" s="24">
        <v>114</v>
      </c>
      <c r="BA109" s="19">
        <v>271028975.15808421</v>
      </c>
      <c r="BB109" s="17">
        <v>110</v>
      </c>
      <c r="BC109" s="19">
        <v>269062670.73385012</v>
      </c>
      <c r="BD109" s="17">
        <v>3</v>
      </c>
      <c r="BE109" s="19">
        <v>0</v>
      </c>
      <c r="BF109" s="17">
        <v>1</v>
      </c>
      <c r="BG109" s="19">
        <v>1966304.4242341099</v>
      </c>
      <c r="BH109" s="26">
        <f t="shared" si="50"/>
        <v>0.11454123838530644</v>
      </c>
      <c r="BI109" s="26">
        <f t="shared" si="51"/>
        <v>0.11371024626107724</v>
      </c>
      <c r="BJ109" s="26">
        <f t="shared" si="52"/>
        <v>0</v>
      </c>
      <c r="BK109" s="26">
        <f t="shared" si="53"/>
        <v>8.3099212422920897E-4</v>
      </c>
      <c r="BL109" s="34">
        <f t="shared" si="57"/>
        <v>15942880.891652012</v>
      </c>
      <c r="BM109" s="35">
        <f t="shared" si="55"/>
        <v>6.7377199050180255E-3</v>
      </c>
    </row>
    <row r="110" spans="1:65" x14ac:dyDescent="0.35">
      <c r="A110" s="18">
        <v>109</v>
      </c>
      <c r="B110" t="s">
        <v>343</v>
      </c>
      <c r="C110" s="3" t="s">
        <v>64</v>
      </c>
      <c r="D110" s="17" t="s">
        <v>9</v>
      </c>
      <c r="E110" s="17" t="s">
        <v>2</v>
      </c>
      <c r="F110" s="2">
        <v>0</v>
      </c>
      <c r="G110" s="2">
        <v>0</v>
      </c>
      <c r="H110" s="2">
        <v>1</v>
      </c>
      <c r="I110" s="18">
        <v>2019</v>
      </c>
      <c r="J110" s="2">
        <v>1</v>
      </c>
      <c r="K110" s="2">
        <v>2003</v>
      </c>
      <c r="L110" s="4">
        <v>3070518100</v>
      </c>
      <c r="M110" s="2">
        <v>2</v>
      </c>
      <c r="N110" s="4">
        <v>280000000</v>
      </c>
      <c r="O110" s="2">
        <v>2</v>
      </c>
      <c r="P110" s="4">
        <v>410000000</v>
      </c>
      <c r="Q110" s="2">
        <v>4</v>
      </c>
      <c r="R110" s="4">
        <v>690000000</v>
      </c>
      <c r="S110" s="5">
        <f t="shared" si="34"/>
        <v>9.1189822329983988E-2</v>
      </c>
      <c r="T110" s="5">
        <f t="shared" si="35"/>
        <v>0.13352795412604798</v>
      </c>
      <c r="U110" s="5">
        <f t="shared" si="36"/>
        <v>0.22471777645603197</v>
      </c>
      <c r="V110" s="26">
        <f t="shared" si="37"/>
        <v>2.0854591361730334E-4</v>
      </c>
      <c r="W110" s="26">
        <f t="shared" si="38"/>
        <v>5.1563246723847374E-4</v>
      </c>
      <c r="X110" s="26">
        <f t="shared" si="39"/>
        <v>3.2200407871833044E-4</v>
      </c>
      <c r="Y110" s="26">
        <f t="shared" si="40"/>
        <v>40588235.294117644</v>
      </c>
      <c r="Z110" s="26">
        <f t="shared" si="41"/>
        <v>1.3218692732707761E-2</v>
      </c>
      <c r="AA110" s="2">
        <v>2</v>
      </c>
      <c r="AB110" s="2">
        <v>0</v>
      </c>
      <c r="AC110" s="4">
        <v>0</v>
      </c>
      <c r="AD110" s="2">
        <v>0</v>
      </c>
      <c r="AE110" s="4">
        <v>0</v>
      </c>
      <c r="AF110" s="2">
        <v>0</v>
      </c>
      <c r="AG110" s="4">
        <v>0</v>
      </c>
      <c r="AH110" s="28">
        <f t="shared" si="42"/>
        <v>0</v>
      </c>
      <c r="AI110" s="4">
        <f t="shared" si="63"/>
        <v>0</v>
      </c>
      <c r="AJ110" s="26">
        <f t="shared" si="54"/>
        <v>0</v>
      </c>
      <c r="AK110" s="26">
        <f t="shared" si="43"/>
        <v>0</v>
      </c>
      <c r="AL110" s="14">
        <v>3909849000</v>
      </c>
      <c r="AM110" s="14">
        <v>112419000</v>
      </c>
      <c r="AN110" s="12">
        <f t="shared" si="44"/>
        <v>-3797430000</v>
      </c>
      <c r="AO110" s="12">
        <f t="shared" si="45"/>
        <v>4022268000</v>
      </c>
      <c r="AP110" s="8">
        <v>12349304000</v>
      </c>
      <c r="AQ110" s="8">
        <v>2001974000</v>
      </c>
      <c r="AR110" s="13">
        <f t="shared" si="46"/>
        <v>-10347330000</v>
      </c>
      <c r="AS110" s="13">
        <f t="shared" si="47"/>
        <v>14351278000</v>
      </c>
      <c r="AT110" s="5">
        <f t="shared" si="64"/>
        <v>0.3166048062303754</v>
      </c>
      <c r="AU110" s="5">
        <f t="shared" si="65"/>
        <v>5.6154075927059989E-2</v>
      </c>
      <c r="AV110" s="5">
        <f t="shared" si="48"/>
        <v>4.9425490029503145E-3</v>
      </c>
      <c r="AW110" s="5">
        <f t="shared" si="49"/>
        <v>9.6762790461581215E-4</v>
      </c>
      <c r="AX110" s="5">
        <f t="shared" si="66"/>
        <v>0.28027246075227585</v>
      </c>
      <c r="AY110" s="10">
        <f t="shared" si="67"/>
        <v>1.3099639438699286</v>
      </c>
      <c r="AZ110" s="24">
        <v>144</v>
      </c>
      <c r="BA110" s="19">
        <v>1151598844.2702711</v>
      </c>
      <c r="BB110" s="17">
        <v>137</v>
      </c>
      <c r="BC110" s="19">
        <v>649897009.68720102</v>
      </c>
      <c r="BD110" s="17">
        <v>6</v>
      </c>
      <c r="BE110" s="19">
        <v>501701834.58307004</v>
      </c>
      <c r="BF110" s="17">
        <v>1</v>
      </c>
      <c r="BG110" s="19">
        <v>0</v>
      </c>
      <c r="BH110" s="26">
        <f t="shared" si="50"/>
        <v>0.37505033573007468</v>
      </c>
      <c r="BI110" s="26">
        <f t="shared" si="51"/>
        <v>0.21165711730772765</v>
      </c>
      <c r="BJ110" s="26">
        <f t="shared" si="52"/>
        <v>0.16339321842234705</v>
      </c>
      <c r="BK110" s="26">
        <f t="shared" si="53"/>
        <v>0</v>
      </c>
      <c r="BL110" s="34">
        <f t="shared" si="57"/>
        <v>67741108.486486539</v>
      </c>
      <c r="BM110" s="35">
        <f t="shared" si="55"/>
        <v>2.2061784454710277E-2</v>
      </c>
    </row>
    <row r="111" spans="1:65" x14ac:dyDescent="0.35">
      <c r="A111" s="18">
        <v>110</v>
      </c>
      <c r="B111" t="s">
        <v>344</v>
      </c>
      <c r="C111" s="3" t="s">
        <v>65</v>
      </c>
      <c r="D111" s="17" t="s">
        <v>7</v>
      </c>
      <c r="E111" s="17" t="s">
        <v>5</v>
      </c>
      <c r="F111" s="2">
        <v>0</v>
      </c>
      <c r="G111" s="2">
        <v>0</v>
      </c>
      <c r="H111" s="2">
        <v>1</v>
      </c>
      <c r="I111" s="2">
        <v>2018</v>
      </c>
      <c r="J111" s="2">
        <v>0</v>
      </c>
      <c r="K111" s="2" t="s">
        <v>152</v>
      </c>
      <c r="L111" s="4">
        <v>52091152228.342514</v>
      </c>
      <c r="M111" s="2">
        <v>1</v>
      </c>
      <c r="N111" s="4">
        <v>2600000000</v>
      </c>
      <c r="O111" s="2">
        <v>0</v>
      </c>
      <c r="P111" s="4">
        <v>0</v>
      </c>
      <c r="Q111" s="2">
        <v>1</v>
      </c>
      <c r="R111" s="4">
        <v>2600000000</v>
      </c>
      <c r="S111" s="5">
        <f t="shared" si="34"/>
        <v>4.9912506995484621E-2</v>
      </c>
      <c r="T111" s="15">
        <f t="shared" si="35"/>
        <v>0</v>
      </c>
      <c r="U111" s="5">
        <f t="shared" si="36"/>
        <v>4.9912506995484621E-2</v>
      </c>
      <c r="V111" s="26">
        <f t="shared" si="37"/>
        <v>1.9364977693035312E-3</v>
      </c>
      <c r="W111" s="26">
        <f t="shared" si="38"/>
        <v>0</v>
      </c>
      <c r="X111" s="26">
        <f t="shared" si="39"/>
        <v>1.2133487024168974E-3</v>
      </c>
      <c r="Y111" s="26">
        <f t="shared" si="40"/>
        <v>152941176.47058824</v>
      </c>
      <c r="Z111" s="26">
        <f t="shared" si="41"/>
        <v>2.936029823263801E-3</v>
      </c>
      <c r="AA111" s="2">
        <v>3</v>
      </c>
      <c r="AB111" s="18">
        <v>0</v>
      </c>
      <c r="AC111" s="4">
        <v>0</v>
      </c>
      <c r="AD111" s="18">
        <v>0</v>
      </c>
      <c r="AE111" s="4">
        <v>0</v>
      </c>
      <c r="AF111" s="2">
        <v>0</v>
      </c>
      <c r="AG111" s="4">
        <v>0</v>
      </c>
      <c r="AH111" s="28">
        <f t="shared" si="42"/>
        <v>0</v>
      </c>
      <c r="AI111" s="4">
        <f t="shared" si="63"/>
        <v>0</v>
      </c>
      <c r="AJ111" s="26">
        <f t="shared" si="54"/>
        <v>0</v>
      </c>
      <c r="AK111" s="26">
        <f t="shared" si="43"/>
        <v>0</v>
      </c>
      <c r="AL111" s="14">
        <v>2453887000</v>
      </c>
      <c r="AM111" s="14">
        <v>4765665000</v>
      </c>
      <c r="AN111" s="12">
        <f t="shared" si="44"/>
        <v>2311778000</v>
      </c>
      <c r="AO111" s="12">
        <f t="shared" si="45"/>
        <v>7219552000</v>
      </c>
      <c r="AP111" s="8">
        <v>15501101000</v>
      </c>
      <c r="AQ111" s="8">
        <v>29471855000</v>
      </c>
      <c r="AR111" s="13">
        <f t="shared" si="46"/>
        <v>13970754000</v>
      </c>
      <c r="AS111" s="13">
        <f t="shared" si="47"/>
        <v>44972956000</v>
      </c>
      <c r="AT111" s="5">
        <f t="shared" si="64"/>
        <v>0.15830404562875888</v>
      </c>
      <c r="AU111" s="5">
        <f t="shared" si="65"/>
        <v>0.16170224100247507</v>
      </c>
      <c r="AV111" s="5">
        <f t="shared" si="48"/>
        <v>6.2039894144789139E-3</v>
      </c>
      <c r="AW111" s="5">
        <f t="shared" si="49"/>
        <v>1.4244834997253233E-2</v>
      </c>
      <c r="AX111" s="5">
        <f t="shared" si="66"/>
        <v>0.16053096443115725</v>
      </c>
      <c r="AY111" s="10">
        <f t="shared" si="67"/>
        <v>0.13859459219394807</v>
      </c>
      <c r="AZ111" s="24">
        <v>7</v>
      </c>
      <c r="BA111" s="19">
        <v>394418703.00868791</v>
      </c>
      <c r="BB111" s="17">
        <v>6</v>
      </c>
      <c r="BC111" s="19">
        <v>3304198.7619668599</v>
      </c>
      <c r="BD111" s="17">
        <v>1</v>
      </c>
      <c r="BE111" s="19">
        <v>391114504.24672103</v>
      </c>
      <c r="BF111" s="17">
        <v>0</v>
      </c>
      <c r="BG111" s="19">
        <v>0</v>
      </c>
      <c r="BH111" s="26">
        <f t="shared" si="50"/>
        <v>7.5717024127196567E-3</v>
      </c>
      <c r="BI111" s="26">
        <f t="shared" si="51"/>
        <v>6.3431093777362513E-5</v>
      </c>
      <c r="BJ111" s="26">
        <f t="shared" si="52"/>
        <v>7.5082713189422931E-3</v>
      </c>
      <c r="BK111" s="26">
        <f t="shared" si="53"/>
        <v>0</v>
      </c>
      <c r="BL111" s="34">
        <f t="shared" si="57"/>
        <v>23201100.176981643</v>
      </c>
      <c r="BM111" s="35">
        <f t="shared" si="55"/>
        <v>4.4539425957174452E-4</v>
      </c>
    </row>
    <row r="112" spans="1:65" x14ac:dyDescent="0.35">
      <c r="A112" s="18">
        <v>111</v>
      </c>
      <c r="B112" t="s">
        <v>471</v>
      </c>
      <c r="C112" s="22" t="s">
        <v>472</v>
      </c>
      <c r="D112" s="17" t="s">
        <v>4</v>
      </c>
      <c r="E112" s="17" t="s">
        <v>13</v>
      </c>
      <c r="F112" s="2">
        <v>0</v>
      </c>
      <c r="G112" s="2">
        <v>0</v>
      </c>
      <c r="H112" s="2">
        <v>0</v>
      </c>
      <c r="I112" s="18" t="s">
        <v>152</v>
      </c>
      <c r="J112" s="2">
        <v>0</v>
      </c>
      <c r="K112" s="2" t="s">
        <v>152</v>
      </c>
      <c r="L112" s="20">
        <v>6839145106.8616419</v>
      </c>
      <c r="M112" s="2">
        <v>0</v>
      </c>
      <c r="N112" s="4">
        <v>0</v>
      </c>
      <c r="O112" s="2">
        <v>0</v>
      </c>
      <c r="P112" s="4">
        <v>0</v>
      </c>
      <c r="Q112" s="2">
        <v>0</v>
      </c>
      <c r="R112" s="4">
        <v>0</v>
      </c>
      <c r="S112" s="5">
        <f t="shared" si="34"/>
        <v>0</v>
      </c>
      <c r="T112" s="15">
        <f t="shared" si="35"/>
        <v>0</v>
      </c>
      <c r="U112" s="5">
        <f t="shared" si="36"/>
        <v>0</v>
      </c>
      <c r="V112" s="26">
        <f t="shared" si="37"/>
        <v>0</v>
      </c>
      <c r="W112" s="26">
        <f t="shared" si="38"/>
        <v>0</v>
      </c>
      <c r="X112" s="26">
        <f t="shared" si="39"/>
        <v>0</v>
      </c>
      <c r="Y112" s="26">
        <f t="shared" si="40"/>
        <v>0</v>
      </c>
      <c r="Z112" s="26">
        <f t="shared" si="41"/>
        <v>0</v>
      </c>
      <c r="AA112" s="2">
        <v>0</v>
      </c>
      <c r="AB112" s="2" t="s">
        <v>152</v>
      </c>
      <c r="AC112" s="4" t="s">
        <v>152</v>
      </c>
      <c r="AD112" s="2" t="s">
        <v>152</v>
      </c>
      <c r="AE112" s="4" t="s">
        <v>152</v>
      </c>
      <c r="AF112" s="2" t="s">
        <v>152</v>
      </c>
      <c r="AG112" s="4" t="s">
        <v>152</v>
      </c>
      <c r="AH112" s="28">
        <f t="shared" si="42"/>
        <v>0</v>
      </c>
      <c r="AI112" s="4" t="s">
        <v>152</v>
      </c>
      <c r="AJ112" s="26" t="str">
        <f t="shared" si="54"/>
        <v>na</v>
      </c>
      <c r="AK112" s="26" t="str">
        <f t="shared" si="43"/>
        <v>na</v>
      </c>
      <c r="AL112" s="18" t="s">
        <v>152</v>
      </c>
      <c r="AM112" s="18" t="s">
        <v>152</v>
      </c>
      <c r="AN112" s="12" t="str">
        <f t="shared" si="44"/>
        <v>na</v>
      </c>
      <c r="AO112" s="12" t="str">
        <f t="shared" si="45"/>
        <v>na</v>
      </c>
      <c r="AP112" s="18" t="s">
        <v>152</v>
      </c>
      <c r="AQ112" s="18" t="s">
        <v>152</v>
      </c>
      <c r="AR112" s="13" t="str">
        <f t="shared" si="46"/>
        <v>na</v>
      </c>
      <c r="AS112" s="13" t="str">
        <f t="shared" si="47"/>
        <v>na</v>
      </c>
      <c r="AT112" s="5" t="str">
        <f t="shared" si="64"/>
        <v>na</v>
      </c>
      <c r="AU112" s="5" t="str">
        <f t="shared" si="65"/>
        <v>na</v>
      </c>
      <c r="AV112" s="5" t="str">
        <f t="shared" si="48"/>
        <v>na</v>
      </c>
      <c r="AW112" s="5" t="str">
        <f t="shared" si="49"/>
        <v>na</v>
      </c>
      <c r="AX112" s="5" t="str">
        <f t="shared" si="66"/>
        <v>na</v>
      </c>
      <c r="AY112" s="10" t="str">
        <f t="shared" si="67"/>
        <v>na</v>
      </c>
      <c r="AZ112" s="24" t="s">
        <v>152</v>
      </c>
      <c r="BA112" s="29" t="s">
        <v>152</v>
      </c>
      <c r="BB112" s="24" t="s">
        <v>152</v>
      </c>
      <c r="BC112" s="29" t="s">
        <v>152</v>
      </c>
      <c r="BD112" s="24" t="s">
        <v>152</v>
      </c>
      <c r="BE112" s="29" t="s">
        <v>152</v>
      </c>
      <c r="BF112" s="24" t="s">
        <v>152</v>
      </c>
      <c r="BG112" s="29" t="s">
        <v>152</v>
      </c>
      <c r="BH112" s="26">
        <f t="shared" si="50"/>
        <v>0</v>
      </c>
      <c r="BI112" s="26">
        <f t="shared" si="51"/>
        <v>0</v>
      </c>
      <c r="BJ112" s="26">
        <f t="shared" si="52"/>
        <v>0</v>
      </c>
      <c r="BK112" s="26">
        <f t="shared" si="53"/>
        <v>0</v>
      </c>
      <c r="BL112" s="34">
        <f t="shared" si="57"/>
        <v>0</v>
      </c>
      <c r="BM112" s="35">
        <f t="shared" si="55"/>
        <v>0</v>
      </c>
    </row>
    <row r="113" spans="1:65" x14ac:dyDescent="0.35">
      <c r="A113" s="18">
        <v>112</v>
      </c>
      <c r="B113" t="s">
        <v>345</v>
      </c>
      <c r="C113" s="3" t="s">
        <v>66</v>
      </c>
      <c r="D113" s="17" t="s">
        <v>4</v>
      </c>
      <c r="E113" s="17" t="s">
        <v>13</v>
      </c>
      <c r="F113" s="2">
        <v>0</v>
      </c>
      <c r="G113" s="2">
        <v>0</v>
      </c>
      <c r="H113" s="2">
        <v>1</v>
      </c>
      <c r="I113" s="18">
        <v>2017</v>
      </c>
      <c r="J113" s="2">
        <v>0</v>
      </c>
      <c r="K113" s="2" t="s">
        <v>152</v>
      </c>
      <c r="L113" s="4">
        <v>54639938780.235207</v>
      </c>
      <c r="M113" s="2">
        <v>0</v>
      </c>
      <c r="N113" s="4">
        <v>0</v>
      </c>
      <c r="O113" s="2">
        <v>0</v>
      </c>
      <c r="P113" s="4">
        <v>0</v>
      </c>
      <c r="Q113" s="2">
        <v>0</v>
      </c>
      <c r="R113" s="4">
        <v>0</v>
      </c>
      <c r="S113" s="5">
        <f t="shared" si="34"/>
        <v>0</v>
      </c>
      <c r="T113" s="15">
        <f t="shared" si="35"/>
        <v>0</v>
      </c>
      <c r="U113" s="5">
        <f t="shared" si="36"/>
        <v>0</v>
      </c>
      <c r="V113" s="26">
        <f t="shared" si="37"/>
        <v>0</v>
      </c>
      <c r="W113" s="26">
        <f t="shared" si="38"/>
        <v>0</v>
      </c>
      <c r="X113" s="26">
        <f t="shared" si="39"/>
        <v>0</v>
      </c>
      <c r="Y113" s="26">
        <f t="shared" si="40"/>
        <v>0</v>
      </c>
      <c r="Z113" s="26">
        <f t="shared" si="41"/>
        <v>0</v>
      </c>
      <c r="AA113" s="2">
        <v>0</v>
      </c>
      <c r="AB113" s="2" t="s">
        <v>152</v>
      </c>
      <c r="AC113" s="4" t="s">
        <v>152</v>
      </c>
      <c r="AD113" s="2" t="s">
        <v>152</v>
      </c>
      <c r="AE113" s="4" t="s">
        <v>152</v>
      </c>
      <c r="AF113" s="2" t="s">
        <v>152</v>
      </c>
      <c r="AG113" s="4" t="s">
        <v>152</v>
      </c>
      <c r="AH113" s="28">
        <f t="shared" si="42"/>
        <v>0</v>
      </c>
      <c r="AI113" s="4" t="str">
        <f t="shared" ref="AI113:AI121" si="68">IFERROR(AC113+AE113,"na")</f>
        <v>na</v>
      </c>
      <c r="AJ113" s="26" t="str">
        <f t="shared" si="54"/>
        <v>na</v>
      </c>
      <c r="AK113" s="26" t="str">
        <f t="shared" si="43"/>
        <v>na</v>
      </c>
      <c r="AL113" s="4">
        <v>1039964000</v>
      </c>
      <c r="AM113" s="4">
        <v>309140000</v>
      </c>
      <c r="AN113" s="12">
        <f t="shared" si="44"/>
        <v>-730824000</v>
      </c>
      <c r="AO113" s="12">
        <f t="shared" si="45"/>
        <v>1349104000</v>
      </c>
      <c r="AP113" s="8">
        <v>35759416000</v>
      </c>
      <c r="AQ113" s="8">
        <v>33150772000</v>
      </c>
      <c r="AR113" s="13">
        <f t="shared" si="46"/>
        <v>-2608644000</v>
      </c>
      <c r="AS113" s="13">
        <f t="shared" si="47"/>
        <v>68910188000</v>
      </c>
      <c r="AT113" s="5">
        <f t="shared" si="64"/>
        <v>2.9082242282703945E-2</v>
      </c>
      <c r="AU113" s="5">
        <f t="shared" si="65"/>
        <v>9.3252730283324928E-3</v>
      </c>
      <c r="AV113" s="5">
        <f t="shared" si="48"/>
        <v>1.4311953604582534E-2</v>
      </c>
      <c r="AW113" s="5">
        <f t="shared" si="49"/>
        <v>1.6022991330934634E-2</v>
      </c>
      <c r="AX113" s="5">
        <f t="shared" si="66"/>
        <v>1.957771469147639E-2</v>
      </c>
      <c r="AY113" s="10">
        <f t="shared" si="67"/>
        <v>2.4690803652364424E-2</v>
      </c>
      <c r="AZ113" s="24" t="s">
        <v>152</v>
      </c>
      <c r="BA113" s="29" t="s">
        <v>152</v>
      </c>
      <c r="BB113" s="24" t="s">
        <v>152</v>
      </c>
      <c r="BC113" s="29" t="s">
        <v>152</v>
      </c>
      <c r="BD113" s="24" t="s">
        <v>152</v>
      </c>
      <c r="BE113" s="29" t="s">
        <v>152</v>
      </c>
      <c r="BF113" s="24" t="s">
        <v>152</v>
      </c>
      <c r="BG113" s="29" t="s">
        <v>152</v>
      </c>
      <c r="BH113" s="26">
        <f t="shared" si="50"/>
        <v>0</v>
      </c>
      <c r="BI113" s="26">
        <f t="shared" si="51"/>
        <v>0</v>
      </c>
      <c r="BJ113" s="26">
        <f t="shared" si="52"/>
        <v>0</v>
      </c>
      <c r="BK113" s="26">
        <f t="shared" si="53"/>
        <v>0</v>
      </c>
      <c r="BL113" s="34">
        <f t="shared" si="57"/>
        <v>0</v>
      </c>
      <c r="BM113" s="35">
        <f t="shared" si="55"/>
        <v>0</v>
      </c>
    </row>
    <row r="114" spans="1:65" x14ac:dyDescent="0.35">
      <c r="A114" s="18">
        <v>113</v>
      </c>
      <c r="B114" t="s">
        <v>346</v>
      </c>
      <c r="C114" s="3" t="s">
        <v>67</v>
      </c>
      <c r="D114" s="17" t="s">
        <v>4</v>
      </c>
      <c r="E114" s="17" t="s">
        <v>13</v>
      </c>
      <c r="F114" s="2">
        <v>0</v>
      </c>
      <c r="G114" s="2">
        <v>0</v>
      </c>
      <c r="H114" s="2">
        <v>1</v>
      </c>
      <c r="I114" s="2">
        <v>2019</v>
      </c>
      <c r="J114" s="2">
        <v>0</v>
      </c>
      <c r="K114" s="2" t="s">
        <v>152</v>
      </c>
      <c r="L114" s="4">
        <v>71104919108.141068</v>
      </c>
      <c r="M114" s="2">
        <v>0</v>
      </c>
      <c r="N114" s="4">
        <v>0</v>
      </c>
      <c r="O114" s="2">
        <v>5</v>
      </c>
      <c r="P114" s="4">
        <v>4680000000</v>
      </c>
      <c r="Q114" s="2">
        <v>5</v>
      </c>
      <c r="R114" s="4">
        <v>4680000000</v>
      </c>
      <c r="S114" s="5">
        <f t="shared" si="34"/>
        <v>0</v>
      </c>
      <c r="T114" s="5">
        <f t="shared" si="35"/>
        <v>6.5818231125224211E-2</v>
      </c>
      <c r="U114" s="5">
        <f t="shared" si="36"/>
        <v>6.5818231125224211E-2</v>
      </c>
      <c r="V114" s="26">
        <f t="shared" si="37"/>
        <v>0</v>
      </c>
      <c r="W114" s="26">
        <f t="shared" si="38"/>
        <v>5.8857559675025784E-3</v>
      </c>
      <c r="X114" s="26">
        <f t="shared" si="39"/>
        <v>2.1840276643504152E-3</v>
      </c>
      <c r="Y114" s="26">
        <f t="shared" si="40"/>
        <v>275294117.64705884</v>
      </c>
      <c r="Z114" s="26">
        <f t="shared" si="41"/>
        <v>3.8716606544249538E-3</v>
      </c>
      <c r="AA114" s="2">
        <v>2</v>
      </c>
      <c r="AB114" s="18">
        <v>0</v>
      </c>
      <c r="AC114" s="4">
        <v>0</v>
      </c>
      <c r="AD114" s="2">
        <v>0</v>
      </c>
      <c r="AE114" s="4">
        <v>0</v>
      </c>
      <c r="AF114" s="2">
        <v>0</v>
      </c>
      <c r="AG114" s="4">
        <v>0</v>
      </c>
      <c r="AH114" s="28">
        <f t="shared" si="42"/>
        <v>0</v>
      </c>
      <c r="AI114" s="4">
        <f t="shared" si="68"/>
        <v>0</v>
      </c>
      <c r="AJ114" s="26">
        <f t="shared" si="54"/>
        <v>0</v>
      </c>
      <c r="AK114" s="26">
        <f t="shared" si="43"/>
        <v>0</v>
      </c>
      <c r="AL114" s="4">
        <v>658564000</v>
      </c>
      <c r="AM114" s="4">
        <v>205707000</v>
      </c>
      <c r="AN114" s="12">
        <f t="shared" si="44"/>
        <v>-452857000</v>
      </c>
      <c r="AO114" s="12">
        <f t="shared" si="45"/>
        <v>864271000</v>
      </c>
      <c r="AP114" s="8">
        <v>22673693000</v>
      </c>
      <c r="AQ114" s="8">
        <v>14667447000</v>
      </c>
      <c r="AR114" s="13">
        <f t="shared" si="46"/>
        <v>-8006246000</v>
      </c>
      <c r="AS114" s="13">
        <f t="shared" si="47"/>
        <v>37341140000</v>
      </c>
      <c r="AT114" s="5">
        <f t="shared" si="64"/>
        <v>2.904529050472722E-2</v>
      </c>
      <c r="AU114" s="5">
        <f t="shared" si="65"/>
        <v>1.4024731093284332E-2</v>
      </c>
      <c r="AV114" s="5">
        <f t="shared" si="48"/>
        <v>9.0746683967251537E-3</v>
      </c>
      <c r="AW114" s="5">
        <f t="shared" si="49"/>
        <v>7.0893183461291096E-3</v>
      </c>
      <c r="AX114" s="5">
        <f t="shared" si="66"/>
        <v>2.314527622884572E-2</v>
      </c>
      <c r="AY114" s="10">
        <f t="shared" si="67"/>
        <v>1.2154869323253985E-2</v>
      </c>
      <c r="AZ114" s="24" t="s">
        <v>152</v>
      </c>
      <c r="BA114" s="29" t="s">
        <v>152</v>
      </c>
      <c r="BB114" s="24" t="s">
        <v>152</v>
      </c>
      <c r="BC114" s="29" t="s">
        <v>152</v>
      </c>
      <c r="BD114" s="24" t="s">
        <v>152</v>
      </c>
      <c r="BE114" s="29" t="s">
        <v>152</v>
      </c>
      <c r="BF114" s="24" t="s">
        <v>152</v>
      </c>
      <c r="BG114" s="29" t="s">
        <v>152</v>
      </c>
      <c r="BH114" s="26">
        <f t="shared" si="50"/>
        <v>0</v>
      </c>
      <c r="BI114" s="26">
        <f t="shared" si="51"/>
        <v>0</v>
      </c>
      <c r="BJ114" s="26">
        <f t="shared" si="52"/>
        <v>0</v>
      </c>
      <c r="BK114" s="26">
        <f t="shared" si="53"/>
        <v>0</v>
      </c>
      <c r="BL114" s="34">
        <f t="shared" si="57"/>
        <v>0</v>
      </c>
      <c r="BM114" s="35">
        <f t="shared" si="55"/>
        <v>0</v>
      </c>
    </row>
    <row r="115" spans="1:65" x14ac:dyDescent="0.35">
      <c r="A115" s="18">
        <v>114</v>
      </c>
      <c r="B115" t="s">
        <v>347</v>
      </c>
      <c r="C115" s="3" t="s">
        <v>200</v>
      </c>
      <c r="D115" s="17" t="s">
        <v>23</v>
      </c>
      <c r="E115" s="17" t="s">
        <v>13</v>
      </c>
      <c r="F115" s="2">
        <v>0</v>
      </c>
      <c r="G115" s="2">
        <v>1</v>
      </c>
      <c r="H115" s="2">
        <v>0</v>
      </c>
      <c r="I115" s="3" t="s">
        <v>152</v>
      </c>
      <c r="J115" s="2">
        <v>0</v>
      </c>
      <c r="K115" s="2" t="s">
        <v>152</v>
      </c>
      <c r="L115" s="4">
        <v>55153707948.702072</v>
      </c>
      <c r="M115" s="2">
        <v>0</v>
      </c>
      <c r="N115" s="4">
        <v>0</v>
      </c>
      <c r="O115" s="2">
        <v>0</v>
      </c>
      <c r="P115" s="4">
        <v>0</v>
      </c>
      <c r="Q115" s="2">
        <v>0</v>
      </c>
      <c r="R115" s="4">
        <v>0</v>
      </c>
      <c r="S115" s="5">
        <f t="shared" si="34"/>
        <v>0</v>
      </c>
      <c r="T115" s="15">
        <f t="shared" si="35"/>
        <v>0</v>
      </c>
      <c r="U115" s="5">
        <f t="shared" si="36"/>
        <v>0</v>
      </c>
      <c r="V115" s="26">
        <f t="shared" si="37"/>
        <v>0</v>
      </c>
      <c r="W115" s="26">
        <f t="shared" si="38"/>
        <v>0</v>
      </c>
      <c r="X115" s="26">
        <f t="shared" si="39"/>
        <v>0</v>
      </c>
      <c r="Y115" s="26">
        <f t="shared" si="40"/>
        <v>0</v>
      </c>
      <c r="Z115" s="26">
        <f t="shared" si="41"/>
        <v>0</v>
      </c>
      <c r="AA115" s="2">
        <v>0</v>
      </c>
      <c r="AB115" s="2" t="s">
        <v>152</v>
      </c>
      <c r="AC115" s="4" t="s">
        <v>152</v>
      </c>
      <c r="AD115" s="2" t="s">
        <v>152</v>
      </c>
      <c r="AE115" s="4" t="s">
        <v>152</v>
      </c>
      <c r="AF115" s="2" t="s">
        <v>152</v>
      </c>
      <c r="AG115" s="4" t="s">
        <v>152</v>
      </c>
      <c r="AH115" s="28">
        <f t="shared" si="42"/>
        <v>0</v>
      </c>
      <c r="AI115" s="4" t="str">
        <f t="shared" si="68"/>
        <v>na</v>
      </c>
      <c r="AJ115" s="26" t="str">
        <f t="shared" si="54"/>
        <v>na</v>
      </c>
      <c r="AK115" s="26" t="str">
        <f t="shared" si="43"/>
        <v>na</v>
      </c>
      <c r="AL115" s="4">
        <v>3982601000</v>
      </c>
      <c r="AM115" s="4">
        <v>106308000</v>
      </c>
      <c r="AN115" s="12">
        <f t="shared" si="44"/>
        <v>-3876293000</v>
      </c>
      <c r="AO115" s="12">
        <f t="shared" si="45"/>
        <v>4088909000</v>
      </c>
      <c r="AP115" s="8">
        <v>12024019000</v>
      </c>
      <c r="AQ115" s="8">
        <v>1023983000</v>
      </c>
      <c r="AR115" s="13">
        <f t="shared" si="46"/>
        <v>-11000036000</v>
      </c>
      <c r="AS115" s="13">
        <f t="shared" si="47"/>
        <v>13048002000</v>
      </c>
      <c r="AT115" s="5">
        <f t="shared" si="64"/>
        <v>0.33122045133162215</v>
      </c>
      <c r="AU115" s="5">
        <f t="shared" si="65"/>
        <v>0.1038181297931704</v>
      </c>
      <c r="AV115" s="5">
        <f t="shared" si="48"/>
        <v>4.8123605281646343E-3</v>
      </c>
      <c r="AW115" s="5">
        <f t="shared" si="49"/>
        <v>4.9492876763245332E-4</v>
      </c>
      <c r="AX115" s="5">
        <f t="shared" si="66"/>
        <v>0.31337433884513505</v>
      </c>
      <c r="AY115" s="10">
        <f t="shared" si="67"/>
        <v>7.41366111559182E-2</v>
      </c>
      <c r="AZ115" s="24" t="s">
        <v>152</v>
      </c>
      <c r="BA115" s="29" t="s">
        <v>152</v>
      </c>
      <c r="BB115" s="24" t="s">
        <v>152</v>
      </c>
      <c r="BC115" s="29" t="s">
        <v>152</v>
      </c>
      <c r="BD115" s="24" t="s">
        <v>152</v>
      </c>
      <c r="BE115" s="29" t="s">
        <v>152</v>
      </c>
      <c r="BF115" s="24" t="s">
        <v>152</v>
      </c>
      <c r="BG115" s="29" t="s">
        <v>152</v>
      </c>
      <c r="BH115" s="26">
        <f t="shared" si="50"/>
        <v>0</v>
      </c>
      <c r="BI115" s="26">
        <f t="shared" si="51"/>
        <v>0</v>
      </c>
      <c r="BJ115" s="26">
        <f t="shared" si="52"/>
        <v>0</v>
      </c>
      <c r="BK115" s="26">
        <f t="shared" si="53"/>
        <v>0</v>
      </c>
      <c r="BL115" s="34">
        <f t="shared" si="57"/>
        <v>0</v>
      </c>
      <c r="BM115" s="35">
        <f t="shared" si="55"/>
        <v>0</v>
      </c>
    </row>
    <row r="116" spans="1:65" x14ac:dyDescent="0.35">
      <c r="A116" s="18">
        <v>115</v>
      </c>
      <c r="B116" t="s">
        <v>349</v>
      </c>
      <c r="C116" s="3" t="s">
        <v>68</v>
      </c>
      <c r="D116" s="17" t="s">
        <v>9</v>
      </c>
      <c r="E116" s="17" t="s">
        <v>2</v>
      </c>
      <c r="F116" s="2">
        <v>0</v>
      </c>
      <c r="G116" s="2">
        <v>0</v>
      </c>
      <c r="H116" s="2">
        <v>1</v>
      </c>
      <c r="I116" s="18">
        <v>2017</v>
      </c>
      <c r="J116" s="2">
        <v>0</v>
      </c>
      <c r="K116" s="2" t="s">
        <v>152</v>
      </c>
      <c r="L116" s="4">
        <v>14191911512.040983</v>
      </c>
      <c r="M116" s="2">
        <v>2</v>
      </c>
      <c r="N116" s="4">
        <v>290000000</v>
      </c>
      <c r="O116" s="2">
        <v>4</v>
      </c>
      <c r="P116" s="4">
        <v>1790000000</v>
      </c>
      <c r="Q116" s="2">
        <v>6</v>
      </c>
      <c r="R116" s="4">
        <v>2080000000</v>
      </c>
      <c r="S116" s="5">
        <f t="shared" si="34"/>
        <v>2.0434174758907738E-2</v>
      </c>
      <c r="T116" s="5">
        <f t="shared" si="35"/>
        <v>0.12612818213256846</v>
      </c>
      <c r="U116" s="5">
        <f t="shared" si="36"/>
        <v>0.14656235689147618</v>
      </c>
      <c r="V116" s="26">
        <f t="shared" si="37"/>
        <v>2.1599398196077847E-4</v>
      </c>
      <c r="W116" s="26">
        <f t="shared" si="38"/>
        <v>2.2511758935533366E-3</v>
      </c>
      <c r="X116" s="26">
        <f t="shared" si="39"/>
        <v>9.7067896193351786E-4</v>
      </c>
      <c r="Y116" s="26">
        <f t="shared" si="40"/>
        <v>122352941.17647059</v>
      </c>
      <c r="Z116" s="26">
        <f t="shared" si="41"/>
        <v>8.621315111263305E-3</v>
      </c>
      <c r="AA116" s="2">
        <v>2</v>
      </c>
      <c r="AB116" s="2">
        <v>0</v>
      </c>
      <c r="AC116" s="4">
        <v>0</v>
      </c>
      <c r="AD116" s="2">
        <v>0</v>
      </c>
      <c r="AE116" s="4">
        <v>0</v>
      </c>
      <c r="AF116" s="2">
        <v>0</v>
      </c>
      <c r="AG116" s="4">
        <v>0</v>
      </c>
      <c r="AH116" s="28">
        <f t="shared" si="42"/>
        <v>0</v>
      </c>
      <c r="AI116" s="4">
        <f t="shared" si="68"/>
        <v>0</v>
      </c>
      <c r="AJ116" s="26">
        <f t="shared" si="54"/>
        <v>0</v>
      </c>
      <c r="AK116" s="26">
        <f t="shared" si="43"/>
        <v>0</v>
      </c>
      <c r="AL116" s="4">
        <v>874580000</v>
      </c>
      <c r="AM116" s="4">
        <v>167226000</v>
      </c>
      <c r="AN116" s="12">
        <f t="shared" si="44"/>
        <v>-707354000</v>
      </c>
      <c r="AO116" s="12">
        <f t="shared" si="45"/>
        <v>1041806000</v>
      </c>
      <c r="AP116" s="8">
        <v>3896887000</v>
      </c>
      <c r="AQ116" s="8">
        <v>2564400000</v>
      </c>
      <c r="AR116" s="13">
        <f t="shared" si="46"/>
        <v>-1332487000</v>
      </c>
      <c r="AS116" s="13">
        <f t="shared" si="47"/>
        <v>6461287000</v>
      </c>
      <c r="AT116" s="5">
        <f t="shared" si="64"/>
        <v>0.22443042356629792</v>
      </c>
      <c r="AU116" s="5">
        <f t="shared" si="65"/>
        <v>6.5210575573233509E-2</v>
      </c>
      <c r="AV116" s="5">
        <f t="shared" si="48"/>
        <v>1.5596470016820414E-3</v>
      </c>
      <c r="AW116" s="5">
        <f t="shared" si="49"/>
        <v>1.2394691432540024E-3</v>
      </c>
      <c r="AX116" s="5">
        <f t="shared" si="66"/>
        <v>0.16123815580394432</v>
      </c>
      <c r="AY116" s="10">
        <f t="shared" si="67"/>
        <v>7.3408434030615977E-2</v>
      </c>
      <c r="AZ116" s="24">
        <v>111</v>
      </c>
      <c r="BA116" s="19">
        <v>804675543.67270756</v>
      </c>
      <c r="BB116" s="17">
        <v>101</v>
      </c>
      <c r="BC116" s="19">
        <v>529686978.48534048</v>
      </c>
      <c r="BD116" s="17">
        <v>9</v>
      </c>
      <c r="BE116" s="19">
        <v>268092218.5773001</v>
      </c>
      <c r="BF116" s="17">
        <v>1</v>
      </c>
      <c r="BG116" s="19">
        <v>6896346.61006705</v>
      </c>
      <c r="BH116" s="26">
        <f t="shared" si="50"/>
        <v>5.6699588564231726E-2</v>
      </c>
      <c r="BI116" s="26">
        <f t="shared" si="51"/>
        <v>3.7323159606507762E-2</v>
      </c>
      <c r="BJ116" s="26">
        <f t="shared" si="52"/>
        <v>1.8890493951420145E-2</v>
      </c>
      <c r="BK116" s="26">
        <f t="shared" si="53"/>
        <v>4.8593500630383121E-4</v>
      </c>
      <c r="BL116" s="34">
        <f t="shared" si="57"/>
        <v>47333855.510159269</v>
      </c>
      <c r="BM116" s="35">
        <f t="shared" si="55"/>
        <v>3.3352699155430429E-3</v>
      </c>
    </row>
    <row r="117" spans="1:65" x14ac:dyDescent="0.35">
      <c r="A117" s="18">
        <v>116</v>
      </c>
      <c r="B117" t="s">
        <v>350</v>
      </c>
      <c r="C117" s="3" t="s">
        <v>201</v>
      </c>
      <c r="D117" s="17" t="s">
        <v>9</v>
      </c>
      <c r="E117" s="17" t="s">
        <v>2</v>
      </c>
      <c r="F117" s="2">
        <v>0</v>
      </c>
      <c r="G117" s="2">
        <v>0</v>
      </c>
      <c r="H117" s="2">
        <v>0</v>
      </c>
      <c r="I117" s="18" t="s">
        <v>152</v>
      </c>
      <c r="J117" s="2">
        <v>1</v>
      </c>
      <c r="K117" s="2">
        <v>2008</v>
      </c>
      <c r="L117" s="4">
        <v>10862613621.905966</v>
      </c>
      <c r="M117" s="2">
        <v>3</v>
      </c>
      <c r="N117" s="4">
        <v>810000000</v>
      </c>
      <c r="O117" s="2">
        <v>0</v>
      </c>
      <c r="P117" s="4">
        <v>0</v>
      </c>
      <c r="Q117" s="2">
        <v>3</v>
      </c>
      <c r="R117" s="4">
        <v>810000000</v>
      </c>
      <c r="S117" s="5">
        <f t="shared" si="34"/>
        <v>7.4567689526075273E-2</v>
      </c>
      <c r="T117" s="15">
        <f t="shared" si="35"/>
        <v>0</v>
      </c>
      <c r="U117" s="5">
        <f t="shared" si="36"/>
        <v>7.4567689526075273E-2</v>
      </c>
      <c r="V117" s="26">
        <f t="shared" si="37"/>
        <v>6.032935358214847E-4</v>
      </c>
      <c r="W117" s="26">
        <f t="shared" si="38"/>
        <v>0</v>
      </c>
      <c r="X117" s="26">
        <f t="shared" si="39"/>
        <v>3.7800478806064878E-4</v>
      </c>
      <c r="Y117" s="26">
        <f t="shared" si="40"/>
        <v>47647058.823529415</v>
      </c>
      <c r="Z117" s="26">
        <f t="shared" si="41"/>
        <v>4.3863346780044273E-3</v>
      </c>
      <c r="AA117" s="2">
        <v>0</v>
      </c>
      <c r="AB117" s="18" t="s">
        <v>152</v>
      </c>
      <c r="AC117" s="4" t="s">
        <v>152</v>
      </c>
      <c r="AD117" s="2" t="s">
        <v>152</v>
      </c>
      <c r="AE117" s="4" t="s">
        <v>152</v>
      </c>
      <c r="AF117" s="2" t="s">
        <v>152</v>
      </c>
      <c r="AG117" s="4" t="s">
        <v>152</v>
      </c>
      <c r="AH117" s="28">
        <f t="shared" si="42"/>
        <v>0</v>
      </c>
      <c r="AI117" s="4" t="str">
        <f t="shared" si="68"/>
        <v>na</v>
      </c>
      <c r="AJ117" s="26" t="str">
        <f t="shared" si="54"/>
        <v>na</v>
      </c>
      <c r="AK117" s="26" t="str">
        <f t="shared" si="43"/>
        <v>na</v>
      </c>
      <c r="AL117" s="4">
        <v>541249000</v>
      </c>
      <c r="AM117" s="4">
        <v>35293000</v>
      </c>
      <c r="AN117" s="12">
        <f t="shared" si="44"/>
        <v>-505956000</v>
      </c>
      <c r="AO117" s="12">
        <f t="shared" si="45"/>
        <v>576542000</v>
      </c>
      <c r="AP117" s="8">
        <v>2941148000</v>
      </c>
      <c r="AQ117" s="8">
        <v>912983000</v>
      </c>
      <c r="AR117" s="13">
        <f t="shared" si="46"/>
        <v>-2028165000</v>
      </c>
      <c r="AS117" s="13">
        <f t="shared" si="47"/>
        <v>3854131000</v>
      </c>
      <c r="AT117" s="5">
        <f t="shared" si="64"/>
        <v>0.18402644137595253</v>
      </c>
      <c r="AU117" s="5">
        <f t="shared" si="65"/>
        <v>3.8656798647948541E-2</v>
      </c>
      <c r="AV117" s="5">
        <f t="shared" si="48"/>
        <v>1.1771325829317432E-3</v>
      </c>
      <c r="AW117" s="5">
        <f t="shared" si="49"/>
        <v>4.412783718668963E-4</v>
      </c>
      <c r="AX117" s="5">
        <f t="shared" si="66"/>
        <v>0.14959065999572926</v>
      </c>
      <c r="AY117" s="10">
        <f t="shared" si="67"/>
        <v>5.3075808462645042E-2</v>
      </c>
      <c r="AZ117" s="24">
        <v>155</v>
      </c>
      <c r="BA117" s="19">
        <v>1346157401.5601292</v>
      </c>
      <c r="BB117" s="17">
        <v>144</v>
      </c>
      <c r="BC117" s="19">
        <v>1208006927.5556164</v>
      </c>
      <c r="BD117" s="17">
        <v>6</v>
      </c>
      <c r="BE117" s="19">
        <v>161598.31997793919</v>
      </c>
      <c r="BF117" s="17">
        <v>5</v>
      </c>
      <c r="BG117" s="19">
        <v>137988875.68453479</v>
      </c>
      <c r="BH117" s="26">
        <f t="shared" si="50"/>
        <v>0.12392573725032585</v>
      </c>
      <c r="BI117" s="26">
        <f t="shared" si="51"/>
        <v>0.11120775990038925</v>
      </c>
      <c r="BJ117" s="26">
        <f t="shared" si="52"/>
        <v>1.4876559693889303E-5</v>
      </c>
      <c r="BK117" s="26">
        <f t="shared" si="53"/>
        <v>1.27031007902427E-2</v>
      </c>
      <c r="BL117" s="34">
        <f t="shared" si="57"/>
        <v>79185729.503537014</v>
      </c>
      <c r="BM117" s="35">
        <f t="shared" si="55"/>
        <v>7.2897492500191684E-3</v>
      </c>
    </row>
    <row r="118" spans="1:65" x14ac:dyDescent="0.35">
      <c r="A118" s="18">
        <v>117</v>
      </c>
      <c r="B118" t="s">
        <v>351</v>
      </c>
      <c r="C118" s="3" t="s">
        <v>69</v>
      </c>
      <c r="D118" s="17" t="s">
        <v>23</v>
      </c>
      <c r="E118" s="17" t="s">
        <v>5</v>
      </c>
      <c r="F118" s="2">
        <v>3</v>
      </c>
      <c r="G118" s="2">
        <v>1</v>
      </c>
      <c r="H118" s="2">
        <v>1</v>
      </c>
      <c r="I118" s="18">
        <v>2017</v>
      </c>
      <c r="J118" s="2">
        <v>0</v>
      </c>
      <c r="K118" s="2" t="s">
        <v>152</v>
      </c>
      <c r="L118" s="4">
        <v>364681367531.68378</v>
      </c>
      <c r="M118" s="2">
        <v>30</v>
      </c>
      <c r="N118" s="4">
        <v>13210000000</v>
      </c>
      <c r="O118" s="2">
        <v>61</v>
      </c>
      <c r="P118" s="4">
        <v>30610000000</v>
      </c>
      <c r="Q118" s="2">
        <v>91</v>
      </c>
      <c r="R118" s="4">
        <v>43820000000</v>
      </c>
      <c r="S118" s="5">
        <f t="shared" si="34"/>
        <v>3.6223402608723372E-2</v>
      </c>
      <c r="T118" s="5">
        <f t="shared" si="35"/>
        <v>8.3936287195535378E-2</v>
      </c>
      <c r="U118" s="5">
        <f t="shared" si="36"/>
        <v>0.12015968980425874</v>
      </c>
      <c r="V118" s="26">
        <f t="shared" si="37"/>
        <v>9.8388982817306323E-3</v>
      </c>
      <c r="W118" s="26">
        <f t="shared" si="38"/>
        <v>3.849636541992605E-2</v>
      </c>
      <c r="X118" s="26">
        <f t="shared" si="39"/>
        <v>2.0449592361503247E-2</v>
      </c>
      <c r="Y118" s="26">
        <f t="shared" si="40"/>
        <v>2577647058.8235292</v>
      </c>
      <c r="Z118" s="26">
        <f t="shared" si="41"/>
        <v>7.0682170473093378E-3</v>
      </c>
      <c r="AA118" s="2">
        <v>1</v>
      </c>
      <c r="AB118" s="18">
        <v>0</v>
      </c>
      <c r="AC118" s="4">
        <v>0</v>
      </c>
      <c r="AD118" s="18">
        <v>0</v>
      </c>
      <c r="AE118" s="4">
        <v>0</v>
      </c>
      <c r="AF118" s="2">
        <v>0</v>
      </c>
      <c r="AG118" s="4">
        <v>0</v>
      </c>
      <c r="AH118" s="28">
        <f t="shared" si="42"/>
        <v>0</v>
      </c>
      <c r="AI118" s="4">
        <f t="shared" si="68"/>
        <v>0</v>
      </c>
      <c r="AJ118" s="26">
        <f t="shared" si="54"/>
        <v>0</v>
      </c>
      <c r="AK118" s="26">
        <f t="shared" si="43"/>
        <v>0</v>
      </c>
      <c r="AL118" s="4">
        <v>42395009000</v>
      </c>
      <c r="AM118" s="4">
        <v>33706910000</v>
      </c>
      <c r="AN118" s="12">
        <f t="shared" si="44"/>
        <v>-8688099000</v>
      </c>
      <c r="AO118" s="12">
        <f t="shared" si="45"/>
        <v>76101919000</v>
      </c>
      <c r="AP118" s="8">
        <v>204988314000</v>
      </c>
      <c r="AQ118" s="8">
        <v>238161125000</v>
      </c>
      <c r="AR118" s="13">
        <f t="shared" si="46"/>
        <v>33172811000</v>
      </c>
      <c r="AS118" s="13">
        <f t="shared" si="47"/>
        <v>443149439000</v>
      </c>
      <c r="AT118" s="5">
        <f t="shared" si="64"/>
        <v>0.20681671151263775</v>
      </c>
      <c r="AU118" s="5">
        <f t="shared" si="65"/>
        <v>0.14152985715028008</v>
      </c>
      <c r="AV118" s="5">
        <f t="shared" si="48"/>
        <v>8.204225816913778E-2</v>
      </c>
      <c r="AW118" s="5">
        <f t="shared" si="49"/>
        <v>0.1151120595695521</v>
      </c>
      <c r="AX118" s="5">
        <f t="shared" si="66"/>
        <v>0.17172969725907744</v>
      </c>
      <c r="AY118" s="10">
        <f t="shared" si="67"/>
        <v>0.2086805792001101</v>
      </c>
      <c r="AZ118" s="24">
        <v>39</v>
      </c>
      <c r="BA118" s="19">
        <v>26661440552.418114</v>
      </c>
      <c r="BB118" s="17">
        <v>12</v>
      </c>
      <c r="BC118" s="19">
        <v>3803445.9413302299</v>
      </c>
      <c r="BD118" s="17">
        <v>22</v>
      </c>
      <c r="BE118" s="19">
        <v>26032408950.268303</v>
      </c>
      <c r="BF118" s="17">
        <v>5</v>
      </c>
      <c r="BG118" s="19">
        <v>625228156.20847774</v>
      </c>
      <c r="BH118" s="26">
        <f t="shared" si="50"/>
        <v>7.3108864137682458E-2</v>
      </c>
      <c r="BI118" s="26">
        <f t="shared" si="51"/>
        <v>1.0429504438555621E-5</v>
      </c>
      <c r="BJ118" s="26">
        <f t="shared" si="52"/>
        <v>7.1383984124186409E-2</v>
      </c>
      <c r="BK118" s="26">
        <f t="shared" si="53"/>
        <v>1.7144505090574925E-3</v>
      </c>
      <c r="BL118" s="34">
        <f t="shared" si="57"/>
        <v>1568320032.4951832</v>
      </c>
      <c r="BM118" s="35">
        <f t="shared" si="55"/>
        <v>4.3005214198636741E-3</v>
      </c>
    </row>
    <row r="119" spans="1:65" x14ac:dyDescent="0.35">
      <c r="A119" s="18">
        <v>118</v>
      </c>
      <c r="B119" t="s">
        <v>352</v>
      </c>
      <c r="C119" s="3" t="s">
        <v>70</v>
      </c>
      <c r="D119" s="17" t="s">
        <v>1</v>
      </c>
      <c r="E119" s="17" t="s">
        <v>5</v>
      </c>
      <c r="F119" s="2">
        <v>0</v>
      </c>
      <c r="G119" s="2">
        <v>0</v>
      </c>
      <c r="H119" s="2">
        <v>1</v>
      </c>
      <c r="I119" s="18">
        <v>2017</v>
      </c>
      <c r="J119" s="2">
        <v>0</v>
      </c>
      <c r="K119" s="2" t="s">
        <v>152</v>
      </c>
      <c r="L119" s="4">
        <v>5642179170.4589777</v>
      </c>
      <c r="M119" s="2">
        <v>0</v>
      </c>
      <c r="N119" s="4">
        <v>0</v>
      </c>
      <c r="O119" s="2">
        <v>6</v>
      </c>
      <c r="P119" s="4">
        <v>1230000000</v>
      </c>
      <c r="Q119" s="2">
        <v>6</v>
      </c>
      <c r="R119" s="4">
        <v>1230000000</v>
      </c>
      <c r="S119" s="5">
        <f t="shared" si="34"/>
        <v>0</v>
      </c>
      <c r="T119" s="5">
        <f t="shared" si="35"/>
        <v>0.218000875697101</v>
      </c>
      <c r="U119" s="5">
        <f t="shared" si="36"/>
        <v>0.218000875697101</v>
      </c>
      <c r="V119" s="26">
        <f t="shared" si="37"/>
        <v>0</v>
      </c>
      <c r="W119" s="26">
        <f t="shared" si="38"/>
        <v>1.5468974017154211E-3</v>
      </c>
      <c r="X119" s="26">
        <f t="shared" si="39"/>
        <v>5.7400727075876293E-4</v>
      </c>
      <c r="Y119" s="26">
        <f t="shared" si="40"/>
        <v>72352941.176470593</v>
      </c>
      <c r="Z119" s="26">
        <f t="shared" si="41"/>
        <v>1.2823580923358883E-2</v>
      </c>
      <c r="AA119" s="2">
        <v>1</v>
      </c>
      <c r="AB119" s="11">
        <v>3</v>
      </c>
      <c r="AC119" s="27">
        <v>67300000</v>
      </c>
      <c r="AD119" s="2">
        <v>0</v>
      </c>
      <c r="AE119" s="4">
        <v>0</v>
      </c>
      <c r="AF119" s="2">
        <v>0</v>
      </c>
      <c r="AG119" s="4">
        <v>0</v>
      </c>
      <c r="AH119" s="28">
        <f t="shared" si="42"/>
        <v>3</v>
      </c>
      <c r="AI119" s="4">
        <f t="shared" si="68"/>
        <v>67300000</v>
      </c>
      <c r="AJ119" s="26">
        <f t="shared" si="54"/>
        <v>1.1928015393833249E-2</v>
      </c>
      <c r="AK119" s="26">
        <f t="shared" si="43"/>
        <v>1.6883996906189452E-3</v>
      </c>
      <c r="AL119" s="4">
        <v>469397</v>
      </c>
      <c r="AM119" s="4">
        <v>4</v>
      </c>
      <c r="AN119" s="12">
        <f t="shared" si="44"/>
        <v>-469393</v>
      </c>
      <c r="AO119" s="12">
        <f t="shared" si="45"/>
        <v>469401</v>
      </c>
      <c r="AP119" s="8">
        <v>2887083000</v>
      </c>
      <c r="AQ119" s="8">
        <v>158016000</v>
      </c>
      <c r="AR119" s="13">
        <f t="shared" si="46"/>
        <v>-2729067000</v>
      </c>
      <c r="AS119" s="13">
        <f t="shared" si="47"/>
        <v>3045099000</v>
      </c>
      <c r="AT119" s="5">
        <f t="shared" si="64"/>
        <v>1.6258521144005904E-4</v>
      </c>
      <c r="AU119" s="5">
        <f t="shared" si="65"/>
        <v>2.5313892264074525E-8</v>
      </c>
      <c r="AV119" s="5">
        <f t="shared" si="48"/>
        <v>1.1554942046195318E-3</v>
      </c>
      <c r="AW119" s="5">
        <f t="shared" si="49"/>
        <v>7.6374963399011253E-5</v>
      </c>
      <c r="AX119" s="5">
        <f t="shared" si="66"/>
        <v>1.5414966804034943E-4</v>
      </c>
      <c r="AY119" s="10">
        <f t="shared" si="67"/>
        <v>8.3194982969995863E-5</v>
      </c>
      <c r="AZ119" s="24">
        <v>77</v>
      </c>
      <c r="BA119" s="19">
        <v>1817080883.9023614</v>
      </c>
      <c r="BB119" s="17">
        <v>63</v>
      </c>
      <c r="BC119" s="19">
        <v>384920213.52288961</v>
      </c>
      <c r="BD119" s="17">
        <v>10</v>
      </c>
      <c r="BE119" s="19">
        <v>1185724060.2961195</v>
      </c>
      <c r="BF119" s="17">
        <v>4</v>
      </c>
      <c r="BG119" s="19">
        <v>246436610.0833523</v>
      </c>
      <c r="BH119" s="26">
        <f t="shared" si="50"/>
        <v>0.32205302756355864</v>
      </c>
      <c r="BI119" s="26">
        <f t="shared" si="51"/>
        <v>6.8221905383337431E-2</v>
      </c>
      <c r="BJ119" s="26">
        <f t="shared" si="52"/>
        <v>0.21015356380461481</v>
      </c>
      <c r="BK119" s="26">
        <f t="shared" si="53"/>
        <v>4.3677558375606364E-2</v>
      </c>
      <c r="BL119" s="34">
        <f t="shared" si="57"/>
        <v>106887110.81778596</v>
      </c>
      <c r="BM119" s="35">
        <f t="shared" si="55"/>
        <v>1.8944295739032859E-2</v>
      </c>
    </row>
    <row r="120" spans="1:65" x14ac:dyDescent="0.35">
      <c r="A120" s="18">
        <v>119</v>
      </c>
      <c r="B120" t="s">
        <v>353</v>
      </c>
      <c r="C120" s="3" t="s">
        <v>71</v>
      </c>
      <c r="D120" s="17" t="s">
        <v>9</v>
      </c>
      <c r="E120" s="17" t="s">
        <v>2</v>
      </c>
      <c r="F120" s="2">
        <v>0</v>
      </c>
      <c r="G120" s="2">
        <v>0</v>
      </c>
      <c r="H120" s="2">
        <v>1</v>
      </c>
      <c r="I120" s="2">
        <v>2019</v>
      </c>
      <c r="J120" s="2">
        <v>0</v>
      </c>
      <c r="K120" s="2" t="s">
        <v>152</v>
      </c>
      <c r="L120" s="4">
        <v>17281815733.959595</v>
      </c>
      <c r="M120" s="2">
        <v>3</v>
      </c>
      <c r="N120" s="4">
        <v>690000000</v>
      </c>
      <c r="O120" s="2">
        <v>4</v>
      </c>
      <c r="P120" s="4">
        <v>1820000000</v>
      </c>
      <c r="Q120" s="2">
        <v>7</v>
      </c>
      <c r="R120" s="4">
        <v>2510000000</v>
      </c>
      <c r="S120" s="5">
        <f t="shared" si="34"/>
        <v>3.9926360205549294E-2</v>
      </c>
      <c r="T120" s="5">
        <f t="shared" si="35"/>
        <v>0.10531300807840538</v>
      </c>
      <c r="U120" s="5">
        <f t="shared" si="36"/>
        <v>0.14523936828395467</v>
      </c>
      <c r="V120" s="26">
        <f t="shared" si="37"/>
        <v>5.139167156997833E-4</v>
      </c>
      <c r="W120" s="26">
        <f t="shared" si="38"/>
        <v>2.2889050984732247E-3</v>
      </c>
      <c r="X120" s="26">
        <f t="shared" si="39"/>
        <v>1.1713481704101584E-3</v>
      </c>
      <c r="Y120" s="26">
        <f t="shared" si="40"/>
        <v>147647058.82352942</v>
      </c>
      <c r="Z120" s="26">
        <f t="shared" si="41"/>
        <v>8.5434922519973342E-3</v>
      </c>
      <c r="AA120" s="2">
        <v>0</v>
      </c>
      <c r="AB120" s="18" t="s">
        <v>152</v>
      </c>
      <c r="AC120" s="4" t="s">
        <v>152</v>
      </c>
      <c r="AD120" s="2" t="s">
        <v>152</v>
      </c>
      <c r="AE120" s="4" t="s">
        <v>152</v>
      </c>
      <c r="AF120" s="2" t="s">
        <v>152</v>
      </c>
      <c r="AG120" s="4" t="s">
        <v>152</v>
      </c>
      <c r="AH120" s="28">
        <f t="shared" si="42"/>
        <v>0</v>
      </c>
      <c r="AI120" s="4" t="str">
        <f t="shared" si="68"/>
        <v>na</v>
      </c>
      <c r="AJ120" s="26" t="str">
        <f t="shared" si="54"/>
        <v>na</v>
      </c>
      <c r="AK120" s="26" t="str">
        <f t="shared" si="43"/>
        <v>na</v>
      </c>
      <c r="AL120" s="4">
        <v>795952</v>
      </c>
      <c r="AM120" s="4">
        <v>32895</v>
      </c>
      <c r="AN120" s="12">
        <f t="shared" si="44"/>
        <v>-763057</v>
      </c>
      <c r="AO120" s="12">
        <f t="shared" si="45"/>
        <v>828847</v>
      </c>
      <c r="AP120" s="8">
        <v>5049220000</v>
      </c>
      <c r="AQ120" s="8">
        <v>3642251000</v>
      </c>
      <c r="AR120" s="13">
        <f t="shared" si="46"/>
        <v>-1406969000</v>
      </c>
      <c r="AS120" s="13">
        <f t="shared" si="47"/>
        <v>8691471000</v>
      </c>
      <c r="AT120" s="5">
        <f t="shared" si="64"/>
        <v>1.5763860556680041E-4</v>
      </c>
      <c r="AU120" s="5">
        <f t="shared" si="65"/>
        <v>9.0315027712258163E-6</v>
      </c>
      <c r="AV120" s="5">
        <f t="shared" si="48"/>
        <v>2.0208440311030311E-3</v>
      </c>
      <c r="AW120" s="5">
        <f t="shared" si="49"/>
        <v>1.7604343029504108E-3</v>
      </c>
      <c r="AX120" s="5">
        <f t="shared" si="66"/>
        <v>9.5363258992637722E-5</v>
      </c>
      <c r="AY120" s="10">
        <f t="shared" si="67"/>
        <v>4.7960643300418714E-5</v>
      </c>
      <c r="AZ120" s="24">
        <v>149</v>
      </c>
      <c r="BA120" s="19">
        <v>3652028013.9940505</v>
      </c>
      <c r="BB120" s="17">
        <v>130</v>
      </c>
      <c r="BC120" s="19">
        <v>2855610033.669302</v>
      </c>
      <c r="BD120" s="17">
        <v>6</v>
      </c>
      <c r="BE120" s="19">
        <v>646014104.18274343</v>
      </c>
      <c r="BF120" s="17">
        <v>13</v>
      </c>
      <c r="BG120" s="19">
        <v>150403876.14200509</v>
      </c>
      <c r="BH120" s="26">
        <f t="shared" si="50"/>
        <v>0.21132200864852649</v>
      </c>
      <c r="BI120" s="26">
        <f t="shared" si="51"/>
        <v>0.16523784755197288</v>
      </c>
      <c r="BJ120" s="26">
        <f t="shared" si="52"/>
        <v>3.7381147567341247E-2</v>
      </c>
      <c r="BK120" s="26">
        <f t="shared" si="53"/>
        <v>8.7030135292123431E-3</v>
      </c>
      <c r="BL120" s="34">
        <f t="shared" si="57"/>
        <v>214825177.29376769</v>
      </c>
      <c r="BM120" s="35">
        <f t="shared" si="55"/>
        <v>1.2430706391089794E-2</v>
      </c>
    </row>
    <row r="121" spans="1:65" x14ac:dyDescent="0.35">
      <c r="A121" s="18">
        <v>120</v>
      </c>
      <c r="B121" t="s">
        <v>354</v>
      </c>
      <c r="C121" s="3" t="s">
        <v>72</v>
      </c>
      <c r="D121" s="17" t="s">
        <v>7</v>
      </c>
      <c r="E121" s="17" t="s">
        <v>13</v>
      </c>
      <c r="F121" s="2">
        <v>0</v>
      </c>
      <c r="G121" s="2">
        <v>0</v>
      </c>
      <c r="H121" s="2">
        <v>1</v>
      </c>
      <c r="I121" s="18">
        <v>2018</v>
      </c>
      <c r="J121" s="2">
        <v>0</v>
      </c>
      <c r="K121" s="2" t="s">
        <v>152</v>
      </c>
      <c r="L121" s="4">
        <v>15215714309.097391</v>
      </c>
      <c r="M121" s="2">
        <v>0</v>
      </c>
      <c r="N121" s="4">
        <v>0</v>
      </c>
      <c r="O121" s="2">
        <v>1</v>
      </c>
      <c r="P121" s="4">
        <v>440000000</v>
      </c>
      <c r="Q121" s="2">
        <v>1</v>
      </c>
      <c r="R121" s="4">
        <v>440000000</v>
      </c>
      <c r="S121" s="5">
        <f t="shared" si="34"/>
        <v>0</v>
      </c>
      <c r="T121" s="5">
        <f t="shared" si="35"/>
        <v>2.8917472493350277E-2</v>
      </c>
      <c r="U121" s="5">
        <f t="shared" si="36"/>
        <v>2.8917472493350277E-2</v>
      </c>
      <c r="V121" s="26">
        <f t="shared" si="37"/>
        <v>0</v>
      </c>
      <c r="W121" s="26">
        <f t="shared" si="38"/>
        <v>5.53361672158362E-4</v>
      </c>
      <c r="X121" s="26">
        <f t="shared" si="39"/>
        <v>2.0533593425516725E-4</v>
      </c>
      <c r="Y121" s="26">
        <f t="shared" si="40"/>
        <v>25882352.94117647</v>
      </c>
      <c r="Z121" s="26">
        <f t="shared" si="41"/>
        <v>1.7010277937264868E-3</v>
      </c>
      <c r="AA121" s="2">
        <v>2</v>
      </c>
      <c r="AB121" s="18">
        <v>0</v>
      </c>
      <c r="AC121" s="4">
        <v>0</v>
      </c>
      <c r="AD121" s="2">
        <v>0</v>
      </c>
      <c r="AE121" s="4">
        <v>0</v>
      </c>
      <c r="AF121" s="2">
        <v>0</v>
      </c>
      <c r="AG121" s="4">
        <v>0</v>
      </c>
      <c r="AH121" s="28">
        <f t="shared" si="42"/>
        <v>0</v>
      </c>
      <c r="AI121" s="4">
        <f t="shared" si="68"/>
        <v>0</v>
      </c>
      <c r="AJ121" s="26">
        <f t="shared" si="54"/>
        <v>0</v>
      </c>
      <c r="AK121" s="26">
        <f t="shared" si="43"/>
        <v>0</v>
      </c>
      <c r="AL121" s="4">
        <v>286007000</v>
      </c>
      <c r="AM121" s="4">
        <v>40737000</v>
      </c>
      <c r="AN121" s="12">
        <f t="shared" si="44"/>
        <v>-245270000</v>
      </c>
      <c r="AO121" s="12">
        <f t="shared" si="45"/>
        <v>326744000</v>
      </c>
      <c r="AP121" s="8">
        <v>7066686000</v>
      </c>
      <c r="AQ121" s="8">
        <v>3007798000</v>
      </c>
      <c r="AR121" s="13">
        <f t="shared" si="46"/>
        <v>-4058888000</v>
      </c>
      <c r="AS121" s="13">
        <f t="shared" si="47"/>
        <v>10074484000</v>
      </c>
      <c r="AT121" s="5">
        <f t="shared" si="64"/>
        <v>4.0472577952381072E-2</v>
      </c>
      <c r="AU121" s="5">
        <f t="shared" si="65"/>
        <v>1.3543795161776156E-2</v>
      </c>
      <c r="AV121" s="5">
        <f t="shared" si="48"/>
        <v>2.8282923348119816E-3</v>
      </c>
      <c r="AW121" s="5">
        <f t="shared" si="49"/>
        <v>1.4537797575031597E-3</v>
      </c>
      <c r="AX121" s="5">
        <f t="shared" si="66"/>
        <v>3.2432827328923247E-2</v>
      </c>
      <c r="AY121" s="10">
        <f t="shared" si="67"/>
        <v>2.1474115073561915E-2</v>
      </c>
      <c r="AZ121" s="24" t="s">
        <v>152</v>
      </c>
      <c r="BA121" s="29" t="s">
        <v>152</v>
      </c>
      <c r="BB121" s="24" t="s">
        <v>152</v>
      </c>
      <c r="BC121" s="29" t="s">
        <v>152</v>
      </c>
      <c r="BD121" s="24" t="s">
        <v>152</v>
      </c>
      <c r="BE121" s="29" t="s">
        <v>152</v>
      </c>
      <c r="BF121" s="24" t="s">
        <v>152</v>
      </c>
      <c r="BG121" s="29" t="s">
        <v>152</v>
      </c>
      <c r="BH121" s="26">
        <f t="shared" si="50"/>
        <v>0</v>
      </c>
      <c r="BI121" s="26">
        <f t="shared" si="51"/>
        <v>0</v>
      </c>
      <c r="BJ121" s="26">
        <f t="shared" si="52"/>
        <v>0</v>
      </c>
      <c r="BK121" s="26">
        <f t="shared" si="53"/>
        <v>0</v>
      </c>
      <c r="BL121" s="34">
        <f t="shared" si="57"/>
        <v>0</v>
      </c>
      <c r="BM121" s="35">
        <f t="shared" si="55"/>
        <v>0</v>
      </c>
    </row>
    <row r="122" spans="1:65" x14ac:dyDescent="0.35">
      <c r="A122" s="18">
        <v>121</v>
      </c>
      <c r="B122" t="s">
        <v>456</v>
      </c>
      <c r="C122" s="3" t="s">
        <v>444</v>
      </c>
      <c r="D122" s="17" t="s">
        <v>23</v>
      </c>
      <c r="E122" s="17" t="s">
        <v>5</v>
      </c>
      <c r="F122" s="2">
        <v>0</v>
      </c>
      <c r="G122" s="2">
        <v>0</v>
      </c>
      <c r="H122" s="18">
        <v>0</v>
      </c>
      <c r="I122" s="18" t="s">
        <v>152</v>
      </c>
      <c r="J122" s="18">
        <v>2</v>
      </c>
      <c r="K122" s="18" t="s">
        <v>152</v>
      </c>
      <c r="L122" s="19">
        <v>239462200</v>
      </c>
      <c r="M122" s="2">
        <v>0</v>
      </c>
      <c r="N122" s="4">
        <v>0</v>
      </c>
      <c r="O122" s="18">
        <v>0</v>
      </c>
      <c r="P122" s="4">
        <v>0</v>
      </c>
      <c r="Q122" s="2">
        <v>0</v>
      </c>
      <c r="R122" s="4">
        <v>0</v>
      </c>
      <c r="S122" s="5">
        <f t="shared" si="34"/>
        <v>0</v>
      </c>
      <c r="T122" s="15">
        <f t="shared" si="35"/>
        <v>0</v>
      </c>
      <c r="U122" s="5">
        <f t="shared" si="36"/>
        <v>0</v>
      </c>
      <c r="V122" s="26">
        <f t="shared" si="37"/>
        <v>0</v>
      </c>
      <c r="W122" s="26">
        <f t="shared" si="38"/>
        <v>0</v>
      </c>
      <c r="X122" s="26">
        <f t="shared" si="39"/>
        <v>0</v>
      </c>
      <c r="Y122" s="26">
        <f t="shared" si="40"/>
        <v>0</v>
      </c>
      <c r="Z122" s="26">
        <f t="shared" si="41"/>
        <v>0</v>
      </c>
      <c r="AA122" s="2">
        <v>0</v>
      </c>
      <c r="AB122" s="18" t="s">
        <v>152</v>
      </c>
      <c r="AC122" s="4" t="s">
        <v>152</v>
      </c>
      <c r="AD122" s="18" t="s">
        <v>152</v>
      </c>
      <c r="AE122" s="4" t="s">
        <v>152</v>
      </c>
      <c r="AF122" s="2" t="s">
        <v>152</v>
      </c>
      <c r="AG122" s="4" t="s">
        <v>152</v>
      </c>
      <c r="AH122" s="28">
        <f t="shared" si="42"/>
        <v>0</v>
      </c>
      <c r="AI122" s="4" t="s">
        <v>152</v>
      </c>
      <c r="AJ122" s="26" t="str">
        <f t="shared" si="54"/>
        <v>na</v>
      </c>
      <c r="AK122" s="26" t="str">
        <f t="shared" si="43"/>
        <v>na</v>
      </c>
      <c r="AL122" s="21">
        <v>2384715000</v>
      </c>
      <c r="AM122" s="21">
        <v>45069000</v>
      </c>
      <c r="AN122" s="12">
        <f t="shared" si="44"/>
        <v>-2339646000</v>
      </c>
      <c r="AO122" s="12">
        <f t="shared" si="45"/>
        <v>2429784000</v>
      </c>
      <c r="AP122" s="19">
        <v>11958628000</v>
      </c>
      <c r="AQ122" s="19">
        <v>1255808000</v>
      </c>
      <c r="AR122" s="13">
        <f t="shared" si="46"/>
        <v>-10702820000</v>
      </c>
      <c r="AS122" s="13">
        <f t="shared" si="47"/>
        <v>13214436000</v>
      </c>
      <c r="AT122" s="5">
        <f t="shared" si="64"/>
        <v>0.19941376218074514</v>
      </c>
      <c r="AU122" s="5">
        <f t="shared" si="65"/>
        <v>3.5888447915604936E-2</v>
      </c>
      <c r="AV122" s="5">
        <f t="shared" si="48"/>
        <v>4.7861891567373928E-3</v>
      </c>
      <c r="AW122" s="5">
        <f t="shared" si="49"/>
        <v>6.0697834419416719E-4</v>
      </c>
      <c r="AX122" s="5">
        <f t="shared" si="66"/>
        <v>0.18387345475811454</v>
      </c>
      <c r="AY122" s="10">
        <f t="shared" si="67"/>
        <v>10.146837371409767</v>
      </c>
      <c r="AZ122" s="24">
        <v>41</v>
      </c>
      <c r="BA122" s="19">
        <v>3430241540.1422386</v>
      </c>
      <c r="BB122" s="17">
        <v>0</v>
      </c>
      <c r="BC122" s="19">
        <v>0</v>
      </c>
      <c r="BD122" s="17">
        <v>41</v>
      </c>
      <c r="BE122" s="19">
        <v>3430241540.1422386</v>
      </c>
      <c r="BF122" s="17">
        <v>0</v>
      </c>
      <c r="BG122" s="19">
        <v>0</v>
      </c>
      <c r="BH122" s="26">
        <f t="shared" si="50"/>
        <v>14.324772511662545</v>
      </c>
      <c r="BI122" s="26">
        <f t="shared" si="51"/>
        <v>0</v>
      </c>
      <c r="BJ122" s="26">
        <f t="shared" si="52"/>
        <v>14.324772511662545</v>
      </c>
      <c r="BK122" s="26">
        <f t="shared" si="53"/>
        <v>0</v>
      </c>
      <c r="BL122" s="34">
        <f t="shared" si="57"/>
        <v>201778914.12601402</v>
      </c>
      <c r="BM122" s="35">
        <f t="shared" si="55"/>
        <v>0.84263367715662019</v>
      </c>
    </row>
    <row r="123" spans="1:65" x14ac:dyDescent="0.35">
      <c r="A123" s="18">
        <v>122</v>
      </c>
      <c r="B123" t="s">
        <v>355</v>
      </c>
      <c r="C123" s="3" t="s">
        <v>73</v>
      </c>
      <c r="D123" s="17" t="s">
        <v>9</v>
      </c>
      <c r="E123" s="17" t="s">
        <v>10</v>
      </c>
      <c r="F123" s="2">
        <v>0</v>
      </c>
      <c r="G123" s="2">
        <v>0</v>
      </c>
      <c r="H123" s="2">
        <v>1</v>
      </c>
      <c r="I123" s="18">
        <v>2018</v>
      </c>
      <c r="J123" s="2">
        <v>0</v>
      </c>
      <c r="K123" s="2" t="s">
        <v>152</v>
      </c>
      <c r="L123" s="4">
        <v>7600650037.8463011</v>
      </c>
      <c r="M123" s="2">
        <v>6</v>
      </c>
      <c r="N123" s="4">
        <v>1010000000</v>
      </c>
      <c r="O123" s="2">
        <v>0</v>
      </c>
      <c r="P123" s="4">
        <v>0</v>
      </c>
      <c r="Q123" s="2">
        <v>6</v>
      </c>
      <c r="R123" s="4">
        <v>1010000000</v>
      </c>
      <c r="S123" s="5">
        <f t="shared" si="34"/>
        <v>0.13288337115521118</v>
      </c>
      <c r="T123" s="15">
        <f t="shared" si="35"/>
        <v>0</v>
      </c>
      <c r="U123" s="5">
        <f t="shared" si="36"/>
        <v>0.13288337115521118</v>
      </c>
      <c r="V123" s="26">
        <f t="shared" si="37"/>
        <v>7.5225490269098712E-4</v>
      </c>
      <c r="W123" s="26">
        <f t="shared" si="38"/>
        <v>0</v>
      </c>
      <c r="X123" s="26">
        <f t="shared" si="39"/>
        <v>4.7133930363117932E-4</v>
      </c>
      <c r="Y123" s="26">
        <f t="shared" si="40"/>
        <v>59411764.705882356</v>
      </c>
      <c r="Z123" s="26">
        <f t="shared" si="41"/>
        <v>7.8166688914830113E-3</v>
      </c>
      <c r="AA123" s="2">
        <v>0</v>
      </c>
      <c r="AB123" s="2" t="s">
        <v>152</v>
      </c>
      <c r="AC123" s="4" t="s">
        <v>152</v>
      </c>
      <c r="AD123" s="2" t="s">
        <v>152</v>
      </c>
      <c r="AE123" s="4" t="s">
        <v>152</v>
      </c>
      <c r="AF123" s="2" t="s">
        <v>152</v>
      </c>
      <c r="AG123" s="4" t="s">
        <v>152</v>
      </c>
      <c r="AH123" s="28">
        <f t="shared" si="42"/>
        <v>0</v>
      </c>
      <c r="AI123" s="4" t="str">
        <f t="shared" ref="AI123:AI133" si="69">IFERROR(AC123+AE123,"na")</f>
        <v>na</v>
      </c>
      <c r="AJ123" s="26" t="str">
        <f t="shared" si="54"/>
        <v>na</v>
      </c>
      <c r="AK123" s="26" t="str">
        <f t="shared" si="43"/>
        <v>na</v>
      </c>
      <c r="AL123" s="4">
        <v>377888000</v>
      </c>
      <c r="AM123" s="4">
        <v>875593000</v>
      </c>
      <c r="AN123" s="12">
        <f t="shared" si="44"/>
        <v>497705000</v>
      </c>
      <c r="AO123" s="12">
        <f t="shared" si="45"/>
        <v>1253481000</v>
      </c>
      <c r="AP123" s="8">
        <v>3519825000</v>
      </c>
      <c r="AQ123" s="8">
        <v>2890635000</v>
      </c>
      <c r="AR123" s="13">
        <f t="shared" si="46"/>
        <v>-629190000</v>
      </c>
      <c r="AS123" s="13">
        <f t="shared" si="47"/>
        <v>6410460000</v>
      </c>
      <c r="AT123" s="5">
        <f t="shared" si="64"/>
        <v>0.10735988294872614</v>
      </c>
      <c r="AU123" s="5">
        <f t="shared" si="65"/>
        <v>0.30290680075485144</v>
      </c>
      <c r="AV123" s="5">
        <f t="shared" si="48"/>
        <v>1.408735872427271E-3</v>
      </c>
      <c r="AW123" s="5">
        <f t="shared" si="49"/>
        <v>1.3971505564303671E-3</v>
      </c>
      <c r="AX123" s="5">
        <f t="shared" si="66"/>
        <v>0.19553682575041417</v>
      </c>
      <c r="AY123" s="10">
        <f t="shared" si="67"/>
        <v>0.1649176049099062</v>
      </c>
      <c r="AZ123" s="24">
        <v>99</v>
      </c>
      <c r="BA123" s="19">
        <v>2573750430.3313603</v>
      </c>
      <c r="BB123" s="17">
        <v>88</v>
      </c>
      <c r="BC123" s="19">
        <v>1273043490.1578119</v>
      </c>
      <c r="BD123" s="17">
        <v>7</v>
      </c>
      <c r="BE123" s="19">
        <v>389471132.71857762</v>
      </c>
      <c r="BF123" s="17">
        <v>4</v>
      </c>
      <c r="BG123" s="19">
        <v>911235807.45497096</v>
      </c>
      <c r="BH123" s="26">
        <f t="shared" si="50"/>
        <v>0.33862240959862044</v>
      </c>
      <c r="BI123" s="26">
        <f t="shared" si="51"/>
        <v>0.16749139663303561</v>
      </c>
      <c r="BJ123" s="26">
        <f t="shared" si="52"/>
        <v>5.1241818894339868E-2</v>
      </c>
      <c r="BK123" s="26">
        <f t="shared" si="53"/>
        <v>0.11988919407124501</v>
      </c>
      <c r="BL123" s="34">
        <f t="shared" si="57"/>
        <v>151397084.13713884</v>
      </c>
      <c r="BM123" s="35">
        <f t="shared" si="55"/>
        <v>1.9918965270507086E-2</v>
      </c>
    </row>
    <row r="124" spans="1:65" x14ac:dyDescent="0.35">
      <c r="A124" s="18">
        <v>123</v>
      </c>
      <c r="B124" t="s">
        <v>356</v>
      </c>
      <c r="C124" s="3" t="s">
        <v>202</v>
      </c>
      <c r="D124" s="17" t="s">
        <v>9</v>
      </c>
      <c r="E124" s="17" t="s">
        <v>5</v>
      </c>
      <c r="F124" s="2">
        <v>0</v>
      </c>
      <c r="G124" s="2">
        <v>1</v>
      </c>
      <c r="H124" s="2">
        <v>0</v>
      </c>
      <c r="I124" s="3" t="s">
        <v>152</v>
      </c>
      <c r="J124" s="2">
        <v>0</v>
      </c>
      <c r="K124" s="2" t="s">
        <v>152</v>
      </c>
      <c r="L124" s="4">
        <v>14046337854.8466</v>
      </c>
      <c r="M124" s="2">
        <v>4</v>
      </c>
      <c r="N124" s="4">
        <v>1470000000</v>
      </c>
      <c r="O124" s="2">
        <v>0</v>
      </c>
      <c r="P124" s="4">
        <v>0</v>
      </c>
      <c r="Q124" s="2">
        <v>4</v>
      </c>
      <c r="R124" s="4">
        <v>1470000000</v>
      </c>
      <c r="S124" s="5">
        <f t="shared" si="34"/>
        <v>0.10465361257794221</v>
      </c>
      <c r="T124" s="15">
        <f t="shared" si="35"/>
        <v>0</v>
      </c>
      <c r="U124" s="5">
        <f t="shared" si="36"/>
        <v>0.10465361257794221</v>
      </c>
      <c r="V124" s="26">
        <f t="shared" si="37"/>
        <v>1.0948660464908425E-3</v>
      </c>
      <c r="W124" s="26">
        <f t="shared" si="38"/>
        <v>0</v>
      </c>
      <c r="X124" s="26">
        <f t="shared" si="39"/>
        <v>6.8600868944339961E-4</v>
      </c>
      <c r="Y124" s="26">
        <f t="shared" si="40"/>
        <v>86470588.235294119</v>
      </c>
      <c r="Z124" s="26">
        <f t="shared" si="41"/>
        <v>6.1560948575260128E-3</v>
      </c>
      <c r="AA124" s="2">
        <v>0</v>
      </c>
      <c r="AB124" s="18" t="s">
        <v>152</v>
      </c>
      <c r="AC124" s="4" t="s">
        <v>152</v>
      </c>
      <c r="AD124" s="18" t="s">
        <v>152</v>
      </c>
      <c r="AE124" s="4" t="s">
        <v>152</v>
      </c>
      <c r="AF124" s="2" t="s">
        <v>152</v>
      </c>
      <c r="AG124" s="4" t="s">
        <v>152</v>
      </c>
      <c r="AH124" s="28">
        <f t="shared" si="42"/>
        <v>0</v>
      </c>
      <c r="AI124" s="4" t="str">
        <f t="shared" si="69"/>
        <v>na</v>
      </c>
      <c r="AJ124" s="26" t="str">
        <f t="shared" si="54"/>
        <v>na</v>
      </c>
      <c r="AK124" s="26" t="str">
        <f t="shared" si="43"/>
        <v>na</v>
      </c>
      <c r="AL124" s="4">
        <v>934919000</v>
      </c>
      <c r="AM124" s="4">
        <v>31982000</v>
      </c>
      <c r="AN124" s="12">
        <f t="shared" si="44"/>
        <v>-902937000</v>
      </c>
      <c r="AO124" s="12">
        <f t="shared" si="45"/>
        <v>966901000</v>
      </c>
      <c r="AP124" s="8">
        <v>5600488000</v>
      </c>
      <c r="AQ124" s="8">
        <v>1873604000</v>
      </c>
      <c r="AR124" s="13">
        <f t="shared" si="46"/>
        <v>-3726884000</v>
      </c>
      <c r="AS124" s="13">
        <f t="shared" si="47"/>
        <v>7474092000</v>
      </c>
      <c r="AT124" s="5">
        <f t="shared" si="64"/>
        <v>0.1669352742118187</v>
      </c>
      <c r="AU124" s="5">
        <f t="shared" si="65"/>
        <v>1.7069775683655673E-2</v>
      </c>
      <c r="AV124" s="5">
        <f t="shared" si="48"/>
        <v>2.2414774452418694E-3</v>
      </c>
      <c r="AW124" s="5">
        <f t="shared" si="49"/>
        <v>9.0558194691829348E-4</v>
      </c>
      <c r="AX124" s="5">
        <f t="shared" si="66"/>
        <v>0.12936701876294807</v>
      </c>
      <c r="AY124" s="10">
        <f t="shared" si="67"/>
        <v>6.8836518813078174E-2</v>
      </c>
      <c r="AZ124" s="24">
        <v>95</v>
      </c>
      <c r="BA124" s="19">
        <v>2169146515.9355683</v>
      </c>
      <c r="BB124" s="17">
        <v>85</v>
      </c>
      <c r="BC124" s="19">
        <v>636904511.15150201</v>
      </c>
      <c r="BD124" s="17">
        <v>5</v>
      </c>
      <c r="BE124" s="19">
        <v>474251128.33628535</v>
      </c>
      <c r="BF124" s="17">
        <v>5</v>
      </c>
      <c r="BG124" s="19">
        <v>1057990876.4477811</v>
      </c>
      <c r="BH124" s="26">
        <f t="shared" si="50"/>
        <v>0.15442790415205043</v>
      </c>
      <c r="BI124" s="26">
        <f t="shared" si="51"/>
        <v>4.5343100652512222E-2</v>
      </c>
      <c r="BJ124" s="26">
        <f t="shared" si="52"/>
        <v>3.3763329149358888E-2</v>
      </c>
      <c r="BK124" s="26">
        <f t="shared" si="53"/>
        <v>7.5321474350179329E-2</v>
      </c>
      <c r="BL124" s="34">
        <f t="shared" si="57"/>
        <v>127596853.87856284</v>
      </c>
      <c r="BM124" s="35">
        <f t="shared" si="55"/>
        <v>9.0839943618853183E-3</v>
      </c>
    </row>
    <row r="125" spans="1:65" x14ac:dyDescent="0.35">
      <c r="A125" s="18">
        <v>124</v>
      </c>
      <c r="B125" t="s">
        <v>357</v>
      </c>
      <c r="C125" s="3" t="s">
        <v>156</v>
      </c>
      <c r="D125" s="17" t="s">
        <v>12</v>
      </c>
      <c r="E125" s="17" t="s">
        <v>5</v>
      </c>
      <c r="F125" s="2">
        <v>3</v>
      </c>
      <c r="G125" s="2">
        <v>0</v>
      </c>
      <c r="H125" s="2">
        <v>0</v>
      </c>
      <c r="I125" s="3" t="s">
        <v>152</v>
      </c>
      <c r="J125" s="2">
        <v>0</v>
      </c>
      <c r="K125" s="2" t="s">
        <v>152</v>
      </c>
      <c r="L125" s="4">
        <v>1268870527160.0325</v>
      </c>
      <c r="M125" s="2">
        <v>15</v>
      </c>
      <c r="N125" s="4">
        <v>3600000000</v>
      </c>
      <c r="O125" s="2">
        <v>0</v>
      </c>
      <c r="P125" s="4">
        <v>0</v>
      </c>
      <c r="Q125" s="2">
        <v>15</v>
      </c>
      <c r="R125" s="4">
        <v>3600000000</v>
      </c>
      <c r="S125" s="5">
        <f t="shared" si="34"/>
        <v>2.837168901745608E-3</v>
      </c>
      <c r="T125" s="15">
        <f t="shared" si="35"/>
        <v>0</v>
      </c>
      <c r="U125" s="5">
        <f t="shared" si="36"/>
        <v>2.837168901745608E-3</v>
      </c>
      <c r="V125" s="26">
        <f t="shared" si="37"/>
        <v>2.681304603651043E-3</v>
      </c>
      <c r="W125" s="26">
        <f t="shared" si="38"/>
        <v>0</v>
      </c>
      <c r="X125" s="26">
        <f t="shared" si="39"/>
        <v>1.68002128026955E-3</v>
      </c>
      <c r="Y125" s="26">
        <f t="shared" si="40"/>
        <v>211764705.88235295</v>
      </c>
      <c r="Z125" s="26">
        <f t="shared" si="41"/>
        <v>1.6689228833797695E-4</v>
      </c>
      <c r="AA125" s="2">
        <v>0</v>
      </c>
      <c r="AB125" s="2" t="s">
        <v>152</v>
      </c>
      <c r="AC125" s="4" t="s">
        <v>152</v>
      </c>
      <c r="AD125" s="2" t="s">
        <v>152</v>
      </c>
      <c r="AE125" s="4" t="s">
        <v>152</v>
      </c>
      <c r="AF125" s="2" t="s">
        <v>152</v>
      </c>
      <c r="AG125" s="4" t="s">
        <v>152</v>
      </c>
      <c r="AH125" s="28">
        <f t="shared" si="42"/>
        <v>0</v>
      </c>
      <c r="AI125" s="4" t="str">
        <f t="shared" si="69"/>
        <v>na</v>
      </c>
      <c r="AJ125" s="26" t="str">
        <f t="shared" si="54"/>
        <v>na</v>
      </c>
      <c r="AK125" s="26" t="str">
        <f t="shared" si="43"/>
        <v>na</v>
      </c>
      <c r="AL125" s="4">
        <v>83052434000</v>
      </c>
      <c r="AM125" s="4">
        <v>6930326000</v>
      </c>
      <c r="AN125" s="12">
        <f t="shared" si="44"/>
        <v>-76122108000</v>
      </c>
      <c r="AO125" s="12">
        <f t="shared" si="45"/>
        <v>89982760000</v>
      </c>
      <c r="AP125" s="8">
        <v>455289486000</v>
      </c>
      <c r="AQ125" s="8">
        <v>460703804000</v>
      </c>
      <c r="AR125" s="13">
        <f t="shared" si="46"/>
        <v>5414318000</v>
      </c>
      <c r="AS125" s="13">
        <f t="shared" si="47"/>
        <v>915993290000</v>
      </c>
      <c r="AT125" s="5">
        <f t="shared" si="64"/>
        <v>0.18241676242003094</v>
      </c>
      <c r="AU125" s="5">
        <f t="shared" si="65"/>
        <v>1.5042910303384428E-2</v>
      </c>
      <c r="AV125" s="5">
        <f t="shared" si="48"/>
        <v>0.18222003402645695</v>
      </c>
      <c r="AW125" s="5">
        <f t="shared" si="49"/>
        <v>0.22267514788556383</v>
      </c>
      <c r="AX125" s="5">
        <f t="shared" si="66"/>
        <v>9.8235173753292451E-2</v>
      </c>
      <c r="AY125" s="10">
        <f t="shared" si="67"/>
        <v>7.0915635657010728E-2</v>
      </c>
      <c r="AZ125" s="24">
        <v>59</v>
      </c>
      <c r="BA125" s="19">
        <v>6218525621.0088673</v>
      </c>
      <c r="BB125" s="17">
        <v>17</v>
      </c>
      <c r="BC125" s="19">
        <v>3157034942.0911288</v>
      </c>
      <c r="BD125" s="17">
        <v>36</v>
      </c>
      <c r="BE125" s="19">
        <v>2963256979.8272028</v>
      </c>
      <c r="BF125" s="17">
        <v>6</v>
      </c>
      <c r="BG125" s="19">
        <v>98233699.090534985</v>
      </c>
      <c r="BH125" s="26">
        <f t="shared" si="50"/>
        <v>4.9008354185096255E-3</v>
      </c>
      <c r="BI125" s="26">
        <f t="shared" si="51"/>
        <v>2.4880670442847769E-3</v>
      </c>
      <c r="BJ125" s="26">
        <f t="shared" si="52"/>
        <v>2.3353501530684311E-3</v>
      </c>
      <c r="BK125" s="26">
        <f t="shared" si="53"/>
        <v>7.7418221156417137E-5</v>
      </c>
      <c r="BL125" s="34">
        <f t="shared" si="57"/>
        <v>365795624.7652275</v>
      </c>
      <c r="BM125" s="35">
        <f t="shared" si="55"/>
        <v>2.882844363829192E-4</v>
      </c>
    </row>
    <row r="126" spans="1:65" x14ac:dyDescent="0.35">
      <c r="A126" s="18">
        <v>125</v>
      </c>
      <c r="B126" t="s">
        <v>358</v>
      </c>
      <c r="C126" s="3" t="s">
        <v>147</v>
      </c>
      <c r="D126" s="17" t="s">
        <v>23</v>
      </c>
      <c r="E126" s="17" t="s">
        <v>10</v>
      </c>
      <c r="F126" s="2">
        <v>0</v>
      </c>
      <c r="G126" s="2">
        <v>0</v>
      </c>
      <c r="H126" s="2">
        <v>1</v>
      </c>
      <c r="I126" s="18">
        <v>2018</v>
      </c>
      <c r="J126" s="2">
        <v>0</v>
      </c>
      <c r="K126" s="2" t="s">
        <v>152</v>
      </c>
      <c r="L126" s="4">
        <v>408060600</v>
      </c>
      <c r="M126" s="2">
        <v>0</v>
      </c>
      <c r="N126" s="4">
        <v>0</v>
      </c>
      <c r="O126" s="2">
        <v>0</v>
      </c>
      <c r="P126" s="4">
        <v>0</v>
      </c>
      <c r="Q126" s="2">
        <v>0</v>
      </c>
      <c r="R126" s="4">
        <v>0</v>
      </c>
      <c r="S126" s="5">
        <f t="shared" si="34"/>
        <v>0</v>
      </c>
      <c r="T126" s="15">
        <f t="shared" si="35"/>
        <v>0</v>
      </c>
      <c r="U126" s="5">
        <f t="shared" si="36"/>
        <v>0</v>
      </c>
      <c r="V126" s="26">
        <f t="shared" si="37"/>
        <v>0</v>
      </c>
      <c r="W126" s="26">
        <f t="shared" si="38"/>
        <v>0</v>
      </c>
      <c r="X126" s="26">
        <f t="shared" si="39"/>
        <v>0</v>
      </c>
      <c r="Y126" s="26">
        <f t="shared" si="40"/>
        <v>0</v>
      </c>
      <c r="Z126" s="26">
        <f t="shared" si="41"/>
        <v>0</v>
      </c>
      <c r="AA126" s="2">
        <v>0</v>
      </c>
      <c r="AB126" s="18" t="s">
        <v>152</v>
      </c>
      <c r="AC126" s="4" t="s">
        <v>152</v>
      </c>
      <c r="AD126" s="2" t="s">
        <v>152</v>
      </c>
      <c r="AE126" s="4" t="s">
        <v>152</v>
      </c>
      <c r="AF126" s="2" t="s">
        <v>152</v>
      </c>
      <c r="AG126" s="4" t="s">
        <v>152</v>
      </c>
      <c r="AH126" s="28">
        <f t="shared" si="42"/>
        <v>0</v>
      </c>
      <c r="AI126" s="4" t="str">
        <f t="shared" si="69"/>
        <v>na</v>
      </c>
      <c r="AJ126" s="26" t="str">
        <f t="shared" si="54"/>
        <v>na</v>
      </c>
      <c r="AK126" s="26" t="str">
        <f t="shared" si="43"/>
        <v>na</v>
      </c>
      <c r="AL126" s="14">
        <v>18739000</v>
      </c>
      <c r="AM126" s="14">
        <v>12575000</v>
      </c>
      <c r="AN126" s="12">
        <f t="shared" si="44"/>
        <v>-6164000</v>
      </c>
      <c r="AO126" s="12">
        <f t="shared" si="45"/>
        <v>31314000</v>
      </c>
      <c r="AP126" s="8">
        <v>129962000</v>
      </c>
      <c r="AQ126" s="8">
        <v>143091000</v>
      </c>
      <c r="AR126" s="13">
        <f t="shared" si="46"/>
        <v>13129000</v>
      </c>
      <c r="AS126" s="13">
        <f t="shared" si="47"/>
        <v>273053000</v>
      </c>
      <c r="AT126" s="5">
        <f t="shared" si="64"/>
        <v>0.14418830119573414</v>
      </c>
      <c r="AU126" s="5">
        <f t="shared" si="65"/>
        <v>8.7881138576150847E-2</v>
      </c>
      <c r="AV126" s="5">
        <f t="shared" si="48"/>
        <v>5.2014555113505077E-5</v>
      </c>
      <c r="AW126" s="5">
        <f t="shared" si="49"/>
        <v>6.9161160184588383E-5</v>
      </c>
      <c r="AX126" s="5">
        <f t="shared" si="66"/>
        <v>0.1146810326200408</v>
      </c>
      <c r="AY126" s="10">
        <f t="shared" si="67"/>
        <v>7.6738602060576297E-2</v>
      </c>
      <c r="AZ126" s="24">
        <v>142</v>
      </c>
      <c r="BA126" s="19">
        <v>221465776.44672751</v>
      </c>
      <c r="BB126" s="17">
        <v>129</v>
      </c>
      <c r="BC126" s="19">
        <v>191438044.71543893</v>
      </c>
      <c r="BD126" s="17">
        <v>12</v>
      </c>
      <c r="BE126" s="19">
        <v>3437802.311718151</v>
      </c>
      <c r="BF126" s="17">
        <v>1</v>
      </c>
      <c r="BG126" s="19">
        <v>26589929.419570401</v>
      </c>
      <c r="BH126" s="26">
        <f t="shared" si="50"/>
        <v>0.54272766458395516</v>
      </c>
      <c r="BI126" s="26">
        <f t="shared" si="51"/>
        <v>0.46914121264204123</v>
      </c>
      <c r="BJ126" s="26">
        <f t="shared" si="52"/>
        <v>8.4247347372379267E-3</v>
      </c>
      <c r="BK126" s="26">
        <f t="shared" si="53"/>
        <v>6.5161717204675978E-2</v>
      </c>
      <c r="BL126" s="34">
        <f t="shared" si="57"/>
        <v>13027398.614513382</v>
      </c>
      <c r="BM126" s="35">
        <f t="shared" si="55"/>
        <v>3.1925156740232656E-2</v>
      </c>
    </row>
    <row r="127" spans="1:65" x14ac:dyDescent="0.35">
      <c r="A127" s="18">
        <v>126</v>
      </c>
      <c r="B127" t="s">
        <v>359</v>
      </c>
      <c r="C127" s="3" t="s">
        <v>74</v>
      </c>
      <c r="D127" s="17" t="s">
        <v>4</v>
      </c>
      <c r="E127" s="17" t="s">
        <v>5</v>
      </c>
      <c r="F127" s="2">
        <v>0</v>
      </c>
      <c r="G127" s="2">
        <v>0</v>
      </c>
      <c r="H127" s="2">
        <v>1</v>
      </c>
      <c r="I127" s="18">
        <v>2013</v>
      </c>
      <c r="J127" s="2">
        <v>0</v>
      </c>
      <c r="K127" s="2" t="s">
        <v>152</v>
      </c>
      <c r="L127" s="4">
        <v>11968699005.980051</v>
      </c>
      <c r="M127" s="2">
        <v>0</v>
      </c>
      <c r="N127" s="4">
        <v>0</v>
      </c>
      <c r="O127" s="2">
        <v>2</v>
      </c>
      <c r="P127" s="4">
        <v>560000000</v>
      </c>
      <c r="Q127" s="2">
        <v>2</v>
      </c>
      <c r="R127" s="4">
        <v>560000000</v>
      </c>
      <c r="S127" s="5">
        <f t="shared" si="34"/>
        <v>0</v>
      </c>
      <c r="T127" s="5">
        <f t="shared" si="35"/>
        <v>4.6788711097187852E-2</v>
      </c>
      <c r="U127" s="5">
        <f t="shared" si="36"/>
        <v>4.6788711097187852E-2</v>
      </c>
      <c r="V127" s="26">
        <f t="shared" si="37"/>
        <v>0</v>
      </c>
      <c r="W127" s="26">
        <f t="shared" si="38"/>
        <v>7.0427849183791536E-4</v>
      </c>
      <c r="X127" s="26">
        <f t="shared" si="39"/>
        <v>2.6133664359748556E-4</v>
      </c>
      <c r="Y127" s="26">
        <f t="shared" si="40"/>
        <v>32941176.470588237</v>
      </c>
      <c r="Z127" s="26">
        <f t="shared" si="41"/>
        <v>2.7522771233639914E-3</v>
      </c>
      <c r="AA127" s="2">
        <v>0</v>
      </c>
      <c r="AB127" s="2" t="s">
        <v>152</v>
      </c>
      <c r="AC127" s="4" t="s">
        <v>152</v>
      </c>
      <c r="AD127" s="2" t="s">
        <v>152</v>
      </c>
      <c r="AE127" s="4" t="s">
        <v>152</v>
      </c>
      <c r="AF127" s="2" t="s">
        <v>152</v>
      </c>
      <c r="AG127" s="4" t="s">
        <v>152</v>
      </c>
      <c r="AH127" s="28">
        <f t="shared" si="42"/>
        <v>0</v>
      </c>
      <c r="AI127" s="4" t="str">
        <f t="shared" si="69"/>
        <v>na</v>
      </c>
      <c r="AJ127" s="26" t="str">
        <f t="shared" si="54"/>
        <v>na</v>
      </c>
      <c r="AK127" s="26" t="str">
        <f t="shared" si="43"/>
        <v>na</v>
      </c>
      <c r="AL127" s="4">
        <v>602293000</v>
      </c>
      <c r="AM127" s="4">
        <v>17422000</v>
      </c>
      <c r="AN127" s="12">
        <f t="shared" si="44"/>
        <v>-584871000</v>
      </c>
      <c r="AO127" s="12">
        <f t="shared" si="45"/>
        <v>619715000</v>
      </c>
      <c r="AP127" s="8">
        <v>5842487000</v>
      </c>
      <c r="AQ127" s="8">
        <v>2779165000</v>
      </c>
      <c r="AR127" s="13">
        <f t="shared" si="46"/>
        <v>-3063322000</v>
      </c>
      <c r="AS127" s="13">
        <f t="shared" si="47"/>
        <v>8621652000</v>
      </c>
      <c r="AT127" s="5">
        <f t="shared" si="64"/>
        <v>0.10308846215661241</v>
      </c>
      <c r="AU127" s="5">
        <f t="shared" si="65"/>
        <v>6.2687893665903244E-3</v>
      </c>
      <c r="AV127" s="5">
        <f t="shared" si="48"/>
        <v>2.3383324514968757E-3</v>
      </c>
      <c r="AW127" s="5">
        <f t="shared" si="49"/>
        <v>1.3432729923223796E-3</v>
      </c>
      <c r="AX127" s="5">
        <f t="shared" si="66"/>
        <v>7.1878916012847655E-2</v>
      </c>
      <c r="AY127" s="10">
        <f t="shared" si="67"/>
        <v>5.1777975174274585E-2</v>
      </c>
      <c r="AZ127" s="24">
        <v>43</v>
      </c>
      <c r="BA127" s="19">
        <v>1495043161.0185857</v>
      </c>
      <c r="BB127" s="17">
        <v>37</v>
      </c>
      <c r="BC127" s="19">
        <v>177013256.82251224</v>
      </c>
      <c r="BD127" s="17">
        <v>4</v>
      </c>
      <c r="BE127" s="19">
        <v>1303715014.15573</v>
      </c>
      <c r="BF127" s="17">
        <v>2</v>
      </c>
      <c r="BG127" s="19">
        <v>14314890.04034332</v>
      </c>
      <c r="BH127" s="26">
        <f t="shared" si="50"/>
        <v>0.12491275453343768</v>
      </c>
      <c r="BI127" s="26">
        <f t="shared" si="51"/>
        <v>1.4789682381858646E-2</v>
      </c>
      <c r="BJ127" s="26">
        <f t="shared" si="52"/>
        <v>0.1089270449114261</v>
      </c>
      <c r="BK127" s="26">
        <f t="shared" si="53"/>
        <v>1.1960272401529202E-3</v>
      </c>
      <c r="BL127" s="34">
        <f t="shared" si="57"/>
        <v>87943715.354034454</v>
      </c>
      <c r="BM127" s="35">
        <f t="shared" si="55"/>
        <v>7.3478090902022166E-3</v>
      </c>
    </row>
    <row r="128" spans="1:65" x14ac:dyDescent="0.35">
      <c r="A128" s="18">
        <v>127</v>
      </c>
      <c r="B128" t="s">
        <v>360</v>
      </c>
      <c r="C128" s="3" t="s">
        <v>75</v>
      </c>
      <c r="D128" s="17" t="s">
        <v>23</v>
      </c>
      <c r="E128" s="17" t="s">
        <v>10</v>
      </c>
      <c r="F128" s="2">
        <v>2</v>
      </c>
      <c r="G128" s="2">
        <v>0</v>
      </c>
      <c r="H128" s="2">
        <v>1</v>
      </c>
      <c r="I128" s="18">
        <v>2013</v>
      </c>
      <c r="J128" s="2">
        <v>0</v>
      </c>
      <c r="K128" s="2" t="s">
        <v>152</v>
      </c>
      <c r="L128" s="4">
        <v>13996719329.423601</v>
      </c>
      <c r="M128" s="2">
        <v>6</v>
      </c>
      <c r="N128" s="4">
        <v>2230000000</v>
      </c>
      <c r="O128" s="2">
        <v>14</v>
      </c>
      <c r="P128" s="4">
        <v>5630000000</v>
      </c>
      <c r="Q128" s="2">
        <v>20</v>
      </c>
      <c r="R128" s="4">
        <v>7860000000</v>
      </c>
      <c r="S128" s="5">
        <f t="shared" si="34"/>
        <v>0.15932304903136424</v>
      </c>
      <c r="T128" s="5">
        <f t="shared" si="35"/>
        <v>0.40223711481909447</v>
      </c>
      <c r="U128" s="5">
        <f t="shared" si="36"/>
        <v>0.5615601638504587</v>
      </c>
      <c r="V128" s="26">
        <f t="shared" si="37"/>
        <v>1.6609192405949518E-3</v>
      </c>
      <c r="W128" s="26">
        <f t="shared" si="38"/>
        <v>7.0805141232990415E-3</v>
      </c>
      <c r="X128" s="26">
        <f t="shared" si="39"/>
        <v>3.6680464619218509E-3</v>
      </c>
      <c r="Y128" s="26">
        <f t="shared" si="40"/>
        <v>462352941.17647058</v>
      </c>
      <c r="Z128" s="26">
        <f t="shared" si="41"/>
        <v>3.3032950814732863E-2</v>
      </c>
      <c r="AA128" s="2">
        <v>1</v>
      </c>
      <c r="AB128" s="11">
        <v>2</v>
      </c>
      <c r="AC128" s="27">
        <v>121000000</v>
      </c>
      <c r="AD128" s="18">
        <v>0</v>
      </c>
      <c r="AE128" s="4">
        <v>0</v>
      </c>
      <c r="AF128" s="2">
        <v>0</v>
      </c>
      <c r="AG128" s="4">
        <v>0</v>
      </c>
      <c r="AH128" s="28">
        <f t="shared" si="42"/>
        <v>2</v>
      </c>
      <c r="AI128" s="4">
        <f t="shared" si="69"/>
        <v>121000000</v>
      </c>
      <c r="AJ128" s="26">
        <f t="shared" si="54"/>
        <v>8.6448829295045163E-3</v>
      </c>
      <c r="AK128" s="26">
        <f t="shared" si="43"/>
        <v>3.0356071703550131E-3</v>
      </c>
      <c r="AL128" s="4">
        <v>2036805</v>
      </c>
      <c r="AM128" s="4">
        <v>6772663</v>
      </c>
      <c r="AN128" s="12">
        <f t="shared" si="44"/>
        <v>4735858</v>
      </c>
      <c r="AO128" s="12">
        <f t="shared" si="45"/>
        <v>8809468</v>
      </c>
      <c r="AP128" s="8">
        <v>6127356000</v>
      </c>
      <c r="AQ128" s="8">
        <v>7619754000</v>
      </c>
      <c r="AR128" s="13">
        <f t="shared" si="46"/>
        <v>1492398000</v>
      </c>
      <c r="AS128" s="13">
        <f t="shared" si="47"/>
        <v>13747110000</v>
      </c>
      <c r="AT128" s="5">
        <f t="shared" si="64"/>
        <v>3.3241172864772344E-4</v>
      </c>
      <c r="AU128" s="5">
        <f t="shared" si="65"/>
        <v>8.8882961313449223E-4</v>
      </c>
      <c r="AV128" s="5">
        <f t="shared" si="48"/>
        <v>2.4523452729418292E-3</v>
      </c>
      <c r="AW128" s="5">
        <f t="shared" si="49"/>
        <v>3.6829082678935653E-3</v>
      </c>
      <c r="AX128" s="5">
        <f t="shared" si="66"/>
        <v>6.4082327121845969E-4</v>
      </c>
      <c r="AY128" s="10">
        <f t="shared" si="67"/>
        <v>6.293952027373248E-4</v>
      </c>
      <c r="AZ128" s="24">
        <v>139</v>
      </c>
      <c r="BA128" s="19">
        <v>5225733735.4564066</v>
      </c>
      <c r="BB128" s="17">
        <v>80</v>
      </c>
      <c r="BC128" s="19">
        <v>804804606.9130677</v>
      </c>
      <c r="BD128" s="17">
        <v>50</v>
      </c>
      <c r="BE128" s="19">
        <v>4326680144.5949039</v>
      </c>
      <c r="BF128" s="17">
        <v>9</v>
      </c>
      <c r="BG128" s="19">
        <v>94248983.948433891</v>
      </c>
      <c r="BH128" s="26">
        <f t="shared" si="50"/>
        <v>0.3733541848246526</v>
      </c>
      <c r="BI128" s="26">
        <f t="shared" si="51"/>
        <v>5.7499517420573319E-2</v>
      </c>
      <c r="BJ128" s="26">
        <f t="shared" si="52"/>
        <v>0.30912101920193902</v>
      </c>
      <c r="BK128" s="26">
        <f t="shared" si="53"/>
        <v>6.7336482021401771E-3</v>
      </c>
      <c r="BL128" s="34">
        <f t="shared" si="57"/>
        <v>307396102.08567095</v>
      </c>
      <c r="BM128" s="35">
        <f t="shared" si="55"/>
        <v>2.1962010872038387E-2</v>
      </c>
    </row>
    <row r="129" spans="1:65" x14ac:dyDescent="0.35">
      <c r="A129" s="18">
        <v>128</v>
      </c>
      <c r="B129" t="s">
        <v>361</v>
      </c>
      <c r="C129" s="3" t="s">
        <v>76</v>
      </c>
      <c r="D129" s="17" t="s">
        <v>4</v>
      </c>
      <c r="E129" s="17" t="s">
        <v>5</v>
      </c>
      <c r="F129" s="2">
        <v>0</v>
      </c>
      <c r="G129" s="2">
        <v>0</v>
      </c>
      <c r="H129" s="2">
        <v>1</v>
      </c>
      <c r="I129" s="18">
        <v>2017</v>
      </c>
      <c r="J129" s="2">
        <v>0</v>
      </c>
      <c r="K129" s="2" t="s">
        <v>152</v>
      </c>
      <c r="L129" s="4">
        <v>5542674764.8902826</v>
      </c>
      <c r="M129" s="2">
        <v>0</v>
      </c>
      <c r="N129" s="4">
        <v>0</v>
      </c>
      <c r="O129" s="2">
        <v>2</v>
      </c>
      <c r="P129" s="4">
        <v>1220000000</v>
      </c>
      <c r="Q129" s="2">
        <v>2</v>
      </c>
      <c r="R129" s="4">
        <v>1220000000</v>
      </c>
      <c r="S129" s="5">
        <f t="shared" si="34"/>
        <v>0</v>
      </c>
      <c r="T129" s="5">
        <f t="shared" si="35"/>
        <v>0.22011033512700612</v>
      </c>
      <c r="U129" s="5">
        <f t="shared" si="36"/>
        <v>0.22011033512700612</v>
      </c>
      <c r="V129" s="26">
        <f t="shared" si="37"/>
        <v>0</v>
      </c>
      <c r="W129" s="26">
        <f t="shared" si="38"/>
        <v>1.5343210000754585E-3</v>
      </c>
      <c r="X129" s="26">
        <f t="shared" si="39"/>
        <v>5.6934054498023639E-4</v>
      </c>
      <c r="Y129" s="26">
        <f t="shared" si="40"/>
        <v>71764705.882352948</v>
      </c>
      <c r="Z129" s="26">
        <f t="shared" si="41"/>
        <v>1.2947666772176833E-2</v>
      </c>
      <c r="AA129" s="2">
        <v>0</v>
      </c>
      <c r="AB129" s="18" t="s">
        <v>152</v>
      </c>
      <c r="AC129" s="4" t="s">
        <v>152</v>
      </c>
      <c r="AD129" s="18" t="s">
        <v>152</v>
      </c>
      <c r="AE129" s="4" t="s">
        <v>152</v>
      </c>
      <c r="AF129" s="18" t="s">
        <v>152</v>
      </c>
      <c r="AG129" s="4" t="s">
        <v>152</v>
      </c>
      <c r="AH129" s="28">
        <f t="shared" si="42"/>
        <v>0</v>
      </c>
      <c r="AI129" s="4" t="str">
        <f t="shared" si="69"/>
        <v>na</v>
      </c>
      <c r="AJ129" s="26" t="str">
        <f t="shared" si="54"/>
        <v>na</v>
      </c>
      <c r="AK129" s="26" t="str">
        <f t="shared" si="43"/>
        <v>na</v>
      </c>
      <c r="AL129" s="4">
        <v>221954000</v>
      </c>
      <c r="AM129" s="4">
        <v>17413000</v>
      </c>
      <c r="AN129" s="12">
        <f t="shared" si="44"/>
        <v>-204541000</v>
      </c>
      <c r="AO129" s="12">
        <f t="shared" si="45"/>
        <v>239367000</v>
      </c>
      <c r="AP129" s="8">
        <v>2600771000</v>
      </c>
      <c r="AQ129" s="8">
        <v>415484000</v>
      </c>
      <c r="AR129" s="13">
        <f t="shared" si="46"/>
        <v>-2185287000</v>
      </c>
      <c r="AS129" s="13">
        <f t="shared" si="47"/>
        <v>3016255000</v>
      </c>
      <c r="AT129" s="5">
        <f t="shared" si="64"/>
        <v>8.5341616005407628E-2</v>
      </c>
      <c r="AU129" s="5">
        <f t="shared" si="65"/>
        <v>4.1910157791876464E-2</v>
      </c>
      <c r="AV129" s="5">
        <f t="shared" si="48"/>
        <v>1.0409038527962459E-3</v>
      </c>
      <c r="AW129" s="5">
        <f t="shared" si="49"/>
        <v>2.008187480563664E-4</v>
      </c>
      <c r="AX129" s="5">
        <f t="shared" si="66"/>
        <v>7.9359006450051478E-2</v>
      </c>
      <c r="AY129" s="10">
        <f t="shared" si="67"/>
        <v>4.3186189006841048E-2</v>
      </c>
      <c r="AZ129" s="24">
        <v>20</v>
      </c>
      <c r="BA129" s="19">
        <v>1035055873.7648617</v>
      </c>
      <c r="BB129" s="17">
        <v>16</v>
      </c>
      <c r="BC129" s="19">
        <v>22913447.661233313</v>
      </c>
      <c r="BD129" s="17">
        <v>4</v>
      </c>
      <c r="BE129" s="19">
        <v>1012142426.1036284</v>
      </c>
      <c r="BF129" s="17">
        <v>0</v>
      </c>
      <c r="BG129" s="19">
        <v>0</v>
      </c>
      <c r="BH129" s="26">
        <f t="shared" si="50"/>
        <v>0.18674302889308186</v>
      </c>
      <c r="BI129" s="26">
        <f t="shared" si="51"/>
        <v>4.1340054455976877E-3</v>
      </c>
      <c r="BJ129" s="26">
        <f t="shared" si="52"/>
        <v>0.18260902344748417</v>
      </c>
      <c r="BK129" s="26">
        <f t="shared" si="53"/>
        <v>0</v>
      </c>
      <c r="BL129" s="34">
        <f t="shared" si="57"/>
        <v>60885639.633227162</v>
      </c>
      <c r="BM129" s="35">
        <f t="shared" si="55"/>
        <v>1.0984884052534227E-2</v>
      </c>
    </row>
    <row r="130" spans="1:65" x14ac:dyDescent="0.35">
      <c r="A130" s="18">
        <v>129</v>
      </c>
      <c r="B130" t="s">
        <v>362</v>
      </c>
      <c r="C130" s="3" t="s">
        <v>77</v>
      </c>
      <c r="D130" s="17" t="s">
        <v>7</v>
      </c>
      <c r="E130" s="17" t="s">
        <v>10</v>
      </c>
      <c r="F130" s="2">
        <v>0</v>
      </c>
      <c r="G130" s="2">
        <v>0</v>
      </c>
      <c r="H130" s="2">
        <v>1</v>
      </c>
      <c r="I130" s="18">
        <v>2017</v>
      </c>
      <c r="J130" s="2">
        <v>0</v>
      </c>
      <c r="K130" s="2" t="s">
        <v>152</v>
      </c>
      <c r="L130" s="4">
        <v>119700325461.93758</v>
      </c>
      <c r="M130" s="2">
        <v>4</v>
      </c>
      <c r="N130" s="4">
        <v>1040000000</v>
      </c>
      <c r="O130" s="2">
        <v>4</v>
      </c>
      <c r="P130" s="4">
        <v>1260000000</v>
      </c>
      <c r="Q130" s="2">
        <v>8</v>
      </c>
      <c r="R130" s="4">
        <v>2300000000</v>
      </c>
      <c r="S130" s="5">
        <f t="shared" ref="S130:S193" si="70">IFERROR(N130/L130,0)</f>
        <v>8.6883640122657826E-3</v>
      </c>
      <c r="T130" s="5">
        <f t="shared" ref="T130:T193" si="71">IFERROR(P130/L130,0)</f>
        <v>1.0526287168706622E-2</v>
      </c>
      <c r="U130" s="5">
        <f t="shared" ref="U130:U193" si="72">IFERROR(R130/L130,0)</f>
        <v>1.9214651180972403E-2</v>
      </c>
      <c r="V130" s="26">
        <f t="shared" ref="V130:V193" si="73">IFERROR(N130/SUM($N$2:$N$217),0)</f>
        <v>7.7459910772141247E-4</v>
      </c>
      <c r="W130" s="26">
        <f t="shared" ref="W130:W193" si="74">IFERROR(P130/SUM($P$2:$P$217),0)</f>
        <v>1.5846266066353095E-3</v>
      </c>
      <c r="X130" s="26">
        <f t="shared" ref="X130:X193" si="75">IFERROR(R130/SUM($R$2:$R$217),0)</f>
        <v>1.0733469290611015E-3</v>
      </c>
      <c r="Y130" s="26">
        <f t="shared" ref="Y130:Y193" si="76">R130/17</f>
        <v>135294117.64705881</v>
      </c>
      <c r="Z130" s="26">
        <f t="shared" ref="Z130:Z193" si="77">IFERROR(Y130/L130,0)</f>
        <v>1.1302735988807295E-3</v>
      </c>
      <c r="AA130" s="2">
        <v>3</v>
      </c>
      <c r="AB130" s="2">
        <v>0</v>
      </c>
      <c r="AC130" s="4">
        <v>0</v>
      </c>
      <c r="AD130" s="2">
        <v>0</v>
      </c>
      <c r="AE130" s="4">
        <v>0</v>
      </c>
      <c r="AF130" s="2">
        <v>0</v>
      </c>
      <c r="AG130" s="4">
        <v>0</v>
      </c>
      <c r="AH130" s="28">
        <f t="shared" ref="AH130:AH193" si="78">IFERROR(AB130+AD130+AF130,0)</f>
        <v>0</v>
      </c>
      <c r="AI130" s="4">
        <f t="shared" si="69"/>
        <v>0</v>
      </c>
      <c r="AJ130" s="26">
        <f t="shared" si="54"/>
        <v>0</v>
      </c>
      <c r="AK130" s="26">
        <f t="shared" ref="AK130:AK193" si="79">IFERROR(AI130/SUM($AI$2:$AI$217),"na")</f>
        <v>0</v>
      </c>
      <c r="AL130" s="4">
        <v>5181673000</v>
      </c>
      <c r="AM130" s="4">
        <v>283450000</v>
      </c>
      <c r="AN130" s="12">
        <f t="shared" ref="AN130:AN193" si="80">IFERROR(AM130-AL130,"na")</f>
        <v>-4898223000</v>
      </c>
      <c r="AO130" s="12">
        <f t="shared" ref="AO130:AO193" si="81">IFERROR(AL130+AM130,"na")</f>
        <v>5465123000</v>
      </c>
      <c r="AP130" s="8">
        <v>51067504000</v>
      </c>
      <c r="AQ130" s="8">
        <v>29592492000</v>
      </c>
      <c r="AR130" s="13">
        <f t="shared" ref="AR130:AR193" si="82">IFERROR(AQ130-AP130,"na")</f>
        <v>-21475012000</v>
      </c>
      <c r="AS130" s="13">
        <f t="shared" ref="AS130:AS193" si="83">IFERROR(AP130+AQ130,"na")</f>
        <v>80659996000</v>
      </c>
      <c r="AT130" s="5">
        <f t="shared" si="64"/>
        <v>0.10146712868520068</v>
      </c>
      <c r="AU130" s="5">
        <f t="shared" si="65"/>
        <v>9.5784430726550511E-3</v>
      </c>
      <c r="AV130" s="5">
        <f t="shared" ref="AV130:AV193" si="84">IFERROR((AL130/2498569866000)/AT130,"na")</f>
        <v>2.0438693628269347E-2</v>
      </c>
      <c r="AW130" s="5">
        <f t="shared" ref="AW130:AW193" si="85">IFERROR((AM130/2068950255000)/AU130,"na")</f>
        <v>1.4303143310712417E-2</v>
      </c>
      <c r="AX130" s="5">
        <f t="shared" si="66"/>
        <v>6.7755061629311261E-2</v>
      </c>
      <c r="AY130" s="10">
        <f t="shared" si="67"/>
        <v>4.5656709611351931E-2</v>
      </c>
      <c r="AZ130" s="24">
        <v>59</v>
      </c>
      <c r="BA130" s="19">
        <v>992214985.20459378</v>
      </c>
      <c r="BB130" s="17">
        <v>44</v>
      </c>
      <c r="BC130" s="19">
        <v>165057422.02168748</v>
      </c>
      <c r="BD130" s="17">
        <v>10</v>
      </c>
      <c r="BE130" s="19">
        <v>656287159.22629499</v>
      </c>
      <c r="BF130" s="17">
        <v>5</v>
      </c>
      <c r="BG130" s="19">
        <v>170870403.95661148</v>
      </c>
      <c r="BH130" s="26">
        <f t="shared" ref="BH130:BH193" si="86">IFERROR(BA130/L130,0)</f>
        <v>8.2891586248869404E-3</v>
      </c>
      <c r="BI130" s="26">
        <f t="shared" ref="BI130:BI193" si="87">IFERROR(BC130/L130,0)</f>
        <v>1.3789220821640339E-3</v>
      </c>
      <c r="BJ130" s="26">
        <f t="shared" ref="BJ130:BJ193" si="88">IFERROR(BE130/L130,0)</f>
        <v>5.4827516691671975E-3</v>
      </c>
      <c r="BK130" s="26">
        <f t="shared" ref="BK130:BK193" si="89">IFERROR(BG130/L130,0)</f>
        <v>1.4274848735557116E-3</v>
      </c>
      <c r="BL130" s="34">
        <f t="shared" si="57"/>
        <v>58365587.364976108</v>
      </c>
      <c r="BM130" s="35">
        <f t="shared" si="55"/>
        <v>4.8759756616982011E-4</v>
      </c>
    </row>
    <row r="131" spans="1:65" x14ac:dyDescent="0.35">
      <c r="A131" s="18">
        <v>130</v>
      </c>
      <c r="B131" t="s">
        <v>363</v>
      </c>
      <c r="C131" s="3" t="s">
        <v>78</v>
      </c>
      <c r="D131" s="17" t="s">
        <v>9</v>
      </c>
      <c r="E131" s="17" t="s">
        <v>2</v>
      </c>
      <c r="F131" s="2">
        <v>0</v>
      </c>
      <c r="G131" s="2">
        <v>0</v>
      </c>
      <c r="H131" s="2">
        <v>1</v>
      </c>
      <c r="I131" s="18">
        <v>2018</v>
      </c>
      <c r="J131" s="2">
        <v>0</v>
      </c>
      <c r="K131" s="2" t="s">
        <v>152</v>
      </c>
      <c r="L131" s="4">
        <v>15291448211.603004</v>
      </c>
      <c r="M131" s="2">
        <v>9</v>
      </c>
      <c r="N131" s="4">
        <v>7360000000</v>
      </c>
      <c r="O131" s="2">
        <v>7</v>
      </c>
      <c r="P131" s="4">
        <v>3050000000</v>
      </c>
      <c r="Q131" s="2">
        <v>16</v>
      </c>
      <c r="R131" s="4">
        <v>10410000000</v>
      </c>
      <c r="S131" s="5">
        <f t="shared" si="70"/>
        <v>0.48131477791719574</v>
      </c>
      <c r="T131" s="5">
        <f t="shared" si="71"/>
        <v>0.19945789030535965</v>
      </c>
      <c r="U131" s="5">
        <f t="shared" si="72"/>
        <v>0.68077266822255533</v>
      </c>
      <c r="V131" s="26">
        <f t="shared" si="73"/>
        <v>5.4817783007976885E-3</v>
      </c>
      <c r="W131" s="26">
        <f t="shared" si="74"/>
        <v>3.8358025001886458E-3</v>
      </c>
      <c r="X131" s="26">
        <f t="shared" si="75"/>
        <v>4.8580615354461157E-3</v>
      </c>
      <c r="Y131" s="26">
        <f t="shared" si="76"/>
        <v>612352941.17647064</v>
      </c>
      <c r="Z131" s="26">
        <f t="shared" si="77"/>
        <v>4.0045451071915025E-2</v>
      </c>
      <c r="AA131" s="2">
        <v>0</v>
      </c>
      <c r="AB131" s="18" t="s">
        <v>152</v>
      </c>
      <c r="AC131" s="4" t="s">
        <v>152</v>
      </c>
      <c r="AD131" s="2" t="s">
        <v>152</v>
      </c>
      <c r="AE131" s="4" t="s">
        <v>152</v>
      </c>
      <c r="AF131" s="2" t="s">
        <v>152</v>
      </c>
      <c r="AG131" s="4" t="s">
        <v>152</v>
      </c>
      <c r="AH131" s="28">
        <f t="shared" si="78"/>
        <v>0</v>
      </c>
      <c r="AI131" s="4" t="str">
        <f t="shared" si="69"/>
        <v>na</v>
      </c>
      <c r="AJ131" s="26" t="str">
        <f t="shared" ref="AJ131:AJ194" si="90">IFERROR(AI131/L131,"na")</f>
        <v>na</v>
      </c>
      <c r="AK131" s="26" t="str">
        <f t="shared" si="79"/>
        <v>na</v>
      </c>
      <c r="AL131" s="4">
        <v>861515000</v>
      </c>
      <c r="AM131" s="4">
        <v>323799000</v>
      </c>
      <c r="AN131" s="12">
        <f t="shared" si="80"/>
        <v>-537716000</v>
      </c>
      <c r="AO131" s="12">
        <f t="shared" si="81"/>
        <v>1185314000</v>
      </c>
      <c r="AP131" s="8">
        <v>7638740000</v>
      </c>
      <c r="AQ131" s="8">
        <v>4722313000</v>
      </c>
      <c r="AR131" s="13">
        <f t="shared" si="82"/>
        <v>-2916427000</v>
      </c>
      <c r="AS131" s="13">
        <f t="shared" si="83"/>
        <v>12361053000</v>
      </c>
      <c r="AT131" s="5">
        <f t="shared" si="64"/>
        <v>0.11278234368495328</v>
      </c>
      <c r="AU131" s="5">
        <f t="shared" si="65"/>
        <v>6.8567881883305912E-2</v>
      </c>
      <c r="AV131" s="5">
        <f t="shared" si="84"/>
        <v>3.0572449079556779E-3</v>
      </c>
      <c r="AW131" s="5">
        <f t="shared" si="85"/>
        <v>2.2824681205300414E-3</v>
      </c>
      <c r="AX131" s="5">
        <f t="shared" si="66"/>
        <v>9.5891021582061017E-2</v>
      </c>
      <c r="AY131" s="10">
        <f t="shared" si="67"/>
        <v>7.7514829439149863E-2</v>
      </c>
      <c r="AZ131" s="24">
        <v>117</v>
      </c>
      <c r="BA131" s="19">
        <v>9474383767.6672211</v>
      </c>
      <c r="BB131" s="17">
        <v>85</v>
      </c>
      <c r="BC131" s="19">
        <v>1791185758.9066896</v>
      </c>
      <c r="BD131" s="17">
        <v>17</v>
      </c>
      <c r="BE131" s="19">
        <v>3154804544.1743064</v>
      </c>
      <c r="BF131" s="17">
        <v>15</v>
      </c>
      <c r="BG131" s="19">
        <v>4528393464.5862246</v>
      </c>
      <c r="BH131" s="26">
        <f t="shared" si="86"/>
        <v>0.61958708139090113</v>
      </c>
      <c r="BI131" s="26">
        <f t="shared" si="87"/>
        <v>0.11713643692345341</v>
      </c>
      <c r="BJ131" s="26">
        <f t="shared" si="88"/>
        <v>0.2063116913792685</v>
      </c>
      <c r="BK131" s="26">
        <f t="shared" si="89"/>
        <v>0.29613895308817922</v>
      </c>
      <c r="BL131" s="34">
        <f t="shared" si="57"/>
        <v>557316692.21571887</v>
      </c>
      <c r="BM131" s="35">
        <f t="shared" ref="BM131:BM194" si="91">IFERROR(BL131/L131,0)</f>
        <v>3.6446298905347126E-2</v>
      </c>
    </row>
    <row r="132" spans="1:65" x14ac:dyDescent="0.35">
      <c r="A132" s="18">
        <v>131</v>
      </c>
      <c r="B132" t="s">
        <v>364</v>
      </c>
      <c r="C132" s="3" t="s">
        <v>79</v>
      </c>
      <c r="D132" s="17" t="s">
        <v>23</v>
      </c>
      <c r="E132" s="17" t="s">
        <v>10</v>
      </c>
      <c r="F132" s="2">
        <v>4</v>
      </c>
      <c r="G132" s="2">
        <v>1</v>
      </c>
      <c r="H132" s="18">
        <v>1</v>
      </c>
      <c r="I132" s="18">
        <v>2016</v>
      </c>
      <c r="J132" s="18">
        <v>0</v>
      </c>
      <c r="K132" s="18" t="s">
        <v>152</v>
      </c>
      <c r="L132" s="4">
        <v>79844294296.064682</v>
      </c>
      <c r="M132" s="2">
        <v>7</v>
      </c>
      <c r="N132" s="4">
        <v>4180000000</v>
      </c>
      <c r="O132" s="18">
        <v>16</v>
      </c>
      <c r="P132" s="4">
        <v>5700000000</v>
      </c>
      <c r="Q132" s="2">
        <v>23</v>
      </c>
      <c r="R132" s="4">
        <v>9880000000</v>
      </c>
      <c r="S132" s="5">
        <f t="shared" si="70"/>
        <v>5.2351893605577543E-2</v>
      </c>
      <c r="T132" s="5">
        <f t="shared" si="71"/>
        <v>7.1388945825787559E-2</v>
      </c>
      <c r="U132" s="5">
        <f t="shared" si="72"/>
        <v>0.1237408394313651</v>
      </c>
      <c r="V132" s="26">
        <f t="shared" si="73"/>
        <v>3.1132925675726002E-3</v>
      </c>
      <c r="W132" s="26">
        <f t="shared" si="74"/>
        <v>7.1685489347787807E-3</v>
      </c>
      <c r="X132" s="26">
        <f t="shared" si="75"/>
        <v>4.61072506918421E-3</v>
      </c>
      <c r="Y132" s="26">
        <f t="shared" si="76"/>
        <v>581176470.58823526</v>
      </c>
      <c r="Z132" s="26">
        <f t="shared" si="77"/>
        <v>7.2788729077273582E-3</v>
      </c>
      <c r="AA132" s="2">
        <v>1</v>
      </c>
      <c r="AB132" s="11">
        <v>1</v>
      </c>
      <c r="AC132" s="27">
        <v>20000000</v>
      </c>
      <c r="AD132" s="2">
        <v>0</v>
      </c>
      <c r="AE132" s="4">
        <v>0</v>
      </c>
      <c r="AF132" s="2">
        <v>0</v>
      </c>
      <c r="AG132" s="4">
        <v>0</v>
      </c>
      <c r="AH132" s="28">
        <f t="shared" si="78"/>
        <v>1</v>
      </c>
      <c r="AI132" s="4">
        <f t="shared" si="69"/>
        <v>20000000</v>
      </c>
      <c r="AJ132" s="26">
        <f t="shared" si="90"/>
        <v>2.5048752921328965E-4</v>
      </c>
      <c r="AK132" s="26">
        <f t="shared" si="79"/>
        <v>5.0175325129834928E-4</v>
      </c>
      <c r="AL132" s="4">
        <v>6447069000</v>
      </c>
      <c r="AM132" s="4">
        <v>5753615000</v>
      </c>
      <c r="AN132" s="12">
        <f t="shared" si="80"/>
        <v>-693454000</v>
      </c>
      <c r="AO132" s="12">
        <f t="shared" si="81"/>
        <v>12200684000</v>
      </c>
      <c r="AP132" s="8">
        <v>18610892000</v>
      </c>
      <c r="AQ132" s="8">
        <v>18105886000</v>
      </c>
      <c r="AR132" s="13">
        <f t="shared" si="82"/>
        <v>-505006000</v>
      </c>
      <c r="AS132" s="13">
        <f t="shared" si="83"/>
        <v>36716778000</v>
      </c>
      <c r="AT132" s="5">
        <f t="shared" si="64"/>
        <v>0.34641375598762275</v>
      </c>
      <c r="AU132" s="5">
        <f t="shared" si="65"/>
        <v>0.31777594313804913</v>
      </c>
      <c r="AV132" s="5">
        <f t="shared" si="84"/>
        <v>7.4486178086324521E-3</v>
      </c>
      <c r="AW132" s="5">
        <f t="shared" si="85"/>
        <v>8.7512427890635777E-3</v>
      </c>
      <c r="AX132" s="5">
        <f t="shared" si="66"/>
        <v>0.33229179314154417</v>
      </c>
      <c r="AY132" s="10">
        <f t="shared" si="67"/>
        <v>0.15280595949360579</v>
      </c>
      <c r="AZ132" s="24">
        <v>280</v>
      </c>
      <c r="BA132" s="19">
        <v>17089617367.982758</v>
      </c>
      <c r="BB132" s="17">
        <v>182</v>
      </c>
      <c r="BC132" s="19">
        <v>3050070955.9996686</v>
      </c>
      <c r="BD132" s="17">
        <v>81</v>
      </c>
      <c r="BE132" s="19">
        <v>7760284650.3226576</v>
      </c>
      <c r="BF132" s="17">
        <v>17</v>
      </c>
      <c r="BG132" s="19">
        <v>6279261761.6604366</v>
      </c>
      <c r="BH132" s="26">
        <f t="shared" si="86"/>
        <v>0.21403680148532617</v>
      </c>
      <c r="BI132" s="26">
        <f t="shared" si="87"/>
        <v>3.8200236884678669E-2</v>
      </c>
      <c r="BJ132" s="26">
        <f t="shared" si="88"/>
        <v>9.7192726402557009E-2</v>
      </c>
      <c r="BK132" s="26">
        <f t="shared" si="89"/>
        <v>7.8643838198090565E-2</v>
      </c>
      <c r="BL132" s="34">
        <f t="shared" si="57"/>
        <v>1005271609.8813387</v>
      </c>
      <c r="BM132" s="35">
        <f t="shared" si="91"/>
        <v>1.2590400087372128E-2</v>
      </c>
    </row>
    <row r="133" spans="1:65" x14ac:dyDescent="0.35">
      <c r="A133" s="18">
        <v>132</v>
      </c>
      <c r="B133" t="s">
        <v>365</v>
      </c>
      <c r="C133" s="3" t="s">
        <v>80</v>
      </c>
      <c r="D133" s="17" t="s">
        <v>9</v>
      </c>
      <c r="E133" s="17" t="s">
        <v>5</v>
      </c>
      <c r="F133" s="2">
        <v>0</v>
      </c>
      <c r="G133" s="2">
        <v>0</v>
      </c>
      <c r="H133" s="2">
        <v>1</v>
      </c>
      <c r="I133" s="18">
        <v>2018</v>
      </c>
      <c r="J133" s="2">
        <v>0</v>
      </c>
      <c r="K133" s="2" t="s">
        <v>152</v>
      </c>
      <c r="L133" s="4">
        <v>12565772084.744125</v>
      </c>
      <c r="M133" s="2">
        <v>0</v>
      </c>
      <c r="N133" s="4">
        <v>0</v>
      </c>
      <c r="O133" s="2">
        <v>7</v>
      </c>
      <c r="P133" s="4">
        <v>3250000000</v>
      </c>
      <c r="Q133" s="2">
        <v>7</v>
      </c>
      <c r="R133" s="4">
        <v>3250000000</v>
      </c>
      <c r="S133" s="5">
        <f t="shared" si="70"/>
        <v>0</v>
      </c>
      <c r="T133" s="5">
        <f t="shared" si="71"/>
        <v>0.25863910136853158</v>
      </c>
      <c r="U133" s="5">
        <f t="shared" si="72"/>
        <v>0.25863910136853158</v>
      </c>
      <c r="V133" s="26">
        <f t="shared" si="73"/>
        <v>0</v>
      </c>
      <c r="W133" s="26">
        <f t="shared" si="74"/>
        <v>4.0873305329879013E-3</v>
      </c>
      <c r="X133" s="26">
        <f t="shared" si="75"/>
        <v>1.5166858780211216E-3</v>
      </c>
      <c r="Y133" s="26">
        <f t="shared" si="76"/>
        <v>191176470.58823529</v>
      </c>
      <c r="Z133" s="26">
        <f t="shared" si="77"/>
        <v>1.5214064786384209E-2</v>
      </c>
      <c r="AA133" s="2">
        <v>0</v>
      </c>
      <c r="AB133" s="18" t="s">
        <v>152</v>
      </c>
      <c r="AC133" s="4" t="s">
        <v>152</v>
      </c>
      <c r="AD133" s="2" t="s">
        <v>152</v>
      </c>
      <c r="AE133" s="4" t="s">
        <v>152</v>
      </c>
      <c r="AF133" s="2" t="s">
        <v>152</v>
      </c>
      <c r="AG133" s="4" t="s">
        <v>152</v>
      </c>
      <c r="AH133" s="28">
        <f t="shared" si="78"/>
        <v>0</v>
      </c>
      <c r="AI133" s="4" t="str">
        <f t="shared" si="69"/>
        <v>na</v>
      </c>
      <c r="AJ133" s="26" t="str">
        <f t="shared" si="90"/>
        <v>na</v>
      </c>
      <c r="AK133" s="26" t="str">
        <f t="shared" si="79"/>
        <v>na</v>
      </c>
      <c r="AL133" s="4">
        <v>309760000</v>
      </c>
      <c r="AM133" s="4">
        <v>1645972000</v>
      </c>
      <c r="AN133" s="12">
        <f t="shared" si="80"/>
        <v>1336212000</v>
      </c>
      <c r="AO133" s="12">
        <f t="shared" si="81"/>
        <v>1955732000</v>
      </c>
      <c r="AP133" s="8">
        <v>7715202000</v>
      </c>
      <c r="AQ133" s="8">
        <v>6439325000</v>
      </c>
      <c r="AR133" s="13">
        <f t="shared" si="82"/>
        <v>-1275877000</v>
      </c>
      <c r="AS133" s="13">
        <f t="shared" si="83"/>
        <v>14154527000</v>
      </c>
      <c r="AT133" s="5">
        <f t="shared" si="64"/>
        <v>4.0149305228819675E-2</v>
      </c>
      <c r="AU133" s="5">
        <f t="shared" si="65"/>
        <v>0.25561250596918156</v>
      </c>
      <c r="AV133" s="5">
        <f t="shared" si="84"/>
        <v>3.0878472141150845E-3</v>
      </c>
      <c r="AW133" s="5">
        <f t="shared" si="85"/>
        <v>3.112363375793199E-3</v>
      </c>
      <c r="AX133" s="5">
        <f t="shared" si="66"/>
        <v>0.13817007096033657</v>
      </c>
      <c r="AY133" s="10">
        <f t="shared" si="67"/>
        <v>0.15563962061467107</v>
      </c>
      <c r="AZ133" s="24">
        <v>140</v>
      </c>
      <c r="BA133" s="19">
        <v>3212928697.5196543</v>
      </c>
      <c r="BB133" s="17">
        <v>117</v>
      </c>
      <c r="BC133" s="19">
        <v>350831970.32019562</v>
      </c>
      <c r="BD133" s="17">
        <v>22</v>
      </c>
      <c r="BE133" s="19">
        <v>2862096727.1994586</v>
      </c>
      <c r="BF133" s="17">
        <v>1</v>
      </c>
      <c r="BG133" s="19">
        <v>0</v>
      </c>
      <c r="BH133" s="26">
        <f t="shared" si="86"/>
        <v>0.25568892033466151</v>
      </c>
      <c r="BI133" s="26">
        <f t="shared" si="87"/>
        <v>2.7919650933835916E-2</v>
      </c>
      <c r="BJ133" s="26">
        <f t="shared" si="88"/>
        <v>0.22776926940082559</v>
      </c>
      <c r="BK133" s="26">
        <f t="shared" si="89"/>
        <v>0</v>
      </c>
      <c r="BL133" s="34">
        <f t="shared" si="57"/>
        <v>188995805.73645025</v>
      </c>
      <c r="BM133" s="35">
        <f t="shared" si="91"/>
        <v>1.5040524725568325E-2</v>
      </c>
    </row>
    <row r="134" spans="1:65" x14ac:dyDescent="0.35">
      <c r="A134" s="18">
        <v>133</v>
      </c>
      <c r="B134" t="s">
        <v>457</v>
      </c>
      <c r="C134" s="3" t="s">
        <v>366</v>
      </c>
      <c r="D134" s="17" t="s">
        <v>23</v>
      </c>
      <c r="E134" s="17" t="s">
        <v>13</v>
      </c>
      <c r="F134" s="2">
        <v>0</v>
      </c>
      <c r="G134" s="2">
        <v>0</v>
      </c>
      <c r="H134" s="2">
        <v>0</v>
      </c>
      <c r="I134" s="18" t="s">
        <v>152</v>
      </c>
      <c r="J134" s="2">
        <v>2</v>
      </c>
      <c r="K134" s="2" t="s">
        <v>152</v>
      </c>
      <c r="L134" s="19">
        <v>118223430.12444571</v>
      </c>
      <c r="M134" s="2">
        <v>0</v>
      </c>
      <c r="N134" s="4">
        <v>0</v>
      </c>
      <c r="O134" s="2">
        <v>0</v>
      </c>
      <c r="P134" s="4">
        <v>0</v>
      </c>
      <c r="Q134" s="2">
        <v>0</v>
      </c>
      <c r="R134" s="4">
        <v>0</v>
      </c>
      <c r="S134" s="5">
        <f t="shared" si="70"/>
        <v>0</v>
      </c>
      <c r="T134" s="15">
        <f t="shared" si="71"/>
        <v>0</v>
      </c>
      <c r="U134" s="5">
        <f t="shared" si="72"/>
        <v>0</v>
      </c>
      <c r="V134" s="26">
        <f t="shared" si="73"/>
        <v>0</v>
      </c>
      <c r="W134" s="26">
        <f t="shared" si="74"/>
        <v>0</v>
      </c>
      <c r="X134" s="26">
        <f t="shared" si="75"/>
        <v>0</v>
      </c>
      <c r="Y134" s="26">
        <f t="shared" si="76"/>
        <v>0</v>
      </c>
      <c r="Z134" s="26">
        <f t="shared" si="77"/>
        <v>0</v>
      </c>
      <c r="AA134" s="2">
        <v>0</v>
      </c>
      <c r="AB134" s="2" t="s">
        <v>152</v>
      </c>
      <c r="AC134" s="4" t="s">
        <v>152</v>
      </c>
      <c r="AD134" s="2" t="s">
        <v>152</v>
      </c>
      <c r="AE134" s="4" t="s">
        <v>152</v>
      </c>
      <c r="AF134" s="2" t="s">
        <v>152</v>
      </c>
      <c r="AG134" s="4" t="s">
        <v>152</v>
      </c>
      <c r="AH134" s="28">
        <f t="shared" si="78"/>
        <v>0</v>
      </c>
      <c r="AI134" s="4" t="s">
        <v>152</v>
      </c>
      <c r="AJ134" s="26" t="str">
        <f t="shared" si="90"/>
        <v>na</v>
      </c>
      <c r="AK134" s="26" t="str">
        <f t="shared" si="79"/>
        <v>na</v>
      </c>
      <c r="AL134" s="21">
        <v>1222000</v>
      </c>
      <c r="AM134" s="21">
        <v>23000</v>
      </c>
      <c r="AN134" s="12">
        <f t="shared" si="80"/>
        <v>-1199000</v>
      </c>
      <c r="AO134" s="12">
        <f t="shared" si="81"/>
        <v>1245000</v>
      </c>
      <c r="AP134" s="19">
        <v>96779000</v>
      </c>
      <c r="AQ134" s="19">
        <v>34450000</v>
      </c>
      <c r="AR134" s="13">
        <f t="shared" si="82"/>
        <v>-62329000</v>
      </c>
      <c r="AS134" s="13">
        <f t="shared" si="83"/>
        <v>131229000</v>
      </c>
      <c r="AT134" s="5">
        <f t="shared" si="64"/>
        <v>1.2626706206925057E-2</v>
      </c>
      <c r="AU134" s="5">
        <f t="shared" si="65"/>
        <v>6.6763425253991288E-4</v>
      </c>
      <c r="AV134" s="5">
        <f t="shared" si="84"/>
        <v>3.8733757785582768E-5</v>
      </c>
      <c r="AW134" s="5">
        <f t="shared" si="85"/>
        <v>1.665095616327421E-5</v>
      </c>
      <c r="AX134" s="5">
        <f t="shared" si="66"/>
        <v>9.4872322428731452E-3</v>
      </c>
      <c r="AY134" s="10">
        <f t="shared" si="67"/>
        <v>1.0530907441016335E-2</v>
      </c>
      <c r="AZ134" s="24">
        <v>13</v>
      </c>
      <c r="BA134" s="19">
        <v>142252708.66030189</v>
      </c>
      <c r="BB134" s="17">
        <v>12</v>
      </c>
      <c r="BC134" s="19">
        <v>142252708.66030189</v>
      </c>
      <c r="BD134" s="17">
        <v>0</v>
      </c>
      <c r="BE134" s="19">
        <v>0</v>
      </c>
      <c r="BF134" s="17">
        <v>1</v>
      </c>
      <c r="BG134" s="19">
        <v>0</v>
      </c>
      <c r="BH134" s="26">
        <f t="shared" si="86"/>
        <v>1.2032530989040178</v>
      </c>
      <c r="BI134" s="26">
        <f t="shared" si="87"/>
        <v>1.2032530989040178</v>
      </c>
      <c r="BJ134" s="26">
        <f t="shared" si="88"/>
        <v>0</v>
      </c>
      <c r="BK134" s="26">
        <f t="shared" si="89"/>
        <v>0</v>
      </c>
      <c r="BL134" s="34">
        <f t="shared" ref="BL134:BL197" si="92">IFERROR(BA134/17,0)</f>
        <v>8367806.3917824645</v>
      </c>
      <c r="BM134" s="35">
        <f t="shared" si="91"/>
        <v>7.0779594053177505E-2</v>
      </c>
    </row>
    <row r="135" spans="1:65" x14ac:dyDescent="0.35">
      <c r="A135" s="18">
        <v>134</v>
      </c>
      <c r="B135" t="s">
        <v>367</v>
      </c>
      <c r="C135" s="3" t="s">
        <v>81</v>
      </c>
      <c r="D135" s="17" t="s">
        <v>1</v>
      </c>
      <c r="E135" s="17" t="s">
        <v>10</v>
      </c>
      <c r="F135" s="2">
        <v>1</v>
      </c>
      <c r="G135" s="2">
        <v>0</v>
      </c>
      <c r="H135" s="2">
        <v>1</v>
      </c>
      <c r="I135" s="18">
        <v>2017</v>
      </c>
      <c r="J135" s="2">
        <v>0</v>
      </c>
      <c r="K135" s="2" t="s">
        <v>152</v>
      </c>
      <c r="L135" s="4">
        <v>34186180694.928478</v>
      </c>
      <c r="M135" s="2">
        <v>3</v>
      </c>
      <c r="N135" s="4">
        <v>450000000</v>
      </c>
      <c r="O135" s="2">
        <v>13</v>
      </c>
      <c r="P135" s="4">
        <v>2480000000</v>
      </c>
      <c r="Q135" s="2">
        <v>16</v>
      </c>
      <c r="R135" s="4">
        <v>2930000000</v>
      </c>
      <c r="S135" s="5">
        <f t="shared" si="70"/>
        <v>1.3163213639327587E-2</v>
      </c>
      <c r="T135" s="5">
        <f t="shared" si="71"/>
        <v>7.2543932945627596E-2</v>
      </c>
      <c r="U135" s="5">
        <f t="shared" si="72"/>
        <v>8.5707146584955179E-2</v>
      </c>
      <c r="V135" s="26">
        <f t="shared" si="73"/>
        <v>3.3516307545638038E-4</v>
      </c>
      <c r="W135" s="26">
        <f t="shared" si="74"/>
        <v>3.1189476067107679E-3</v>
      </c>
      <c r="X135" s="26">
        <f t="shared" si="75"/>
        <v>1.3673506531082728E-3</v>
      </c>
      <c r="Y135" s="26">
        <f t="shared" si="76"/>
        <v>172352941.17647058</v>
      </c>
      <c r="Z135" s="26">
        <f t="shared" si="77"/>
        <v>5.0415968579385394E-3</v>
      </c>
      <c r="AA135" s="2">
        <v>1</v>
      </c>
      <c r="AB135" s="11">
        <v>2</v>
      </c>
      <c r="AC135" s="27">
        <v>202300000</v>
      </c>
      <c r="AD135" s="11">
        <v>3</v>
      </c>
      <c r="AE135" s="27">
        <v>362000000</v>
      </c>
      <c r="AF135" s="2">
        <v>0</v>
      </c>
      <c r="AG135" s="4">
        <v>0</v>
      </c>
      <c r="AH135" s="28">
        <f t="shared" si="78"/>
        <v>5</v>
      </c>
      <c r="AI135" s="4">
        <f>IFERROR(AC135+AE135,"na")</f>
        <v>564300000</v>
      </c>
      <c r="AJ135" s="26">
        <f t="shared" si="90"/>
        <v>1.6506669903716794E-2</v>
      </c>
      <c r="AK135" s="26">
        <f t="shared" si="79"/>
        <v>1.4156967985382924E-2</v>
      </c>
      <c r="AL135" s="4">
        <v>1939889</v>
      </c>
      <c r="AM135" s="4">
        <v>18116</v>
      </c>
      <c r="AN135" s="12">
        <f t="shared" si="80"/>
        <v>-1921773</v>
      </c>
      <c r="AO135" s="12">
        <f t="shared" si="81"/>
        <v>1958005</v>
      </c>
      <c r="AP135" s="8">
        <v>12325259000</v>
      </c>
      <c r="AQ135" s="8">
        <v>959629000</v>
      </c>
      <c r="AR135" s="13">
        <f t="shared" si="82"/>
        <v>-11365630000</v>
      </c>
      <c r="AS135" s="13">
        <f t="shared" si="83"/>
        <v>13284888000</v>
      </c>
      <c r="AT135" s="5">
        <f t="shared" si="64"/>
        <v>1.5739133757757139E-4</v>
      </c>
      <c r="AU135" s="5">
        <f t="shared" si="65"/>
        <v>1.8878128943581321E-5</v>
      </c>
      <c r="AV135" s="5">
        <f t="shared" si="84"/>
        <v>4.9329254977895426E-3</v>
      </c>
      <c r="AW135" s="5">
        <f t="shared" si="85"/>
        <v>4.6382410484779873E-4</v>
      </c>
      <c r="AX135" s="5">
        <f t="shared" si="66"/>
        <v>1.4738588688139486E-4</v>
      </c>
      <c r="AY135" s="10">
        <f t="shared" si="67"/>
        <v>5.7274751381936916E-5</v>
      </c>
      <c r="AZ135" s="24">
        <v>157</v>
      </c>
      <c r="BA135" s="19">
        <v>4542336114.3011894</v>
      </c>
      <c r="BB135" s="17">
        <v>142</v>
      </c>
      <c r="BC135" s="19">
        <v>2330204591.3633966</v>
      </c>
      <c r="BD135" s="17">
        <v>12</v>
      </c>
      <c r="BE135" s="19">
        <v>1759332002.6515505</v>
      </c>
      <c r="BF135" s="17">
        <v>3</v>
      </c>
      <c r="BG135" s="19">
        <v>452799520.28624201</v>
      </c>
      <c r="BH135" s="26">
        <f t="shared" si="86"/>
        <v>0.13287053487595488</v>
      </c>
      <c r="BI135" s="26">
        <f t="shared" si="87"/>
        <v>6.8162179687685398E-2</v>
      </c>
      <c r="BJ135" s="26">
        <f t="shared" si="88"/>
        <v>5.1463251140907572E-2</v>
      </c>
      <c r="BK135" s="26">
        <f t="shared" si="89"/>
        <v>1.3245104047361888E-2</v>
      </c>
      <c r="BL135" s="34">
        <f t="shared" si="92"/>
        <v>267196242.01771703</v>
      </c>
      <c r="BM135" s="35">
        <f t="shared" si="91"/>
        <v>7.8159138162326395E-3</v>
      </c>
    </row>
    <row r="136" spans="1:65" x14ac:dyDescent="0.35">
      <c r="A136" s="18">
        <v>135</v>
      </c>
      <c r="B136" t="s">
        <v>368</v>
      </c>
      <c r="C136" s="3" t="s">
        <v>176</v>
      </c>
      <c r="D136" s="17" t="s">
        <v>4</v>
      </c>
      <c r="E136" s="17" t="s">
        <v>13</v>
      </c>
      <c r="F136" s="2">
        <v>0</v>
      </c>
      <c r="G136" s="2">
        <v>0</v>
      </c>
      <c r="H136" s="18">
        <v>0</v>
      </c>
      <c r="I136" s="3" t="s">
        <v>152</v>
      </c>
      <c r="J136" s="18">
        <v>0</v>
      </c>
      <c r="K136" s="2" t="s">
        <v>152</v>
      </c>
      <c r="L136" s="4">
        <v>910194347568.62598</v>
      </c>
      <c r="M136" s="2">
        <v>23</v>
      </c>
      <c r="N136" s="4">
        <v>20330000000</v>
      </c>
      <c r="O136" s="2">
        <v>0</v>
      </c>
      <c r="P136" s="4">
        <v>0</v>
      </c>
      <c r="Q136" s="2">
        <v>23</v>
      </c>
      <c r="R136" s="4">
        <v>20330000000</v>
      </c>
      <c r="S136" s="5">
        <f t="shared" si="70"/>
        <v>2.2335889092595335E-2</v>
      </c>
      <c r="T136" s="15">
        <f t="shared" si="71"/>
        <v>0</v>
      </c>
      <c r="U136" s="5">
        <f t="shared" si="72"/>
        <v>2.2335889092595335E-2</v>
      </c>
      <c r="V136" s="26">
        <f t="shared" si="73"/>
        <v>1.5141922942284919E-2</v>
      </c>
      <c r="W136" s="26">
        <f t="shared" si="74"/>
        <v>0</v>
      </c>
      <c r="X136" s="26">
        <f t="shared" si="75"/>
        <v>9.4874535077444314E-3</v>
      </c>
      <c r="Y136" s="26">
        <f t="shared" si="76"/>
        <v>1195882352.9411764</v>
      </c>
      <c r="Z136" s="26">
        <f t="shared" si="77"/>
        <v>1.313875828976196E-3</v>
      </c>
      <c r="AA136" s="2">
        <v>2</v>
      </c>
      <c r="AB136" s="18">
        <v>0</v>
      </c>
      <c r="AC136" s="4">
        <v>0</v>
      </c>
      <c r="AD136" s="18">
        <v>0</v>
      </c>
      <c r="AE136" s="4">
        <v>0</v>
      </c>
      <c r="AF136" s="2">
        <v>0</v>
      </c>
      <c r="AG136" s="4">
        <v>0</v>
      </c>
      <c r="AH136" s="28">
        <f t="shared" si="78"/>
        <v>0</v>
      </c>
      <c r="AI136" s="4">
        <f>IFERROR(AC136+AE136,"na")</f>
        <v>0</v>
      </c>
      <c r="AJ136" s="26">
        <f t="shared" si="90"/>
        <v>0</v>
      </c>
      <c r="AK136" s="26">
        <f t="shared" si="79"/>
        <v>0</v>
      </c>
      <c r="AL136" s="4">
        <v>48168518000</v>
      </c>
      <c r="AM136" s="4">
        <v>14317292000</v>
      </c>
      <c r="AN136" s="12">
        <f t="shared" si="80"/>
        <v>-33851226000</v>
      </c>
      <c r="AO136" s="12">
        <f t="shared" si="81"/>
        <v>62485810000</v>
      </c>
      <c r="AP136" s="8">
        <v>514857688000</v>
      </c>
      <c r="AQ136" s="8">
        <v>576784455000</v>
      </c>
      <c r="AR136" s="13">
        <f t="shared" si="82"/>
        <v>61926767000</v>
      </c>
      <c r="AS136" s="13">
        <f t="shared" si="83"/>
        <v>1091642143000</v>
      </c>
      <c r="AT136" s="5">
        <f t="shared" si="64"/>
        <v>9.3556955878650497E-2</v>
      </c>
      <c r="AU136" s="5">
        <f t="shared" si="65"/>
        <v>2.4822603792260662E-2</v>
      </c>
      <c r="AV136" s="5">
        <f t="shared" si="84"/>
        <v>0.20606095311004605</v>
      </c>
      <c r="AW136" s="5">
        <f t="shared" si="85"/>
        <v>0.27878120974928899</v>
      </c>
      <c r="AX136" s="5">
        <f t="shared" si="66"/>
        <v>5.7240195791891484E-2</v>
      </c>
      <c r="AY136" s="10">
        <f t="shared" si="67"/>
        <v>6.8651063552434069E-2</v>
      </c>
      <c r="AZ136" s="24" t="s">
        <v>152</v>
      </c>
      <c r="BA136" s="29" t="s">
        <v>152</v>
      </c>
      <c r="BB136" s="24" t="s">
        <v>152</v>
      </c>
      <c r="BC136" s="29" t="s">
        <v>152</v>
      </c>
      <c r="BD136" s="24" t="s">
        <v>152</v>
      </c>
      <c r="BE136" s="29" t="s">
        <v>152</v>
      </c>
      <c r="BF136" s="24" t="s">
        <v>152</v>
      </c>
      <c r="BG136" s="29" t="s">
        <v>152</v>
      </c>
      <c r="BH136" s="26">
        <f t="shared" si="86"/>
        <v>0</v>
      </c>
      <c r="BI136" s="26">
        <f t="shared" si="87"/>
        <v>0</v>
      </c>
      <c r="BJ136" s="26">
        <f t="shared" si="88"/>
        <v>0</v>
      </c>
      <c r="BK136" s="26">
        <f t="shared" si="89"/>
        <v>0</v>
      </c>
      <c r="BL136" s="34">
        <f t="shared" si="92"/>
        <v>0</v>
      </c>
      <c r="BM136" s="35">
        <f t="shared" si="91"/>
        <v>0</v>
      </c>
    </row>
    <row r="137" spans="1:65" x14ac:dyDescent="0.35">
      <c r="A137" s="18">
        <v>136</v>
      </c>
      <c r="B137" t="s">
        <v>458</v>
      </c>
      <c r="C137" s="3" t="s">
        <v>475</v>
      </c>
      <c r="D137" s="17" t="s">
        <v>23</v>
      </c>
      <c r="E137" s="17" t="s">
        <v>13</v>
      </c>
      <c r="F137" s="2">
        <v>0</v>
      </c>
      <c r="G137" s="2">
        <v>0</v>
      </c>
      <c r="H137" s="2">
        <v>0</v>
      </c>
      <c r="I137" s="18" t="s">
        <v>152</v>
      </c>
      <c r="J137" s="2">
        <v>0</v>
      </c>
      <c r="K137" s="2" t="s">
        <v>152</v>
      </c>
      <c r="L137" s="20">
        <v>2682347064.3641982</v>
      </c>
      <c r="M137" s="2">
        <v>0</v>
      </c>
      <c r="N137" s="4">
        <v>0</v>
      </c>
      <c r="O137" s="2">
        <v>0</v>
      </c>
      <c r="P137" s="4">
        <v>0</v>
      </c>
      <c r="Q137" s="2">
        <v>0</v>
      </c>
      <c r="R137" s="4">
        <v>0</v>
      </c>
      <c r="S137" s="5">
        <f t="shared" si="70"/>
        <v>0</v>
      </c>
      <c r="T137" s="15">
        <f t="shared" si="71"/>
        <v>0</v>
      </c>
      <c r="U137" s="5">
        <f t="shared" si="72"/>
        <v>0</v>
      </c>
      <c r="V137" s="26">
        <f t="shared" si="73"/>
        <v>0</v>
      </c>
      <c r="W137" s="26">
        <f t="shared" si="74"/>
        <v>0</v>
      </c>
      <c r="X137" s="26">
        <f t="shared" si="75"/>
        <v>0</v>
      </c>
      <c r="Y137" s="26">
        <f t="shared" si="76"/>
        <v>0</v>
      </c>
      <c r="Z137" s="26">
        <f t="shared" si="77"/>
        <v>0</v>
      </c>
      <c r="AA137" s="2">
        <v>0</v>
      </c>
      <c r="AB137" s="18" t="s">
        <v>152</v>
      </c>
      <c r="AC137" s="4" t="s">
        <v>152</v>
      </c>
      <c r="AD137" s="18" t="s">
        <v>152</v>
      </c>
      <c r="AE137" s="4" t="s">
        <v>152</v>
      </c>
      <c r="AF137" s="2" t="s">
        <v>152</v>
      </c>
      <c r="AG137" s="4" t="s">
        <v>152</v>
      </c>
      <c r="AH137" s="28">
        <f t="shared" si="78"/>
        <v>0</v>
      </c>
      <c r="AI137" s="4" t="s">
        <v>152</v>
      </c>
      <c r="AJ137" s="26" t="str">
        <f t="shared" si="90"/>
        <v>na</v>
      </c>
      <c r="AK137" s="26" t="str">
        <f t="shared" si="79"/>
        <v>na</v>
      </c>
      <c r="AL137" s="21">
        <v>155403000</v>
      </c>
      <c r="AM137" s="21">
        <v>1040695000</v>
      </c>
      <c r="AN137" s="12">
        <f t="shared" si="80"/>
        <v>885292000</v>
      </c>
      <c r="AO137" s="12">
        <f t="shared" si="81"/>
        <v>1196098000</v>
      </c>
      <c r="AP137" s="19">
        <v>2551690000</v>
      </c>
      <c r="AQ137" s="19">
        <v>1811254000</v>
      </c>
      <c r="AR137" s="13">
        <f t="shared" si="82"/>
        <v>-740436000</v>
      </c>
      <c r="AS137" s="13">
        <f t="shared" si="83"/>
        <v>4362944000</v>
      </c>
      <c r="AT137" s="5">
        <f t="shared" si="64"/>
        <v>6.0901990445547852E-2</v>
      </c>
      <c r="AU137" s="5">
        <f t="shared" si="65"/>
        <v>0.5745715399386282</v>
      </c>
      <c r="AV137" s="5">
        <f t="shared" si="84"/>
        <v>1.021260215582861E-3</v>
      </c>
      <c r="AW137" s="5">
        <f t="shared" si="85"/>
        <v>8.754458912788118E-4</v>
      </c>
      <c r="AX137" s="5">
        <f t="shared" si="66"/>
        <v>0.27414929002068328</v>
      </c>
      <c r="AY137" s="10">
        <f t="shared" si="67"/>
        <v>0.44591470503221903</v>
      </c>
      <c r="AZ137" s="24">
        <v>0</v>
      </c>
      <c r="BA137" s="4" t="s">
        <v>152</v>
      </c>
      <c r="BB137" s="18" t="s">
        <v>152</v>
      </c>
      <c r="BC137" s="4" t="s">
        <v>152</v>
      </c>
      <c r="BD137" s="18" t="s">
        <v>152</v>
      </c>
      <c r="BE137" s="4" t="s">
        <v>152</v>
      </c>
      <c r="BF137" s="18" t="s">
        <v>152</v>
      </c>
      <c r="BG137" s="4" t="s">
        <v>152</v>
      </c>
      <c r="BH137" s="26">
        <f t="shared" si="86"/>
        <v>0</v>
      </c>
      <c r="BI137" s="26">
        <f t="shared" si="87"/>
        <v>0</v>
      </c>
      <c r="BJ137" s="26">
        <f t="shared" si="88"/>
        <v>0</v>
      </c>
      <c r="BK137" s="26">
        <f t="shared" si="89"/>
        <v>0</v>
      </c>
      <c r="BL137" s="34">
        <f t="shared" si="92"/>
        <v>0</v>
      </c>
      <c r="BM137" s="35">
        <f t="shared" si="91"/>
        <v>0</v>
      </c>
    </row>
    <row r="138" spans="1:65" x14ac:dyDescent="0.35">
      <c r="A138" s="18">
        <v>137</v>
      </c>
      <c r="B138" t="s">
        <v>369</v>
      </c>
      <c r="C138" s="3" t="s">
        <v>82</v>
      </c>
      <c r="D138" s="17" t="s">
        <v>23</v>
      </c>
      <c r="E138" s="17" t="s">
        <v>13</v>
      </c>
      <c r="F138" s="2">
        <v>0</v>
      </c>
      <c r="G138" s="2">
        <v>1</v>
      </c>
      <c r="H138" s="2">
        <v>1</v>
      </c>
      <c r="I138" s="18">
        <v>2017</v>
      </c>
      <c r="J138" s="2">
        <v>0</v>
      </c>
      <c r="K138" s="2" t="s">
        <v>152</v>
      </c>
      <c r="L138" s="4">
        <v>212891048340.60776</v>
      </c>
      <c r="M138" s="2">
        <v>5</v>
      </c>
      <c r="N138" s="4">
        <v>1350000000</v>
      </c>
      <c r="O138" s="2">
        <v>10</v>
      </c>
      <c r="P138" s="4">
        <v>2740000000</v>
      </c>
      <c r="Q138" s="2">
        <v>15</v>
      </c>
      <c r="R138" s="4">
        <v>4090000000</v>
      </c>
      <c r="S138" s="5">
        <f t="shared" si="70"/>
        <v>6.3412717938243872E-3</v>
      </c>
      <c r="T138" s="5">
        <f t="shared" si="71"/>
        <v>1.2870433122280608E-2</v>
      </c>
      <c r="U138" s="5">
        <f t="shared" si="72"/>
        <v>1.9211704916104994E-2</v>
      </c>
      <c r="V138" s="26">
        <f t="shared" si="73"/>
        <v>1.0054892263691411E-3</v>
      </c>
      <c r="W138" s="26">
        <f t="shared" si="74"/>
        <v>3.4459340493498002E-3</v>
      </c>
      <c r="X138" s="26">
        <f t="shared" si="75"/>
        <v>1.9086908434173498E-3</v>
      </c>
      <c r="Y138" s="26">
        <f t="shared" si="76"/>
        <v>240588235.29411766</v>
      </c>
      <c r="Z138" s="26">
        <f t="shared" si="77"/>
        <v>1.1301002891826468E-3</v>
      </c>
      <c r="AA138" s="2">
        <v>1</v>
      </c>
      <c r="AB138" s="2">
        <v>0</v>
      </c>
      <c r="AC138" s="4">
        <v>0</v>
      </c>
      <c r="AD138" s="2">
        <v>0</v>
      </c>
      <c r="AE138" s="4">
        <v>0</v>
      </c>
      <c r="AF138" s="2">
        <v>0</v>
      </c>
      <c r="AG138" s="4">
        <v>0</v>
      </c>
      <c r="AH138" s="28">
        <f t="shared" si="78"/>
        <v>0</v>
      </c>
      <c r="AI138" s="4">
        <f t="shared" ref="AI138:AI143" si="93">IFERROR(AC138+AE138,"na")</f>
        <v>0</v>
      </c>
      <c r="AJ138" s="26">
        <f t="shared" si="90"/>
        <v>0</v>
      </c>
      <c r="AK138" s="26">
        <f t="shared" si="79"/>
        <v>0</v>
      </c>
      <c r="AL138" s="4">
        <v>8556490000</v>
      </c>
      <c r="AM138" s="4">
        <v>11014410000</v>
      </c>
      <c r="AN138" s="12">
        <f t="shared" si="80"/>
        <v>2457920000</v>
      </c>
      <c r="AO138" s="12">
        <f t="shared" si="81"/>
        <v>19570900000</v>
      </c>
      <c r="AP138" s="8">
        <v>42320991000</v>
      </c>
      <c r="AQ138" s="8">
        <v>38183311000</v>
      </c>
      <c r="AR138" s="13">
        <f t="shared" si="82"/>
        <v>-4137680000</v>
      </c>
      <c r="AS138" s="13">
        <f t="shared" si="83"/>
        <v>80504302000</v>
      </c>
      <c r="AT138" s="5">
        <f t="shared" ref="AT138:AT169" si="94">IFERROR(AL138/AP138,"na")</f>
        <v>0.20218075706213967</v>
      </c>
      <c r="AU138" s="5">
        <f t="shared" ref="AU138:AU169" si="95">IFERROR(AM138/AQ138,"na")</f>
        <v>0.28846136470459566</v>
      </c>
      <c r="AV138" s="5">
        <f t="shared" si="84"/>
        <v>1.6938085893012208E-2</v>
      </c>
      <c r="AW138" s="5">
        <f t="shared" si="85"/>
        <v>1.8455403124228331E-2</v>
      </c>
      <c r="AX138" s="5">
        <f t="shared" ref="AX138:AX169" si="96">IFERROR(AO138/AS138,"na")</f>
        <v>0.24310377847881967</v>
      </c>
      <c r="AY138" s="10">
        <f t="shared" ref="AY138:AY169" si="97">IFERROR(AO138/L138,"na")</f>
        <v>9.192918233315385E-2</v>
      </c>
      <c r="AZ138" s="24" t="s">
        <v>152</v>
      </c>
      <c r="BA138" s="29" t="s">
        <v>152</v>
      </c>
      <c r="BB138" s="24" t="s">
        <v>152</v>
      </c>
      <c r="BC138" s="29" t="s">
        <v>152</v>
      </c>
      <c r="BD138" s="24" t="s">
        <v>152</v>
      </c>
      <c r="BE138" s="29" t="s">
        <v>152</v>
      </c>
      <c r="BF138" s="24" t="s">
        <v>152</v>
      </c>
      <c r="BG138" s="29" t="s">
        <v>152</v>
      </c>
      <c r="BH138" s="26">
        <f t="shared" si="86"/>
        <v>0</v>
      </c>
      <c r="BI138" s="26">
        <f t="shared" si="87"/>
        <v>0</v>
      </c>
      <c r="BJ138" s="26">
        <f t="shared" si="88"/>
        <v>0</v>
      </c>
      <c r="BK138" s="26">
        <f t="shared" si="89"/>
        <v>0</v>
      </c>
      <c r="BL138" s="34">
        <f t="shared" si="92"/>
        <v>0</v>
      </c>
      <c r="BM138" s="35">
        <f t="shared" si="91"/>
        <v>0</v>
      </c>
    </row>
    <row r="139" spans="1:65" x14ac:dyDescent="0.35">
      <c r="A139" s="18">
        <v>138</v>
      </c>
      <c r="B139" t="s">
        <v>370</v>
      </c>
      <c r="C139" s="3" t="s">
        <v>161</v>
      </c>
      <c r="D139" s="17" t="s">
        <v>12</v>
      </c>
      <c r="E139" s="17" t="s">
        <v>10</v>
      </c>
      <c r="F139" s="2">
        <v>0</v>
      </c>
      <c r="G139" s="2">
        <v>0</v>
      </c>
      <c r="H139" s="2">
        <v>0</v>
      </c>
      <c r="I139" s="3" t="s">
        <v>152</v>
      </c>
      <c r="J139" s="2">
        <v>2</v>
      </c>
      <c r="K139" s="2" t="s">
        <v>152</v>
      </c>
      <c r="L139" s="4">
        <v>12611218627.063225</v>
      </c>
      <c r="M139" s="2">
        <v>2</v>
      </c>
      <c r="N139" s="4">
        <v>530000000</v>
      </c>
      <c r="O139" s="2">
        <v>0</v>
      </c>
      <c r="P139" s="4">
        <v>0</v>
      </c>
      <c r="Q139" s="2">
        <v>2</v>
      </c>
      <c r="R139" s="4">
        <v>530000000</v>
      </c>
      <c r="S139" s="5">
        <f t="shared" si="70"/>
        <v>4.2026073425024839E-2</v>
      </c>
      <c r="T139" s="15">
        <f t="shared" si="71"/>
        <v>0</v>
      </c>
      <c r="U139" s="5">
        <f t="shared" si="72"/>
        <v>4.2026073425024839E-2</v>
      </c>
      <c r="V139" s="26">
        <f t="shared" si="73"/>
        <v>3.9474762220418133E-4</v>
      </c>
      <c r="W139" s="26">
        <f t="shared" si="74"/>
        <v>0</v>
      </c>
      <c r="X139" s="26">
        <f t="shared" si="75"/>
        <v>2.47336466261906E-4</v>
      </c>
      <c r="Y139" s="26">
        <f t="shared" si="76"/>
        <v>31176470.588235293</v>
      </c>
      <c r="Z139" s="26">
        <f t="shared" si="77"/>
        <v>2.4721219661779314E-3</v>
      </c>
      <c r="AA139" s="2">
        <v>0</v>
      </c>
      <c r="AB139" s="2" t="s">
        <v>152</v>
      </c>
      <c r="AC139" s="4" t="s">
        <v>152</v>
      </c>
      <c r="AD139" s="2" t="s">
        <v>152</v>
      </c>
      <c r="AE139" s="4" t="s">
        <v>152</v>
      </c>
      <c r="AF139" s="2" t="s">
        <v>152</v>
      </c>
      <c r="AG139" s="4" t="s">
        <v>152</v>
      </c>
      <c r="AH139" s="28">
        <f t="shared" si="78"/>
        <v>0</v>
      </c>
      <c r="AI139" s="4" t="str">
        <f t="shared" si="93"/>
        <v>na</v>
      </c>
      <c r="AJ139" s="26" t="str">
        <f t="shared" si="90"/>
        <v>na</v>
      </c>
      <c r="AK139" s="26" t="str">
        <f t="shared" si="79"/>
        <v>na</v>
      </c>
      <c r="AL139" s="4">
        <v>893851000</v>
      </c>
      <c r="AM139" s="4">
        <v>28553000</v>
      </c>
      <c r="AN139" s="12">
        <f t="shared" si="80"/>
        <v>-865298000</v>
      </c>
      <c r="AO139" s="12">
        <f t="shared" si="81"/>
        <v>922404000</v>
      </c>
      <c r="AP139" s="8">
        <v>6985509000</v>
      </c>
      <c r="AQ139" s="8">
        <v>5272553000</v>
      </c>
      <c r="AR139" s="13">
        <f t="shared" si="82"/>
        <v>-1712956000</v>
      </c>
      <c r="AS139" s="13">
        <f t="shared" si="83"/>
        <v>12258062000</v>
      </c>
      <c r="AT139" s="5">
        <f t="shared" si="94"/>
        <v>0.12795789111430533</v>
      </c>
      <c r="AU139" s="5">
        <f t="shared" si="95"/>
        <v>5.4154031263412622E-3</v>
      </c>
      <c r="AV139" s="5">
        <f t="shared" si="84"/>
        <v>2.7958029491419478E-3</v>
      </c>
      <c r="AW139" s="5">
        <f t="shared" si="85"/>
        <v>2.5484194157195912E-3</v>
      </c>
      <c r="AX139" s="5">
        <f t="shared" si="96"/>
        <v>7.524876281421973E-2</v>
      </c>
      <c r="AY139" s="10">
        <f t="shared" si="97"/>
        <v>7.3141543833087949E-2</v>
      </c>
      <c r="AZ139" s="24">
        <v>1</v>
      </c>
      <c r="BA139" s="19">
        <v>4858309.3510989398</v>
      </c>
      <c r="BB139" s="17">
        <v>0</v>
      </c>
      <c r="BC139" s="19">
        <v>0</v>
      </c>
      <c r="BD139" s="17">
        <v>0</v>
      </c>
      <c r="BE139" s="19">
        <v>0</v>
      </c>
      <c r="BF139" s="17">
        <v>1</v>
      </c>
      <c r="BG139" s="19">
        <v>4858309.3510989398</v>
      </c>
      <c r="BH139" s="26">
        <f t="shared" si="86"/>
        <v>3.8523710473729964E-4</v>
      </c>
      <c r="BI139" s="26">
        <f t="shared" si="87"/>
        <v>0</v>
      </c>
      <c r="BJ139" s="26">
        <f t="shared" si="88"/>
        <v>0</v>
      </c>
      <c r="BK139" s="26">
        <f t="shared" si="89"/>
        <v>3.8523710473729964E-4</v>
      </c>
      <c r="BL139" s="34">
        <f t="shared" si="92"/>
        <v>285782.90300582</v>
      </c>
      <c r="BM139" s="35">
        <f t="shared" si="91"/>
        <v>2.2661006161017628E-5</v>
      </c>
    </row>
    <row r="140" spans="1:65" x14ac:dyDescent="0.35">
      <c r="A140" s="18">
        <v>139</v>
      </c>
      <c r="B140" t="s">
        <v>371</v>
      </c>
      <c r="C140" s="3" t="s">
        <v>137</v>
      </c>
      <c r="D140" s="17" t="s">
        <v>9</v>
      </c>
      <c r="E140" s="17" t="s">
        <v>2</v>
      </c>
      <c r="F140" s="2">
        <v>0</v>
      </c>
      <c r="G140" s="2">
        <v>0</v>
      </c>
      <c r="H140" s="2">
        <v>1</v>
      </c>
      <c r="I140" s="18" t="s">
        <v>152</v>
      </c>
      <c r="J140" s="2">
        <v>0</v>
      </c>
      <c r="K140" s="2" t="s">
        <v>152</v>
      </c>
      <c r="L140" s="4">
        <v>12911689659.350994</v>
      </c>
      <c r="M140" s="2">
        <v>5</v>
      </c>
      <c r="N140" s="4">
        <v>5740000000</v>
      </c>
      <c r="O140" s="2">
        <v>4</v>
      </c>
      <c r="P140" s="4">
        <v>1730000000</v>
      </c>
      <c r="Q140" s="2">
        <v>9</v>
      </c>
      <c r="R140" s="4">
        <v>7470000000</v>
      </c>
      <c r="S140" s="5">
        <f t="shared" si="70"/>
        <v>0.44455839254492435</v>
      </c>
      <c r="T140" s="5">
        <f t="shared" si="71"/>
        <v>0.13398711134193714</v>
      </c>
      <c r="U140" s="5">
        <f t="shared" si="72"/>
        <v>0.57854550388686155</v>
      </c>
      <c r="V140" s="26">
        <f t="shared" si="73"/>
        <v>4.2751912291547189E-3</v>
      </c>
      <c r="W140" s="26">
        <f t="shared" si="74"/>
        <v>2.1757174837135598E-3</v>
      </c>
      <c r="X140" s="26">
        <f t="shared" si="75"/>
        <v>3.4860441565593165E-3</v>
      </c>
      <c r="Y140" s="26">
        <f t="shared" si="76"/>
        <v>439411764.70588237</v>
      </c>
      <c r="Z140" s="26">
        <f t="shared" si="77"/>
        <v>3.4032088463933033E-2</v>
      </c>
      <c r="AA140" s="2">
        <v>0</v>
      </c>
      <c r="AB140" s="2" t="s">
        <v>152</v>
      </c>
      <c r="AC140" s="4" t="s">
        <v>152</v>
      </c>
      <c r="AD140" s="2" t="s">
        <v>152</v>
      </c>
      <c r="AE140" s="4" t="s">
        <v>152</v>
      </c>
      <c r="AF140" s="2" t="s">
        <v>152</v>
      </c>
      <c r="AG140" s="4" t="s">
        <v>152</v>
      </c>
      <c r="AH140" s="28">
        <f t="shared" si="78"/>
        <v>0</v>
      </c>
      <c r="AI140" s="4" t="str">
        <f t="shared" si="93"/>
        <v>na</v>
      </c>
      <c r="AJ140" s="26" t="str">
        <f t="shared" si="90"/>
        <v>na</v>
      </c>
      <c r="AK140" s="26" t="str">
        <f t="shared" si="79"/>
        <v>na</v>
      </c>
      <c r="AL140" s="4">
        <v>565338000</v>
      </c>
      <c r="AM140" s="4">
        <v>280000</v>
      </c>
      <c r="AN140" s="12">
        <f t="shared" si="80"/>
        <v>-565058000</v>
      </c>
      <c r="AO140" s="12">
        <f t="shared" si="81"/>
        <v>565618000</v>
      </c>
      <c r="AP140" s="8">
        <v>2772522000</v>
      </c>
      <c r="AQ140" s="8">
        <v>854318000</v>
      </c>
      <c r="AR140" s="13">
        <f t="shared" si="82"/>
        <v>-1918204000</v>
      </c>
      <c r="AS140" s="13">
        <f t="shared" si="83"/>
        <v>3626840000</v>
      </c>
      <c r="AT140" s="5">
        <f t="shared" si="94"/>
        <v>0.2039074892823213</v>
      </c>
      <c r="AU140" s="5">
        <f t="shared" si="95"/>
        <v>3.2774681090647745E-4</v>
      </c>
      <c r="AV140" s="5">
        <f t="shared" si="84"/>
        <v>1.10964357560214E-3</v>
      </c>
      <c r="AW140" s="5">
        <f t="shared" si="85"/>
        <v>4.1292341269945132E-4</v>
      </c>
      <c r="AX140" s="5">
        <f t="shared" si="96"/>
        <v>0.15595339193347377</v>
      </c>
      <c r="AY140" s="10">
        <f t="shared" si="97"/>
        <v>4.3806660082661153E-2</v>
      </c>
      <c r="AZ140" s="24">
        <v>115</v>
      </c>
      <c r="BA140" s="19">
        <v>3214830315.2802434</v>
      </c>
      <c r="BB140" s="17">
        <v>107</v>
      </c>
      <c r="BC140" s="19">
        <v>1892117308.0012741</v>
      </c>
      <c r="BD140" s="17">
        <v>4</v>
      </c>
      <c r="BE140" s="19">
        <v>1309496212.231102</v>
      </c>
      <c r="BF140" s="17">
        <v>4</v>
      </c>
      <c r="BG140" s="19">
        <v>13216795.047867401</v>
      </c>
      <c r="BH140" s="26">
        <f t="shared" si="86"/>
        <v>0.24898602739820164</v>
      </c>
      <c r="BI140" s="26">
        <f t="shared" si="87"/>
        <v>0.146542966716285</v>
      </c>
      <c r="BJ140" s="26">
        <f t="shared" si="88"/>
        <v>0.10141943051448185</v>
      </c>
      <c r="BK140" s="26">
        <f t="shared" si="89"/>
        <v>1.023630167434782E-3</v>
      </c>
      <c r="BL140" s="34">
        <f t="shared" si="92"/>
        <v>189107665.60472021</v>
      </c>
      <c r="BM140" s="35">
        <f t="shared" si="91"/>
        <v>1.4646236905776567E-2</v>
      </c>
    </row>
    <row r="141" spans="1:65" x14ac:dyDescent="0.35">
      <c r="A141" s="18">
        <v>140</v>
      </c>
      <c r="B141" t="s">
        <v>372</v>
      </c>
      <c r="C141" s="3" t="s">
        <v>83</v>
      </c>
      <c r="D141" s="17" t="s">
        <v>9</v>
      </c>
      <c r="E141" s="17" t="s">
        <v>10</v>
      </c>
      <c r="F141" s="2">
        <v>2</v>
      </c>
      <c r="G141" s="2">
        <v>0</v>
      </c>
      <c r="H141" s="2">
        <v>1</v>
      </c>
      <c r="I141" s="2">
        <v>2018</v>
      </c>
      <c r="J141" s="2">
        <v>0</v>
      </c>
      <c r="K141" s="2" t="s">
        <v>152</v>
      </c>
      <c r="L141" s="4">
        <v>448120428858.76923</v>
      </c>
      <c r="M141" s="2">
        <v>19</v>
      </c>
      <c r="N141" s="4">
        <v>13670000000</v>
      </c>
      <c r="O141" s="2">
        <v>33</v>
      </c>
      <c r="P141" s="4">
        <v>26480000000</v>
      </c>
      <c r="Q141" s="2">
        <v>52</v>
      </c>
      <c r="R141" s="4">
        <v>40150000000</v>
      </c>
      <c r="S141" s="5">
        <f t="shared" si="70"/>
        <v>3.0505192621575999E-2</v>
      </c>
      <c r="T141" s="5">
        <f t="shared" si="71"/>
        <v>5.9091258275006033E-2</v>
      </c>
      <c r="U141" s="5">
        <f t="shared" si="72"/>
        <v>8.9596450896582039E-2</v>
      </c>
      <c r="V141" s="26">
        <f t="shared" si="73"/>
        <v>1.0181509425530489E-2</v>
      </c>
      <c r="W141" s="26">
        <f t="shared" si="74"/>
        <v>3.3302311542621428E-2</v>
      </c>
      <c r="X141" s="26">
        <f t="shared" si="75"/>
        <v>1.873690400078401E-2</v>
      </c>
      <c r="Y141" s="26">
        <f t="shared" si="76"/>
        <v>2361764705.8823528</v>
      </c>
      <c r="Z141" s="26">
        <f t="shared" si="77"/>
        <v>5.2703794645048256E-3</v>
      </c>
      <c r="AA141" s="2">
        <v>0</v>
      </c>
      <c r="AB141" s="18" t="s">
        <v>152</v>
      </c>
      <c r="AC141" s="4" t="s">
        <v>152</v>
      </c>
      <c r="AD141" s="2" t="s">
        <v>152</v>
      </c>
      <c r="AE141" s="4" t="s">
        <v>152</v>
      </c>
      <c r="AF141" s="2" t="s">
        <v>152</v>
      </c>
      <c r="AG141" s="4" t="s">
        <v>152</v>
      </c>
      <c r="AH141" s="28">
        <f t="shared" si="78"/>
        <v>0</v>
      </c>
      <c r="AI141" s="4" t="str">
        <f t="shared" si="93"/>
        <v>na</v>
      </c>
      <c r="AJ141" s="26" t="str">
        <f t="shared" si="90"/>
        <v>na</v>
      </c>
      <c r="AK141" s="26" t="str">
        <f t="shared" si="79"/>
        <v>na</v>
      </c>
      <c r="AL141" s="4">
        <v>12064658000</v>
      </c>
      <c r="AM141" s="4">
        <v>1665243000</v>
      </c>
      <c r="AN141" s="12">
        <f t="shared" si="80"/>
        <v>-10399415000</v>
      </c>
      <c r="AO141" s="12">
        <f t="shared" si="81"/>
        <v>13729901000</v>
      </c>
      <c r="AP141" s="8">
        <v>47387304000</v>
      </c>
      <c r="AQ141" s="8">
        <v>53624701000</v>
      </c>
      <c r="AR141" s="13">
        <f t="shared" si="82"/>
        <v>6237397000</v>
      </c>
      <c r="AS141" s="13">
        <f t="shared" si="83"/>
        <v>101012005000</v>
      </c>
      <c r="AT141" s="5">
        <f t="shared" si="94"/>
        <v>0.25459684307003411</v>
      </c>
      <c r="AU141" s="5">
        <f t="shared" si="95"/>
        <v>3.1053655665138347E-2</v>
      </c>
      <c r="AV141" s="5">
        <f t="shared" si="84"/>
        <v>1.8965771037598833E-2</v>
      </c>
      <c r="AW141" s="5">
        <f t="shared" si="85"/>
        <v>2.5918796679816742E-2</v>
      </c>
      <c r="AX141" s="5">
        <f t="shared" si="96"/>
        <v>0.13592345781078199</v>
      </c>
      <c r="AY141" s="10">
        <f t="shared" si="97"/>
        <v>3.0638864277993338E-2</v>
      </c>
      <c r="AZ141" s="24">
        <v>104</v>
      </c>
      <c r="BA141" s="19">
        <v>61819759640.81562</v>
      </c>
      <c r="BB141" s="17">
        <v>52</v>
      </c>
      <c r="BC141" s="19">
        <v>5425238555.5450525</v>
      </c>
      <c r="BD141" s="17">
        <v>39</v>
      </c>
      <c r="BE141" s="19">
        <v>43009874223.82708</v>
      </c>
      <c r="BF141" s="17">
        <v>13</v>
      </c>
      <c r="BG141" s="19">
        <v>13384646861.443499</v>
      </c>
      <c r="BH141" s="26">
        <f t="shared" si="86"/>
        <v>0.13795345103603587</v>
      </c>
      <c r="BI141" s="26">
        <f t="shared" si="87"/>
        <v>1.2106653047176487E-2</v>
      </c>
      <c r="BJ141" s="26">
        <f t="shared" si="88"/>
        <v>9.5978383162223971E-2</v>
      </c>
      <c r="BK141" s="26">
        <f t="shared" si="89"/>
        <v>2.986841482663545E-2</v>
      </c>
      <c r="BL141" s="34">
        <f t="shared" si="92"/>
        <v>3636456449.4597425</v>
      </c>
      <c r="BM141" s="35">
        <f t="shared" si="91"/>
        <v>8.1149088844726987E-3</v>
      </c>
    </row>
    <row r="142" spans="1:65" x14ac:dyDescent="0.35">
      <c r="A142" s="18">
        <v>141</v>
      </c>
      <c r="B142" t="s">
        <v>373</v>
      </c>
      <c r="C142" s="3" t="s">
        <v>84</v>
      </c>
      <c r="D142" s="18" t="s">
        <v>23</v>
      </c>
      <c r="E142" s="18" t="s">
        <v>5</v>
      </c>
      <c r="F142" s="2">
        <v>0</v>
      </c>
      <c r="G142" s="2">
        <v>0</v>
      </c>
      <c r="H142" s="2">
        <v>1</v>
      </c>
      <c r="I142" s="18">
        <v>2018</v>
      </c>
      <c r="J142" s="2">
        <v>0</v>
      </c>
      <c r="K142" s="2" t="s">
        <v>152</v>
      </c>
      <c r="L142" s="4" t="s">
        <v>152</v>
      </c>
      <c r="M142" s="2">
        <v>0</v>
      </c>
      <c r="N142" s="4">
        <v>0</v>
      </c>
      <c r="O142" s="2">
        <v>0</v>
      </c>
      <c r="P142" s="4">
        <v>0</v>
      </c>
      <c r="Q142" s="2">
        <v>0</v>
      </c>
      <c r="R142" s="4">
        <v>0</v>
      </c>
      <c r="S142" s="5">
        <f t="shared" si="70"/>
        <v>0</v>
      </c>
      <c r="T142" s="15">
        <f t="shared" si="71"/>
        <v>0</v>
      </c>
      <c r="U142" s="5">
        <f t="shared" si="72"/>
        <v>0</v>
      </c>
      <c r="V142" s="26">
        <f t="shared" si="73"/>
        <v>0</v>
      </c>
      <c r="W142" s="26">
        <f t="shared" si="74"/>
        <v>0</v>
      </c>
      <c r="X142" s="26">
        <f t="shared" si="75"/>
        <v>0</v>
      </c>
      <c r="Y142" s="26">
        <f t="shared" si="76"/>
        <v>0</v>
      </c>
      <c r="Z142" s="26">
        <f t="shared" si="77"/>
        <v>0</v>
      </c>
      <c r="AA142" s="2">
        <v>0</v>
      </c>
      <c r="AB142" s="2" t="s">
        <v>152</v>
      </c>
      <c r="AC142" s="4" t="s">
        <v>152</v>
      </c>
      <c r="AD142" s="2" t="s">
        <v>152</v>
      </c>
      <c r="AE142" s="4" t="s">
        <v>152</v>
      </c>
      <c r="AF142" s="2" t="s">
        <v>152</v>
      </c>
      <c r="AG142" s="4" t="s">
        <v>152</v>
      </c>
      <c r="AH142" s="28">
        <f t="shared" si="78"/>
        <v>0</v>
      </c>
      <c r="AI142" s="4" t="str">
        <f t="shared" si="93"/>
        <v>na</v>
      </c>
      <c r="AJ142" s="26" t="str">
        <f t="shared" si="90"/>
        <v>na</v>
      </c>
      <c r="AK142" s="26" t="str">
        <f t="shared" si="79"/>
        <v>na</v>
      </c>
      <c r="AL142" s="4" t="s">
        <v>152</v>
      </c>
      <c r="AM142" s="4" t="s">
        <v>152</v>
      </c>
      <c r="AN142" s="12" t="str">
        <f t="shared" si="80"/>
        <v>na</v>
      </c>
      <c r="AO142" s="12" t="str">
        <f t="shared" si="81"/>
        <v>na</v>
      </c>
      <c r="AP142" s="8">
        <v>0</v>
      </c>
      <c r="AQ142" s="8">
        <v>64147000</v>
      </c>
      <c r="AR142" s="13">
        <f t="shared" si="82"/>
        <v>64147000</v>
      </c>
      <c r="AS142" s="13">
        <f t="shared" si="83"/>
        <v>64147000</v>
      </c>
      <c r="AT142" s="5" t="str">
        <f t="shared" si="94"/>
        <v>na</v>
      </c>
      <c r="AU142" s="5" t="str">
        <f t="shared" si="95"/>
        <v>na</v>
      </c>
      <c r="AV142" s="5" t="str">
        <f t="shared" si="84"/>
        <v>na</v>
      </c>
      <c r="AW142" s="5" t="str">
        <f t="shared" si="85"/>
        <v>na</v>
      </c>
      <c r="AX142" s="5" t="str">
        <f t="shared" si="96"/>
        <v>na</v>
      </c>
      <c r="AY142" s="10" t="str">
        <f t="shared" si="97"/>
        <v>na</v>
      </c>
      <c r="AZ142" s="24">
        <v>23</v>
      </c>
      <c r="BA142" s="19">
        <v>23290162.04071331</v>
      </c>
      <c r="BB142" s="17">
        <v>22</v>
      </c>
      <c r="BC142" s="19">
        <v>23290162.04071331</v>
      </c>
      <c r="BD142" s="17">
        <v>0</v>
      </c>
      <c r="BE142" s="19">
        <v>0</v>
      </c>
      <c r="BF142" s="17">
        <v>1</v>
      </c>
      <c r="BG142" s="19">
        <v>0</v>
      </c>
      <c r="BH142" s="26">
        <f t="shared" si="86"/>
        <v>0</v>
      </c>
      <c r="BI142" s="26">
        <f t="shared" si="87"/>
        <v>0</v>
      </c>
      <c r="BJ142" s="26">
        <f t="shared" si="88"/>
        <v>0</v>
      </c>
      <c r="BK142" s="26">
        <f t="shared" si="89"/>
        <v>0</v>
      </c>
      <c r="BL142" s="34">
        <f t="shared" si="92"/>
        <v>1370009.5318066652</v>
      </c>
      <c r="BM142" s="35">
        <f t="shared" si="91"/>
        <v>0</v>
      </c>
    </row>
    <row r="143" spans="1:65" x14ac:dyDescent="0.35">
      <c r="A143" s="18">
        <v>142</v>
      </c>
      <c r="B143" t="s">
        <v>348</v>
      </c>
      <c r="C143" s="3" t="s">
        <v>448</v>
      </c>
      <c r="D143" s="17" t="s">
        <v>4</v>
      </c>
      <c r="E143" s="17" t="s">
        <v>5</v>
      </c>
      <c r="F143" s="2">
        <v>0</v>
      </c>
      <c r="G143" s="2">
        <v>0</v>
      </c>
      <c r="H143" s="2">
        <v>1</v>
      </c>
      <c r="I143" s="18">
        <v>2013</v>
      </c>
      <c r="J143" s="2">
        <v>1</v>
      </c>
      <c r="K143" s="2">
        <v>2001</v>
      </c>
      <c r="L143" s="4">
        <v>12547086168.489635</v>
      </c>
      <c r="M143" s="2">
        <v>0</v>
      </c>
      <c r="N143" s="4">
        <v>0</v>
      </c>
      <c r="O143" s="2">
        <v>3</v>
      </c>
      <c r="P143" s="4">
        <v>650000000</v>
      </c>
      <c r="Q143" s="2">
        <v>3</v>
      </c>
      <c r="R143" s="4">
        <v>650000000</v>
      </c>
      <c r="S143" s="5">
        <f t="shared" si="70"/>
        <v>0</v>
      </c>
      <c r="T143" s="5">
        <f t="shared" si="71"/>
        <v>5.1804856623395949E-2</v>
      </c>
      <c r="U143" s="5">
        <f t="shared" si="72"/>
        <v>5.1804856623395949E-2</v>
      </c>
      <c r="V143" s="26">
        <f t="shared" si="73"/>
        <v>0</v>
      </c>
      <c r="W143" s="26">
        <f t="shared" si="74"/>
        <v>8.1746610659758025E-4</v>
      </c>
      <c r="X143" s="26">
        <f t="shared" si="75"/>
        <v>3.0333717560422434E-4</v>
      </c>
      <c r="Y143" s="26">
        <f t="shared" si="76"/>
        <v>38235294.117647059</v>
      </c>
      <c r="Z143" s="26">
        <f t="shared" si="77"/>
        <v>3.0473445072585854E-3</v>
      </c>
      <c r="AA143" s="2">
        <v>0</v>
      </c>
      <c r="AB143" s="18" t="s">
        <v>152</v>
      </c>
      <c r="AC143" s="4" t="s">
        <v>152</v>
      </c>
      <c r="AD143" s="18" t="s">
        <v>152</v>
      </c>
      <c r="AE143" s="4" t="s">
        <v>152</v>
      </c>
      <c r="AF143" s="2" t="s">
        <v>152</v>
      </c>
      <c r="AG143" s="4" t="s">
        <v>152</v>
      </c>
      <c r="AH143" s="28">
        <f t="shared" si="78"/>
        <v>0</v>
      </c>
      <c r="AI143" s="4" t="str">
        <f t="shared" si="93"/>
        <v>na</v>
      </c>
      <c r="AJ143" s="26" t="str">
        <f t="shared" si="90"/>
        <v>na</v>
      </c>
      <c r="AK143" s="26" t="str">
        <f t="shared" si="79"/>
        <v>na</v>
      </c>
      <c r="AL143" s="4">
        <v>545143000</v>
      </c>
      <c r="AM143" s="4">
        <v>166041000</v>
      </c>
      <c r="AN143" s="12">
        <f t="shared" si="80"/>
        <v>-379102000</v>
      </c>
      <c r="AO143" s="12">
        <f t="shared" si="81"/>
        <v>711184000</v>
      </c>
      <c r="AP143" s="8">
        <v>9445513000</v>
      </c>
      <c r="AQ143" s="8">
        <v>7195141000</v>
      </c>
      <c r="AR143" s="13">
        <f t="shared" si="82"/>
        <v>-2250372000</v>
      </c>
      <c r="AS143" s="13">
        <f t="shared" si="83"/>
        <v>16640654000</v>
      </c>
      <c r="AT143" s="5">
        <f t="shared" si="94"/>
        <v>5.7714493643701514E-2</v>
      </c>
      <c r="AU143" s="5">
        <f t="shared" si="95"/>
        <v>2.3076823650849929E-2</v>
      </c>
      <c r="AV143" s="5">
        <f t="shared" si="84"/>
        <v>3.7803677729938649E-3</v>
      </c>
      <c r="AW143" s="5">
        <f t="shared" si="85"/>
        <v>3.4776771372881554E-3</v>
      </c>
      <c r="AX143" s="5">
        <f t="shared" si="96"/>
        <v>4.2737743360327062E-2</v>
      </c>
      <c r="AY143" s="10">
        <f t="shared" si="97"/>
        <v>5.6681207927466497E-2</v>
      </c>
      <c r="AZ143" s="24">
        <v>35</v>
      </c>
      <c r="BA143" s="19">
        <v>2913525344.0071635</v>
      </c>
      <c r="BB143" s="17">
        <v>27</v>
      </c>
      <c r="BC143" s="19">
        <v>56559763.830491133</v>
      </c>
      <c r="BD143" s="17">
        <v>7</v>
      </c>
      <c r="BE143" s="19">
        <v>964003282.90331233</v>
      </c>
      <c r="BF143" s="17">
        <v>1</v>
      </c>
      <c r="BG143" s="19">
        <v>1892962297.27336</v>
      </c>
      <c r="BH143" s="26">
        <f t="shared" si="86"/>
        <v>0.23220732725372534</v>
      </c>
      <c r="BI143" s="26">
        <f t="shared" si="87"/>
        <v>4.5078007013718913E-3</v>
      </c>
      <c r="BJ143" s="26">
        <f t="shared" si="88"/>
        <v>7.6830849008137081E-2</v>
      </c>
      <c r="BK143" s="26">
        <f t="shared" si="89"/>
        <v>0.15086867754421637</v>
      </c>
      <c r="BL143" s="34">
        <f t="shared" si="92"/>
        <v>171383843.76512727</v>
      </c>
      <c r="BM143" s="35">
        <f t="shared" si="91"/>
        <v>1.3659254544336785E-2</v>
      </c>
    </row>
    <row r="144" spans="1:65" x14ac:dyDescent="0.35">
      <c r="A144" s="18">
        <v>143</v>
      </c>
      <c r="B144" t="s">
        <v>459</v>
      </c>
      <c r="C144" s="3" t="s">
        <v>476</v>
      </c>
      <c r="D144" s="17" t="s">
        <v>23</v>
      </c>
      <c r="E144" s="17" t="s">
        <v>13</v>
      </c>
      <c r="F144" s="2">
        <v>0</v>
      </c>
      <c r="G144" s="2">
        <v>0</v>
      </c>
      <c r="H144" s="2">
        <v>0</v>
      </c>
      <c r="I144" s="2" t="s">
        <v>152</v>
      </c>
      <c r="J144" s="2">
        <v>0</v>
      </c>
      <c r="K144" s="2" t="s">
        <v>152</v>
      </c>
      <c r="L144" s="19">
        <v>1182000000</v>
      </c>
      <c r="M144" s="2">
        <v>0</v>
      </c>
      <c r="N144" s="4">
        <v>0</v>
      </c>
      <c r="O144" s="2">
        <v>0</v>
      </c>
      <c r="P144" s="4">
        <v>0</v>
      </c>
      <c r="Q144" s="2">
        <v>0</v>
      </c>
      <c r="R144" s="4">
        <v>0</v>
      </c>
      <c r="S144" s="5">
        <f t="shared" si="70"/>
        <v>0</v>
      </c>
      <c r="T144" s="15">
        <f t="shared" si="71"/>
        <v>0</v>
      </c>
      <c r="U144" s="5">
        <f t="shared" si="72"/>
        <v>0</v>
      </c>
      <c r="V144" s="26">
        <f t="shared" si="73"/>
        <v>0</v>
      </c>
      <c r="W144" s="26">
        <f t="shared" si="74"/>
        <v>0</v>
      </c>
      <c r="X144" s="26">
        <f t="shared" si="75"/>
        <v>0</v>
      </c>
      <c r="Y144" s="26">
        <f t="shared" si="76"/>
        <v>0</v>
      </c>
      <c r="Z144" s="26">
        <f t="shared" si="77"/>
        <v>0</v>
      </c>
      <c r="AA144" s="2">
        <v>0</v>
      </c>
      <c r="AB144" s="18" t="s">
        <v>152</v>
      </c>
      <c r="AC144" s="4" t="s">
        <v>152</v>
      </c>
      <c r="AD144" s="2" t="s">
        <v>152</v>
      </c>
      <c r="AE144" s="4" t="s">
        <v>152</v>
      </c>
      <c r="AF144" s="2" t="s">
        <v>152</v>
      </c>
      <c r="AG144" s="4" t="s">
        <v>152</v>
      </c>
      <c r="AH144" s="28">
        <f t="shared" si="78"/>
        <v>0</v>
      </c>
      <c r="AI144" s="4" t="s">
        <v>152</v>
      </c>
      <c r="AJ144" s="26" t="str">
        <f t="shared" si="90"/>
        <v>na</v>
      </c>
      <c r="AK144" s="26" t="str">
        <f t="shared" si="79"/>
        <v>na</v>
      </c>
      <c r="AL144" s="18" t="s">
        <v>152</v>
      </c>
      <c r="AM144" s="18" t="s">
        <v>152</v>
      </c>
      <c r="AN144" s="12" t="str">
        <f t="shared" si="80"/>
        <v>na</v>
      </c>
      <c r="AO144" s="12" t="str">
        <f t="shared" si="81"/>
        <v>na</v>
      </c>
      <c r="AP144" s="19">
        <v>170556000</v>
      </c>
      <c r="AQ144" s="19">
        <v>4890000</v>
      </c>
      <c r="AR144" s="13">
        <f t="shared" si="82"/>
        <v>-165666000</v>
      </c>
      <c r="AS144" s="13">
        <f t="shared" si="83"/>
        <v>175446000</v>
      </c>
      <c r="AT144" s="5" t="str">
        <f t="shared" si="94"/>
        <v>na</v>
      </c>
      <c r="AU144" s="5" t="str">
        <f t="shared" si="95"/>
        <v>na</v>
      </c>
      <c r="AV144" s="5" t="str">
        <f t="shared" si="84"/>
        <v>na</v>
      </c>
      <c r="AW144" s="5" t="str">
        <f t="shared" si="85"/>
        <v>na</v>
      </c>
      <c r="AX144" s="5" t="str">
        <f t="shared" si="96"/>
        <v>na</v>
      </c>
      <c r="AY144" s="10" t="str">
        <f t="shared" si="97"/>
        <v>na</v>
      </c>
      <c r="AZ144" s="24">
        <v>0</v>
      </c>
      <c r="BA144" s="4" t="s">
        <v>152</v>
      </c>
      <c r="BB144" s="18" t="s">
        <v>152</v>
      </c>
      <c r="BC144" s="4" t="s">
        <v>152</v>
      </c>
      <c r="BD144" s="18" t="s">
        <v>152</v>
      </c>
      <c r="BE144" s="4" t="s">
        <v>152</v>
      </c>
      <c r="BF144" s="18" t="s">
        <v>152</v>
      </c>
      <c r="BG144" s="4" t="s">
        <v>152</v>
      </c>
      <c r="BH144" s="26">
        <f t="shared" si="86"/>
        <v>0</v>
      </c>
      <c r="BI144" s="26">
        <f t="shared" si="87"/>
        <v>0</v>
      </c>
      <c r="BJ144" s="26">
        <f t="shared" si="88"/>
        <v>0</v>
      </c>
      <c r="BK144" s="26">
        <f t="shared" si="89"/>
        <v>0</v>
      </c>
      <c r="BL144" s="34">
        <f t="shared" si="92"/>
        <v>0</v>
      </c>
      <c r="BM144" s="35">
        <f t="shared" si="91"/>
        <v>0</v>
      </c>
    </row>
    <row r="145" spans="1:65" x14ac:dyDescent="0.35">
      <c r="A145" s="18">
        <v>144</v>
      </c>
      <c r="B145" t="s">
        <v>375</v>
      </c>
      <c r="C145" s="3" t="s">
        <v>179</v>
      </c>
      <c r="D145" s="17" t="s">
        <v>4</v>
      </c>
      <c r="E145" s="17" t="s">
        <v>13</v>
      </c>
      <c r="F145" s="2">
        <v>0</v>
      </c>
      <c r="G145" s="2">
        <v>0</v>
      </c>
      <c r="H145" s="2">
        <v>0</v>
      </c>
      <c r="I145" s="3" t="s">
        <v>152</v>
      </c>
      <c r="J145" s="2">
        <v>0</v>
      </c>
      <c r="K145" s="2" t="s">
        <v>152</v>
      </c>
      <c r="L145" s="4">
        <v>405509999999.99994</v>
      </c>
      <c r="M145" s="2">
        <v>11</v>
      </c>
      <c r="N145" s="4">
        <v>7470000000</v>
      </c>
      <c r="O145" s="2">
        <v>0</v>
      </c>
      <c r="P145" s="4">
        <v>0</v>
      </c>
      <c r="Q145" s="2">
        <v>11</v>
      </c>
      <c r="R145" s="4">
        <v>7470000000</v>
      </c>
      <c r="S145" s="5">
        <f t="shared" si="70"/>
        <v>1.8421247318191909E-2</v>
      </c>
      <c r="T145" s="15">
        <f t="shared" si="71"/>
        <v>0</v>
      </c>
      <c r="U145" s="5">
        <f t="shared" si="72"/>
        <v>1.8421247318191909E-2</v>
      </c>
      <c r="V145" s="26">
        <f t="shared" si="73"/>
        <v>5.5637070525759143E-3</v>
      </c>
      <c r="W145" s="26">
        <f t="shared" si="74"/>
        <v>0</v>
      </c>
      <c r="X145" s="26">
        <f t="shared" si="75"/>
        <v>3.4860441565593165E-3</v>
      </c>
      <c r="Y145" s="26">
        <f t="shared" si="76"/>
        <v>439411764.70588237</v>
      </c>
      <c r="Z145" s="26">
        <f t="shared" si="77"/>
        <v>1.0836027834230536E-3</v>
      </c>
      <c r="AA145" s="2">
        <v>2</v>
      </c>
      <c r="AB145" s="2">
        <v>0</v>
      </c>
      <c r="AC145" s="4">
        <v>0</v>
      </c>
      <c r="AD145" s="2">
        <v>0</v>
      </c>
      <c r="AE145" s="4">
        <v>0</v>
      </c>
      <c r="AF145" s="2">
        <v>0</v>
      </c>
      <c r="AG145" s="4">
        <v>0</v>
      </c>
      <c r="AH145" s="28">
        <f t="shared" si="78"/>
        <v>0</v>
      </c>
      <c r="AI145" s="4">
        <f t="shared" ref="AI145:AI156" si="98">IFERROR(AC145+AE145,"na")</f>
        <v>0</v>
      </c>
      <c r="AJ145" s="26">
        <f t="shared" si="90"/>
        <v>0</v>
      </c>
      <c r="AK145" s="26">
        <f t="shared" si="79"/>
        <v>0</v>
      </c>
      <c r="AL145" s="4">
        <v>8749234000</v>
      </c>
      <c r="AM145" s="4">
        <v>4248228000</v>
      </c>
      <c r="AN145" s="12">
        <f t="shared" si="80"/>
        <v>-4501006000</v>
      </c>
      <c r="AO145" s="12">
        <f t="shared" si="81"/>
        <v>12997462000</v>
      </c>
      <c r="AP145" s="8">
        <v>85927067000</v>
      </c>
      <c r="AQ145" s="8">
        <v>102793716000</v>
      </c>
      <c r="AR145" s="13">
        <f t="shared" si="82"/>
        <v>16866649000</v>
      </c>
      <c r="AS145" s="13">
        <f t="shared" si="83"/>
        <v>188720783000</v>
      </c>
      <c r="AT145" s="5">
        <f t="shared" si="94"/>
        <v>0.10182162973164206</v>
      </c>
      <c r="AU145" s="5">
        <f t="shared" si="95"/>
        <v>4.1327701393731112E-2</v>
      </c>
      <c r="AV145" s="5">
        <f t="shared" si="84"/>
        <v>3.4390500009336147E-2</v>
      </c>
      <c r="AW145" s="5">
        <f t="shared" si="85"/>
        <v>4.9683995906416797E-2</v>
      </c>
      <c r="AX145" s="5">
        <f t="shared" si="96"/>
        <v>6.8871386571133508E-2</v>
      </c>
      <c r="AY145" s="10">
        <f t="shared" si="97"/>
        <v>3.2052136815368309E-2</v>
      </c>
      <c r="AZ145" s="24" t="s">
        <v>152</v>
      </c>
      <c r="BA145" s="29" t="s">
        <v>152</v>
      </c>
      <c r="BB145" s="24" t="s">
        <v>152</v>
      </c>
      <c r="BC145" s="29" t="s">
        <v>152</v>
      </c>
      <c r="BD145" s="24" t="s">
        <v>152</v>
      </c>
      <c r="BE145" s="29" t="s">
        <v>152</v>
      </c>
      <c r="BF145" s="24" t="s">
        <v>152</v>
      </c>
      <c r="BG145" s="29" t="s">
        <v>152</v>
      </c>
      <c r="BH145" s="26">
        <f t="shared" si="86"/>
        <v>0</v>
      </c>
      <c r="BI145" s="26">
        <f t="shared" si="87"/>
        <v>0</v>
      </c>
      <c r="BJ145" s="26">
        <f t="shared" si="88"/>
        <v>0</v>
      </c>
      <c r="BK145" s="26">
        <f t="shared" si="89"/>
        <v>0</v>
      </c>
      <c r="BL145" s="34">
        <f t="shared" si="92"/>
        <v>0</v>
      </c>
      <c r="BM145" s="35">
        <f t="shared" si="91"/>
        <v>0</v>
      </c>
    </row>
    <row r="146" spans="1:65" x14ac:dyDescent="0.35">
      <c r="A146" s="18">
        <v>145</v>
      </c>
      <c r="B146" t="s">
        <v>376</v>
      </c>
      <c r="C146" s="3" t="s">
        <v>85</v>
      </c>
      <c r="D146" s="17" t="s">
        <v>7</v>
      </c>
      <c r="E146" s="17" t="s">
        <v>13</v>
      </c>
      <c r="F146" s="2">
        <v>0</v>
      </c>
      <c r="G146" s="2">
        <v>0</v>
      </c>
      <c r="H146" s="2">
        <v>1</v>
      </c>
      <c r="I146" s="18">
        <v>2018</v>
      </c>
      <c r="J146" s="2">
        <v>0</v>
      </c>
      <c r="K146" s="2" t="s">
        <v>152</v>
      </c>
      <c r="L146" s="4">
        <v>76331518668.577118</v>
      </c>
      <c r="M146" s="2">
        <v>3</v>
      </c>
      <c r="N146" s="4">
        <v>1030000000</v>
      </c>
      <c r="O146" s="2">
        <v>9</v>
      </c>
      <c r="P146" s="4">
        <v>5590000000</v>
      </c>
      <c r="Q146" s="2">
        <v>12</v>
      </c>
      <c r="R146" s="4">
        <v>6620000000</v>
      </c>
      <c r="S146" s="5">
        <f t="shared" si="70"/>
        <v>1.3493770567727655E-2</v>
      </c>
      <c r="T146" s="5">
        <f t="shared" si="71"/>
        <v>7.3233182013201545E-2</v>
      </c>
      <c r="U146" s="5">
        <f t="shared" si="72"/>
        <v>8.6726952580929204E-2</v>
      </c>
      <c r="V146" s="26">
        <f t="shared" si="73"/>
        <v>7.6715103937793731E-4</v>
      </c>
      <c r="W146" s="26">
        <f t="shared" si="74"/>
        <v>7.030208516739191E-3</v>
      </c>
      <c r="X146" s="26">
        <f t="shared" si="75"/>
        <v>3.0893724653845616E-3</v>
      </c>
      <c r="Y146" s="26">
        <f t="shared" si="76"/>
        <v>389411764.70588237</v>
      </c>
      <c r="Z146" s="26">
        <f t="shared" si="77"/>
        <v>5.1015854459370126E-3</v>
      </c>
      <c r="AA146" s="2">
        <v>1</v>
      </c>
      <c r="AB146" s="11">
        <v>3</v>
      </c>
      <c r="AC146" s="27">
        <v>477100000</v>
      </c>
      <c r="AD146" s="11">
        <v>1</v>
      </c>
      <c r="AE146" s="27">
        <v>46000000</v>
      </c>
      <c r="AF146" s="2">
        <v>0</v>
      </c>
      <c r="AG146" s="4">
        <v>0</v>
      </c>
      <c r="AH146" s="28">
        <f t="shared" si="78"/>
        <v>4</v>
      </c>
      <c r="AI146" s="4">
        <f t="shared" si="98"/>
        <v>523100000</v>
      </c>
      <c r="AJ146" s="26">
        <f t="shared" si="90"/>
        <v>6.8530013436682883E-3</v>
      </c>
      <c r="AK146" s="26">
        <f t="shared" si="79"/>
        <v>1.3123356287708325E-2</v>
      </c>
      <c r="AL146" s="14">
        <v>3020370000</v>
      </c>
      <c r="AM146" s="14">
        <v>19460465000</v>
      </c>
      <c r="AN146" s="12">
        <f t="shared" si="80"/>
        <v>16440095000</v>
      </c>
      <c r="AO146" s="12">
        <f t="shared" si="81"/>
        <v>22480835000</v>
      </c>
      <c r="AP146" s="8">
        <v>31690640000</v>
      </c>
      <c r="AQ146" s="8">
        <v>42022781000</v>
      </c>
      <c r="AR146" s="13">
        <f t="shared" si="82"/>
        <v>10332141000</v>
      </c>
      <c r="AS146" s="13">
        <f t="shared" si="83"/>
        <v>73713421000</v>
      </c>
      <c r="AT146" s="5">
        <f t="shared" si="94"/>
        <v>9.5307952127189607E-2</v>
      </c>
      <c r="AU146" s="5">
        <f t="shared" si="95"/>
        <v>0.46309322079374043</v>
      </c>
      <c r="AV146" s="5">
        <f t="shared" si="84"/>
        <v>1.2683511648499167E-2</v>
      </c>
      <c r="AW146" s="5">
        <f t="shared" si="85"/>
        <v>2.031116064702097E-2</v>
      </c>
      <c r="AX146" s="5">
        <f t="shared" si="96"/>
        <v>0.30497614538877527</v>
      </c>
      <c r="AY146" s="10">
        <f t="shared" si="97"/>
        <v>0.29451575695237064</v>
      </c>
      <c r="AZ146" s="24">
        <v>10</v>
      </c>
      <c r="BA146" s="19">
        <v>5408010964.3148966</v>
      </c>
      <c r="BB146" s="17">
        <v>0</v>
      </c>
      <c r="BC146" s="19">
        <v>0</v>
      </c>
      <c r="BD146" s="17">
        <v>10</v>
      </c>
      <c r="BE146" s="19">
        <v>5408010964.3148966</v>
      </c>
      <c r="BF146" s="17">
        <v>0</v>
      </c>
      <c r="BG146" s="19">
        <v>0</v>
      </c>
      <c r="BH146" s="26">
        <f t="shared" si="86"/>
        <v>7.0848989495360004E-2</v>
      </c>
      <c r="BI146" s="26">
        <f t="shared" si="87"/>
        <v>0</v>
      </c>
      <c r="BJ146" s="26">
        <f t="shared" si="88"/>
        <v>7.0848989495360004E-2</v>
      </c>
      <c r="BK146" s="26">
        <f t="shared" si="89"/>
        <v>0</v>
      </c>
      <c r="BL146" s="34">
        <f t="shared" si="92"/>
        <v>318118292.01852334</v>
      </c>
      <c r="BM146" s="35">
        <f t="shared" si="91"/>
        <v>4.1675876173741183E-3</v>
      </c>
    </row>
    <row r="147" spans="1:65" x14ac:dyDescent="0.35">
      <c r="A147" s="18">
        <v>146</v>
      </c>
      <c r="B147" t="s">
        <v>377</v>
      </c>
      <c r="C147" s="3" t="s">
        <v>86</v>
      </c>
      <c r="D147" s="17" t="s">
        <v>1</v>
      </c>
      <c r="E147" s="17" t="s">
        <v>10</v>
      </c>
      <c r="F147" s="2">
        <v>4</v>
      </c>
      <c r="G147" s="2">
        <v>1</v>
      </c>
      <c r="H147" s="2">
        <v>1</v>
      </c>
      <c r="I147" s="2">
        <v>2013</v>
      </c>
      <c r="J147" s="2">
        <v>0</v>
      </c>
      <c r="K147" s="2" t="s">
        <v>152</v>
      </c>
      <c r="L147" s="4">
        <v>278221906022.84106</v>
      </c>
      <c r="M147" s="2">
        <v>29</v>
      </c>
      <c r="N147" s="4">
        <v>12980000000</v>
      </c>
      <c r="O147" s="2">
        <v>70</v>
      </c>
      <c r="P147" s="4">
        <v>51990000000</v>
      </c>
      <c r="Q147" s="2">
        <v>99</v>
      </c>
      <c r="R147" s="4">
        <v>64970000000</v>
      </c>
      <c r="S147" s="5">
        <f t="shared" si="70"/>
        <v>4.6653407654156417E-2</v>
      </c>
      <c r="T147" s="5">
        <f t="shared" si="71"/>
        <v>0.18686522834665578</v>
      </c>
      <c r="U147" s="5">
        <f t="shared" si="72"/>
        <v>0.23351863600081219</v>
      </c>
      <c r="V147" s="26">
        <f t="shared" si="73"/>
        <v>9.6675927098307055E-3</v>
      </c>
      <c r="W147" s="26">
        <f t="shared" si="74"/>
        <v>6.5384712126166464E-2</v>
      </c>
      <c r="X147" s="26">
        <f t="shared" si="75"/>
        <v>3.0319717383086853E-2</v>
      </c>
      <c r="Y147" s="26">
        <f t="shared" si="76"/>
        <v>3821764705.8823528</v>
      </c>
      <c r="Z147" s="26">
        <f t="shared" si="77"/>
        <v>1.3736390352988952E-2</v>
      </c>
      <c r="AA147" s="2">
        <v>1</v>
      </c>
      <c r="AB147" s="11">
        <v>7</v>
      </c>
      <c r="AC147" s="27">
        <v>1511810000</v>
      </c>
      <c r="AD147" s="11">
        <v>4</v>
      </c>
      <c r="AE147" s="27">
        <v>996000000</v>
      </c>
      <c r="AF147" s="2">
        <v>0</v>
      </c>
      <c r="AG147" s="4">
        <v>0</v>
      </c>
      <c r="AH147" s="28">
        <f t="shared" si="78"/>
        <v>11</v>
      </c>
      <c r="AI147" s="4">
        <f t="shared" si="98"/>
        <v>2507810000</v>
      </c>
      <c r="AJ147" s="26">
        <f t="shared" si="90"/>
        <v>9.0137043335261936E-3</v>
      </c>
      <c r="AK147" s="26">
        <f t="shared" si="79"/>
        <v>6.2915091056925665E-2</v>
      </c>
      <c r="AL147" s="4">
        <v>12423997000</v>
      </c>
      <c r="AM147" s="4">
        <v>2042893000</v>
      </c>
      <c r="AN147" s="12">
        <f t="shared" si="80"/>
        <v>-10381104000</v>
      </c>
      <c r="AO147" s="12">
        <f t="shared" si="81"/>
        <v>14466890000</v>
      </c>
      <c r="AP147" s="8">
        <v>50134812000</v>
      </c>
      <c r="AQ147" s="8">
        <v>23818817000</v>
      </c>
      <c r="AR147" s="13">
        <f t="shared" si="82"/>
        <v>-26315995000</v>
      </c>
      <c r="AS147" s="13">
        <f t="shared" si="83"/>
        <v>73953629000</v>
      </c>
      <c r="AT147" s="5">
        <f t="shared" si="94"/>
        <v>0.24781177996638343</v>
      </c>
      <c r="AU147" s="5">
        <f t="shared" si="95"/>
        <v>8.5768029537319171E-2</v>
      </c>
      <c r="AV147" s="5">
        <f t="shared" si="84"/>
        <v>2.0065403286185314E-2</v>
      </c>
      <c r="AW147" s="5">
        <f t="shared" si="85"/>
        <v>1.1512513141597985E-2</v>
      </c>
      <c r="AX147" s="5">
        <f t="shared" si="96"/>
        <v>0.19562109656579529</v>
      </c>
      <c r="AY147" s="10">
        <f t="shared" si="97"/>
        <v>5.1997666922791903E-2</v>
      </c>
      <c r="AZ147" s="24">
        <v>280</v>
      </c>
      <c r="BA147" s="19">
        <v>46113985133.683899</v>
      </c>
      <c r="BB147" s="17">
        <v>169</v>
      </c>
      <c r="BC147" s="19">
        <v>6115792498.4730616</v>
      </c>
      <c r="BD147" s="17">
        <v>85</v>
      </c>
      <c r="BE147" s="19">
        <v>36075387988.240799</v>
      </c>
      <c r="BF147" s="17">
        <v>26</v>
      </c>
      <c r="BG147" s="19">
        <v>3922804646.9700336</v>
      </c>
      <c r="BH147" s="26">
        <f t="shared" si="86"/>
        <v>0.16574534260396484</v>
      </c>
      <c r="BI147" s="26">
        <f t="shared" si="87"/>
        <v>2.1981707285015063E-2</v>
      </c>
      <c r="BJ147" s="26">
        <f t="shared" si="88"/>
        <v>0.12966408182567454</v>
      </c>
      <c r="BK147" s="26">
        <f t="shared" si="89"/>
        <v>1.4099553493275201E-2</v>
      </c>
      <c r="BL147" s="34">
        <f t="shared" si="92"/>
        <v>2712587360.8049355</v>
      </c>
      <c r="BM147" s="35">
        <f t="shared" si="91"/>
        <v>9.7497260355273434E-3</v>
      </c>
    </row>
    <row r="148" spans="1:65" x14ac:dyDescent="0.35">
      <c r="A148" s="18">
        <v>147</v>
      </c>
      <c r="B148" t="s">
        <v>378</v>
      </c>
      <c r="C148" s="3" t="s">
        <v>203</v>
      </c>
      <c r="D148" s="17" t="s">
        <v>23</v>
      </c>
      <c r="E148" s="17" t="s">
        <v>13</v>
      </c>
      <c r="F148" s="2">
        <v>0</v>
      </c>
      <c r="G148" s="2">
        <v>0</v>
      </c>
      <c r="H148" s="2">
        <v>0</v>
      </c>
      <c r="I148" s="3" t="s">
        <v>152</v>
      </c>
      <c r="J148" s="2">
        <v>2</v>
      </c>
      <c r="K148" s="2" t="s">
        <v>152</v>
      </c>
      <c r="L148" s="4">
        <v>268354900</v>
      </c>
      <c r="M148" s="2">
        <v>0</v>
      </c>
      <c r="N148" s="4">
        <v>0</v>
      </c>
      <c r="O148" s="2">
        <v>0</v>
      </c>
      <c r="P148" s="4">
        <v>0</v>
      </c>
      <c r="Q148" s="2">
        <v>0</v>
      </c>
      <c r="R148" s="4">
        <v>0</v>
      </c>
      <c r="S148" s="5">
        <f t="shared" si="70"/>
        <v>0</v>
      </c>
      <c r="T148" s="15">
        <f t="shared" si="71"/>
        <v>0</v>
      </c>
      <c r="U148" s="5">
        <f t="shared" si="72"/>
        <v>0</v>
      </c>
      <c r="V148" s="26">
        <f t="shared" si="73"/>
        <v>0</v>
      </c>
      <c r="W148" s="26">
        <f t="shared" si="74"/>
        <v>0</v>
      </c>
      <c r="X148" s="26">
        <f t="shared" si="75"/>
        <v>0</v>
      </c>
      <c r="Y148" s="26">
        <f t="shared" si="76"/>
        <v>0</v>
      </c>
      <c r="Z148" s="26">
        <f t="shared" si="77"/>
        <v>0</v>
      </c>
      <c r="AA148" s="2">
        <v>0</v>
      </c>
      <c r="AB148" s="18" t="s">
        <v>152</v>
      </c>
      <c r="AC148" s="4" t="s">
        <v>152</v>
      </c>
      <c r="AD148" s="2" t="s">
        <v>152</v>
      </c>
      <c r="AE148" s="4" t="s">
        <v>152</v>
      </c>
      <c r="AF148" s="2" t="s">
        <v>152</v>
      </c>
      <c r="AG148" s="4" t="s">
        <v>152</v>
      </c>
      <c r="AH148" s="28">
        <f t="shared" si="78"/>
        <v>0</v>
      </c>
      <c r="AI148" s="4" t="str">
        <f t="shared" si="98"/>
        <v>na</v>
      </c>
      <c r="AJ148" s="26" t="str">
        <f t="shared" si="90"/>
        <v>na</v>
      </c>
      <c r="AK148" s="26" t="str">
        <f t="shared" si="79"/>
        <v>na</v>
      </c>
      <c r="AL148" s="14">
        <v>18675000</v>
      </c>
      <c r="AM148" s="14">
        <v>59000</v>
      </c>
      <c r="AN148" s="12">
        <f t="shared" si="80"/>
        <v>-18616000</v>
      </c>
      <c r="AO148" s="12">
        <f t="shared" si="81"/>
        <v>18734000</v>
      </c>
      <c r="AP148" s="8">
        <v>110948000</v>
      </c>
      <c r="AQ148" s="8">
        <v>22999000</v>
      </c>
      <c r="AR148" s="13">
        <f t="shared" si="82"/>
        <v>-87949000</v>
      </c>
      <c r="AS148" s="13">
        <f t="shared" si="83"/>
        <v>133947000</v>
      </c>
      <c r="AT148" s="5">
        <f t="shared" si="94"/>
        <v>0.16832209683815841</v>
      </c>
      <c r="AU148" s="5">
        <f t="shared" si="95"/>
        <v>2.5653289273446672E-3</v>
      </c>
      <c r="AV148" s="5">
        <f t="shared" si="84"/>
        <v>4.4404601812323307E-5</v>
      </c>
      <c r="AW148" s="5">
        <f t="shared" si="85"/>
        <v>1.1116265335243645E-5</v>
      </c>
      <c r="AX148" s="5">
        <f t="shared" si="96"/>
        <v>0.13986128842004675</v>
      </c>
      <c r="AY148" s="10">
        <f t="shared" si="97"/>
        <v>6.9810538208916625E-2</v>
      </c>
      <c r="AZ148" s="24">
        <v>1</v>
      </c>
      <c r="BA148" s="19">
        <v>52148600.5662295</v>
      </c>
      <c r="BB148" s="17">
        <v>0</v>
      </c>
      <c r="BC148" s="19">
        <v>0</v>
      </c>
      <c r="BD148" s="17">
        <v>1</v>
      </c>
      <c r="BE148" s="19">
        <v>52148600.5662295</v>
      </c>
      <c r="BF148" s="17">
        <v>0</v>
      </c>
      <c r="BG148" s="19">
        <v>0</v>
      </c>
      <c r="BH148" s="26">
        <f t="shared" si="86"/>
        <v>0.194326992226449</v>
      </c>
      <c r="BI148" s="26">
        <f t="shared" si="87"/>
        <v>0</v>
      </c>
      <c r="BJ148" s="26">
        <f t="shared" si="88"/>
        <v>0.194326992226449</v>
      </c>
      <c r="BK148" s="26">
        <f t="shared" si="89"/>
        <v>0</v>
      </c>
      <c r="BL148" s="34">
        <f t="shared" si="92"/>
        <v>3067564.7391899708</v>
      </c>
      <c r="BM148" s="35">
        <f t="shared" si="91"/>
        <v>1.1430999542732296E-2</v>
      </c>
    </row>
    <row r="149" spans="1:65" x14ac:dyDescent="0.35">
      <c r="A149" s="18">
        <v>148</v>
      </c>
      <c r="B149" t="s">
        <v>379</v>
      </c>
      <c r="C149" s="3" t="s">
        <v>184</v>
      </c>
      <c r="D149" s="17" t="s">
        <v>7</v>
      </c>
      <c r="E149" s="17" t="s">
        <v>10</v>
      </c>
      <c r="F149" s="2">
        <v>0</v>
      </c>
      <c r="G149" s="2">
        <v>0</v>
      </c>
      <c r="H149" s="2">
        <v>0</v>
      </c>
      <c r="I149" s="3" t="s">
        <v>152</v>
      </c>
      <c r="J149" s="2">
        <v>0</v>
      </c>
      <c r="K149" s="2" t="s">
        <v>152</v>
      </c>
      <c r="L149" s="4" t="s">
        <v>152</v>
      </c>
      <c r="M149" s="2">
        <v>0</v>
      </c>
      <c r="N149" s="4">
        <v>0</v>
      </c>
      <c r="O149" s="2">
        <v>0</v>
      </c>
      <c r="P149" s="4">
        <v>0</v>
      </c>
      <c r="Q149" s="2">
        <v>0</v>
      </c>
      <c r="R149" s="4">
        <v>0</v>
      </c>
      <c r="S149" s="5">
        <f t="shared" si="70"/>
        <v>0</v>
      </c>
      <c r="T149" s="15">
        <f t="shared" si="71"/>
        <v>0</v>
      </c>
      <c r="U149" s="5">
        <f t="shared" si="72"/>
        <v>0</v>
      </c>
      <c r="V149" s="26">
        <f t="shared" si="73"/>
        <v>0</v>
      </c>
      <c r="W149" s="26">
        <f t="shared" si="74"/>
        <v>0</v>
      </c>
      <c r="X149" s="26">
        <f t="shared" si="75"/>
        <v>0</v>
      </c>
      <c r="Y149" s="26">
        <f t="shared" si="76"/>
        <v>0</v>
      </c>
      <c r="Z149" s="26">
        <f t="shared" si="77"/>
        <v>0</v>
      </c>
      <c r="AA149" s="2">
        <v>0</v>
      </c>
      <c r="AB149" s="18" t="s">
        <v>152</v>
      </c>
      <c r="AC149" s="4" t="s">
        <v>152</v>
      </c>
      <c r="AD149" s="18" t="s">
        <v>152</v>
      </c>
      <c r="AE149" s="4" t="s">
        <v>152</v>
      </c>
      <c r="AF149" s="2" t="s">
        <v>152</v>
      </c>
      <c r="AG149" s="4" t="s">
        <v>152</v>
      </c>
      <c r="AH149" s="28">
        <f t="shared" si="78"/>
        <v>0</v>
      </c>
      <c r="AI149" s="4" t="str">
        <f t="shared" si="98"/>
        <v>na</v>
      </c>
      <c r="AJ149" s="26" t="str">
        <f t="shared" si="90"/>
        <v>na</v>
      </c>
      <c r="AK149" s="26" t="str">
        <f t="shared" si="79"/>
        <v>na</v>
      </c>
      <c r="AL149" s="4">
        <v>447273</v>
      </c>
      <c r="AM149" s="4">
        <v>197</v>
      </c>
      <c r="AN149" s="12">
        <f t="shared" si="80"/>
        <v>-447076</v>
      </c>
      <c r="AO149" s="12">
        <f t="shared" si="81"/>
        <v>447470</v>
      </c>
      <c r="AP149" s="8">
        <v>6613454000</v>
      </c>
      <c r="AQ149" s="8">
        <v>1103808000</v>
      </c>
      <c r="AR149" s="13">
        <f t="shared" si="82"/>
        <v>-5509646000</v>
      </c>
      <c r="AS149" s="13">
        <f t="shared" si="83"/>
        <v>7717262000</v>
      </c>
      <c r="AT149" s="5">
        <f t="shared" si="94"/>
        <v>6.763077205950174E-5</v>
      </c>
      <c r="AU149" s="5">
        <f t="shared" si="95"/>
        <v>1.7847306777990375E-7</v>
      </c>
      <c r="AV149" s="5">
        <f t="shared" si="84"/>
        <v>2.6468957662519089E-3</v>
      </c>
      <c r="AW149" s="5">
        <f t="shared" si="85"/>
        <v>5.3351113557826939E-4</v>
      </c>
      <c r="AX149" s="5">
        <f t="shared" si="96"/>
        <v>5.7982999670090246E-5</v>
      </c>
      <c r="AY149" s="10" t="str">
        <f t="shared" si="97"/>
        <v>na</v>
      </c>
      <c r="AZ149" s="24">
        <v>30</v>
      </c>
      <c r="BA149" s="19">
        <v>104933428.34413904</v>
      </c>
      <c r="BB149" s="17">
        <v>28</v>
      </c>
      <c r="BC149" s="19">
        <v>97805103.913600281</v>
      </c>
      <c r="BD149" s="17">
        <v>1</v>
      </c>
      <c r="BE149" s="19">
        <v>0</v>
      </c>
      <c r="BF149" s="17">
        <v>1</v>
      </c>
      <c r="BG149" s="19">
        <v>7128324.4305387596</v>
      </c>
      <c r="BH149" s="26">
        <f t="shared" si="86"/>
        <v>0</v>
      </c>
      <c r="BI149" s="26">
        <f t="shared" si="87"/>
        <v>0</v>
      </c>
      <c r="BJ149" s="26">
        <f t="shared" si="88"/>
        <v>0</v>
      </c>
      <c r="BK149" s="26">
        <f t="shared" si="89"/>
        <v>0</v>
      </c>
      <c r="BL149" s="34">
        <f t="shared" si="92"/>
        <v>6172554.6084787669</v>
      </c>
      <c r="BM149" s="35">
        <f t="shared" si="91"/>
        <v>0</v>
      </c>
    </row>
    <row r="150" spans="1:65" x14ac:dyDescent="0.35">
      <c r="A150" s="18">
        <v>149</v>
      </c>
      <c r="B150" t="s">
        <v>380</v>
      </c>
      <c r="C150" s="3" t="s">
        <v>87</v>
      </c>
      <c r="D150" s="17" t="s">
        <v>12</v>
      </c>
      <c r="E150" s="17" t="s">
        <v>5</v>
      </c>
      <c r="F150" s="2">
        <v>0</v>
      </c>
      <c r="G150" s="2">
        <v>0</v>
      </c>
      <c r="H150" s="2">
        <v>1</v>
      </c>
      <c r="I150" s="18">
        <v>2017</v>
      </c>
      <c r="J150" s="2">
        <v>1</v>
      </c>
      <c r="K150" s="2">
        <v>2017</v>
      </c>
      <c r="L150" s="4">
        <v>66787899999.999992</v>
      </c>
      <c r="M150" s="2">
        <v>0</v>
      </c>
      <c r="N150" s="4">
        <v>0</v>
      </c>
      <c r="O150" s="2">
        <v>7</v>
      </c>
      <c r="P150" s="4">
        <v>2390000000</v>
      </c>
      <c r="Q150" s="2">
        <v>7</v>
      </c>
      <c r="R150" s="4">
        <v>2390000000</v>
      </c>
      <c r="S150" s="5">
        <f t="shared" si="70"/>
        <v>0</v>
      </c>
      <c r="T150" s="5">
        <f t="shared" si="71"/>
        <v>3.5784925113680775E-2</v>
      </c>
      <c r="U150" s="5">
        <f t="shared" si="72"/>
        <v>3.5784925113680775E-2</v>
      </c>
      <c r="V150" s="26">
        <f t="shared" si="73"/>
        <v>0</v>
      </c>
      <c r="W150" s="26">
        <f t="shared" si="74"/>
        <v>3.0057599919511031E-3</v>
      </c>
      <c r="X150" s="26">
        <f t="shared" si="75"/>
        <v>1.1153474610678402E-3</v>
      </c>
      <c r="Y150" s="26">
        <f t="shared" si="76"/>
        <v>140588235.29411766</v>
      </c>
      <c r="Z150" s="26">
        <f t="shared" si="77"/>
        <v>2.1049955949223988E-3</v>
      </c>
      <c r="AA150" s="2">
        <v>0</v>
      </c>
      <c r="AB150" s="18" t="s">
        <v>152</v>
      </c>
      <c r="AC150" s="4" t="s">
        <v>152</v>
      </c>
      <c r="AD150" s="18" t="s">
        <v>152</v>
      </c>
      <c r="AE150" s="4" t="s">
        <v>152</v>
      </c>
      <c r="AF150" s="2" t="s">
        <v>152</v>
      </c>
      <c r="AG150" s="4" t="s">
        <v>152</v>
      </c>
      <c r="AH150" s="28">
        <f t="shared" si="78"/>
        <v>0</v>
      </c>
      <c r="AI150" s="4" t="str">
        <f t="shared" si="98"/>
        <v>na</v>
      </c>
      <c r="AJ150" s="26" t="str">
        <f t="shared" si="90"/>
        <v>na</v>
      </c>
      <c r="AK150" s="26" t="str">
        <f t="shared" si="79"/>
        <v>na</v>
      </c>
      <c r="AL150" s="4">
        <v>4634116000</v>
      </c>
      <c r="AM150" s="4">
        <v>534157000</v>
      </c>
      <c r="AN150" s="12">
        <f t="shared" si="80"/>
        <v>-4099959000</v>
      </c>
      <c r="AO150" s="12">
        <f t="shared" si="81"/>
        <v>5168273000</v>
      </c>
      <c r="AP150" s="8">
        <v>21490941000</v>
      </c>
      <c r="AQ150" s="8">
        <v>11473935000</v>
      </c>
      <c r="AR150" s="13">
        <f t="shared" si="82"/>
        <v>-10017006000</v>
      </c>
      <c r="AS150" s="13">
        <f t="shared" si="83"/>
        <v>32964876000</v>
      </c>
      <c r="AT150" s="5">
        <f t="shared" si="94"/>
        <v>0.21563113499776487</v>
      </c>
      <c r="AU150" s="5">
        <f t="shared" si="95"/>
        <v>4.6553950323058306E-2</v>
      </c>
      <c r="AV150" s="5">
        <f t="shared" si="84"/>
        <v>8.6012968028007109E-3</v>
      </c>
      <c r="AW150" s="5">
        <f t="shared" si="85"/>
        <v>5.5457761598042875E-3</v>
      </c>
      <c r="AX150" s="5">
        <f t="shared" si="96"/>
        <v>0.15678120554738323</v>
      </c>
      <c r="AY150" s="10">
        <f t="shared" si="97"/>
        <v>7.7383373335589242E-2</v>
      </c>
      <c r="AZ150" s="24">
        <v>8</v>
      </c>
      <c r="BA150" s="19">
        <v>97687391.995888039</v>
      </c>
      <c r="BB150" s="17">
        <v>3</v>
      </c>
      <c r="BC150" s="19">
        <v>14798489.4873379</v>
      </c>
      <c r="BD150" s="17">
        <v>2</v>
      </c>
      <c r="BE150" s="19">
        <v>0</v>
      </c>
      <c r="BF150" s="17">
        <v>3</v>
      </c>
      <c r="BG150" s="19">
        <v>82888902.508550152</v>
      </c>
      <c r="BH150" s="26">
        <f t="shared" si="86"/>
        <v>1.4626510490057039E-3</v>
      </c>
      <c r="BI150" s="26">
        <f t="shared" si="87"/>
        <v>2.2157440924685314E-4</v>
      </c>
      <c r="BJ150" s="26">
        <f t="shared" si="88"/>
        <v>0</v>
      </c>
      <c r="BK150" s="26">
        <f t="shared" si="89"/>
        <v>1.241076639758851E-3</v>
      </c>
      <c r="BL150" s="34">
        <f t="shared" si="92"/>
        <v>5746317.1762287086</v>
      </c>
      <c r="BM150" s="35">
        <f t="shared" si="91"/>
        <v>8.6038297000335531E-5</v>
      </c>
    </row>
    <row r="151" spans="1:65" x14ac:dyDescent="0.35">
      <c r="A151" s="18">
        <v>150</v>
      </c>
      <c r="B151" t="s">
        <v>381</v>
      </c>
      <c r="C151" s="3" t="s">
        <v>88</v>
      </c>
      <c r="D151" s="17" t="s">
        <v>23</v>
      </c>
      <c r="E151" s="17" t="s">
        <v>10</v>
      </c>
      <c r="F151" s="2">
        <v>0</v>
      </c>
      <c r="G151" s="2">
        <v>0</v>
      </c>
      <c r="H151" s="2">
        <v>1</v>
      </c>
      <c r="I151" s="18">
        <v>2016</v>
      </c>
      <c r="J151" s="2">
        <v>0</v>
      </c>
      <c r="K151" s="2" t="s">
        <v>152</v>
      </c>
      <c r="L151" s="4">
        <v>24829107011.07011</v>
      </c>
      <c r="M151" s="2">
        <v>5</v>
      </c>
      <c r="N151" s="4">
        <v>2290000000</v>
      </c>
      <c r="O151" s="2">
        <v>11</v>
      </c>
      <c r="P151" s="4">
        <v>3350000000</v>
      </c>
      <c r="Q151" s="2">
        <v>16</v>
      </c>
      <c r="R151" s="4">
        <v>5640000000</v>
      </c>
      <c r="S151" s="5">
        <f t="shared" si="70"/>
        <v>9.2230461569922692E-2</v>
      </c>
      <c r="T151" s="5">
        <f t="shared" si="71"/>
        <v>0.13492229094290001</v>
      </c>
      <c r="U151" s="5">
        <f t="shared" si="72"/>
        <v>0.22715275251282271</v>
      </c>
      <c r="V151" s="26">
        <f t="shared" si="73"/>
        <v>1.7056076506558025E-3</v>
      </c>
      <c r="W151" s="26">
        <f t="shared" si="74"/>
        <v>4.2130945493875291E-3</v>
      </c>
      <c r="X151" s="26">
        <f t="shared" si="75"/>
        <v>2.632033339088962E-3</v>
      </c>
      <c r="Y151" s="26">
        <f t="shared" si="76"/>
        <v>331764705.88235295</v>
      </c>
      <c r="Z151" s="26">
        <f t="shared" si="77"/>
        <v>1.3361926618401337E-2</v>
      </c>
      <c r="AA151" s="2">
        <v>3</v>
      </c>
      <c r="AB151" s="18">
        <v>0</v>
      </c>
      <c r="AC151" s="4">
        <v>0</v>
      </c>
      <c r="AD151" s="18">
        <v>0</v>
      </c>
      <c r="AE151" s="4">
        <v>0</v>
      </c>
      <c r="AF151" s="18">
        <v>0</v>
      </c>
      <c r="AG151" s="4">
        <v>0</v>
      </c>
      <c r="AH151" s="28">
        <f t="shared" si="78"/>
        <v>0</v>
      </c>
      <c r="AI151" s="4">
        <f t="shared" si="98"/>
        <v>0</v>
      </c>
      <c r="AJ151" s="26">
        <f t="shared" si="90"/>
        <v>0</v>
      </c>
      <c r="AK151" s="26">
        <f t="shared" si="79"/>
        <v>0</v>
      </c>
      <c r="AL151" s="14">
        <v>801931000</v>
      </c>
      <c r="AM151" s="14">
        <v>3064927000</v>
      </c>
      <c r="AN151" s="12">
        <f t="shared" si="80"/>
        <v>2262996000</v>
      </c>
      <c r="AO151" s="12">
        <f t="shared" si="81"/>
        <v>3866858000</v>
      </c>
      <c r="AP151" s="8">
        <v>4289754000</v>
      </c>
      <c r="AQ151" s="8">
        <v>11801523000</v>
      </c>
      <c r="AR151" s="13">
        <f t="shared" si="82"/>
        <v>7511769000</v>
      </c>
      <c r="AS151" s="13">
        <f t="shared" si="83"/>
        <v>16091277000</v>
      </c>
      <c r="AT151" s="5">
        <f t="shared" si="94"/>
        <v>0.18694102272531246</v>
      </c>
      <c r="AU151" s="5">
        <f t="shared" si="95"/>
        <v>0.25970605658269702</v>
      </c>
      <c r="AV151" s="5">
        <f t="shared" si="84"/>
        <v>1.7168837495296998E-3</v>
      </c>
      <c r="AW151" s="5">
        <f t="shared" si="85"/>
        <v>5.7041115278047118E-3</v>
      </c>
      <c r="AX151" s="5">
        <f t="shared" si="96"/>
        <v>0.24030771454621036</v>
      </c>
      <c r="AY151" s="10">
        <f t="shared" si="97"/>
        <v>0.1557389074957852</v>
      </c>
      <c r="AZ151" s="24">
        <v>145</v>
      </c>
      <c r="BA151" s="19">
        <v>10985457319.344872</v>
      </c>
      <c r="BB151" s="17">
        <v>124</v>
      </c>
      <c r="BC151" s="19">
        <v>1238557865.0704238</v>
      </c>
      <c r="BD151" s="17">
        <v>16</v>
      </c>
      <c r="BE151" s="19">
        <v>5311957729.7807856</v>
      </c>
      <c r="BF151" s="17">
        <v>5</v>
      </c>
      <c r="BG151" s="19">
        <v>4434941724.4936609</v>
      </c>
      <c r="BH151" s="26">
        <f t="shared" si="86"/>
        <v>0.44244270703924155</v>
      </c>
      <c r="BI151" s="26">
        <f t="shared" si="87"/>
        <v>4.9883302871835469E-2</v>
      </c>
      <c r="BJ151" s="26">
        <f t="shared" si="88"/>
        <v>0.21394074814742381</v>
      </c>
      <c r="BK151" s="26">
        <f t="shared" si="89"/>
        <v>0.17861865601998222</v>
      </c>
      <c r="BL151" s="34">
        <f t="shared" si="92"/>
        <v>646203371.72616887</v>
      </c>
      <c r="BM151" s="35">
        <f t="shared" si="91"/>
        <v>2.6026041590543621E-2</v>
      </c>
    </row>
    <row r="152" spans="1:65" x14ac:dyDescent="0.35">
      <c r="A152" s="18">
        <v>151</v>
      </c>
      <c r="B152" t="s">
        <v>382</v>
      </c>
      <c r="C152" s="3" t="s">
        <v>154</v>
      </c>
      <c r="D152" s="17" t="s">
        <v>12</v>
      </c>
      <c r="E152" s="17" t="s">
        <v>5</v>
      </c>
      <c r="F152" s="2">
        <v>0</v>
      </c>
      <c r="G152" s="2">
        <v>0</v>
      </c>
      <c r="H152" s="2">
        <v>0</v>
      </c>
      <c r="I152" s="3" t="s">
        <v>152</v>
      </c>
      <c r="J152" s="2">
        <v>2</v>
      </c>
      <c r="K152" s="2" t="s">
        <v>152</v>
      </c>
      <c r="L152" s="4">
        <v>37906944074.612778</v>
      </c>
      <c r="M152" s="2">
        <v>0</v>
      </c>
      <c r="N152" s="4">
        <v>0</v>
      </c>
      <c r="O152" s="2">
        <v>0</v>
      </c>
      <c r="P152" s="4">
        <v>0</v>
      </c>
      <c r="Q152" s="2">
        <v>0</v>
      </c>
      <c r="R152" s="4">
        <v>0</v>
      </c>
      <c r="S152" s="5">
        <f t="shared" si="70"/>
        <v>0</v>
      </c>
      <c r="T152" s="15">
        <f t="shared" si="71"/>
        <v>0</v>
      </c>
      <c r="U152" s="5">
        <f t="shared" si="72"/>
        <v>0</v>
      </c>
      <c r="V152" s="26">
        <f t="shared" si="73"/>
        <v>0</v>
      </c>
      <c r="W152" s="26">
        <f t="shared" si="74"/>
        <v>0</v>
      </c>
      <c r="X152" s="26">
        <f t="shared" si="75"/>
        <v>0</v>
      </c>
      <c r="Y152" s="26">
        <f t="shared" si="76"/>
        <v>0</v>
      </c>
      <c r="Z152" s="26">
        <f t="shared" si="77"/>
        <v>0</v>
      </c>
      <c r="AA152" s="2">
        <v>0</v>
      </c>
      <c r="AB152" s="2" t="s">
        <v>152</v>
      </c>
      <c r="AC152" s="4" t="s">
        <v>152</v>
      </c>
      <c r="AD152" s="18" t="s">
        <v>152</v>
      </c>
      <c r="AE152" s="4" t="s">
        <v>152</v>
      </c>
      <c r="AF152" s="2" t="s">
        <v>152</v>
      </c>
      <c r="AG152" s="4" t="s">
        <v>152</v>
      </c>
      <c r="AH152" s="28">
        <f t="shared" si="78"/>
        <v>0</v>
      </c>
      <c r="AI152" s="4" t="str">
        <f t="shared" si="98"/>
        <v>na</v>
      </c>
      <c r="AJ152" s="26" t="str">
        <f t="shared" si="90"/>
        <v>na</v>
      </c>
      <c r="AK152" s="26" t="str">
        <f t="shared" si="79"/>
        <v>na</v>
      </c>
      <c r="AL152" s="4">
        <v>1923749000</v>
      </c>
      <c r="AM152" s="4">
        <v>10749000</v>
      </c>
      <c r="AN152" s="12">
        <f t="shared" si="80"/>
        <v>-1913000000</v>
      </c>
      <c r="AO152" s="12">
        <f t="shared" si="81"/>
        <v>1934498000</v>
      </c>
      <c r="AP152" s="8">
        <v>12187407000</v>
      </c>
      <c r="AQ152" s="8">
        <v>7652036000</v>
      </c>
      <c r="AR152" s="13">
        <f t="shared" si="82"/>
        <v>-4535371000</v>
      </c>
      <c r="AS152" s="13">
        <f t="shared" si="83"/>
        <v>19839443000</v>
      </c>
      <c r="AT152" s="5">
        <f t="shared" si="94"/>
        <v>0.15784727629101089</v>
      </c>
      <c r="AU152" s="5">
        <f t="shared" si="95"/>
        <v>1.4047241805971639E-3</v>
      </c>
      <c r="AV152" s="5">
        <f t="shared" si="84"/>
        <v>4.8777531362414984E-3</v>
      </c>
      <c r="AW152" s="5">
        <f t="shared" si="85"/>
        <v>3.6985113496602654E-3</v>
      </c>
      <c r="AX152" s="5">
        <f t="shared" si="96"/>
        <v>9.7507677004843335E-2</v>
      </c>
      <c r="AY152" s="10">
        <f t="shared" si="97"/>
        <v>5.1032813307036837E-2</v>
      </c>
      <c r="AZ152" s="24">
        <v>3</v>
      </c>
      <c r="BA152" s="19">
        <v>63904893.787608638</v>
      </c>
      <c r="BB152" s="17">
        <v>0</v>
      </c>
      <c r="BC152" s="19">
        <v>0</v>
      </c>
      <c r="BD152" s="17">
        <v>0</v>
      </c>
      <c r="BE152" s="19">
        <v>0</v>
      </c>
      <c r="BF152" s="17">
        <v>3</v>
      </c>
      <c r="BG152" s="19">
        <v>63904893.787608638</v>
      </c>
      <c r="BH152" s="26">
        <f t="shared" si="86"/>
        <v>1.6858360743040571E-3</v>
      </c>
      <c r="BI152" s="26">
        <f t="shared" si="87"/>
        <v>0</v>
      </c>
      <c r="BJ152" s="26">
        <f t="shared" si="88"/>
        <v>0</v>
      </c>
      <c r="BK152" s="26">
        <f t="shared" si="89"/>
        <v>1.6858360743040571E-3</v>
      </c>
      <c r="BL152" s="34">
        <f t="shared" si="92"/>
        <v>3759111.3992710966</v>
      </c>
      <c r="BM152" s="35">
        <f t="shared" si="91"/>
        <v>9.9166827900238645E-5</v>
      </c>
    </row>
    <row r="153" spans="1:65" x14ac:dyDescent="0.35">
      <c r="A153" s="18">
        <v>152</v>
      </c>
      <c r="B153" t="s">
        <v>383</v>
      </c>
      <c r="C153" s="3" t="s">
        <v>89</v>
      </c>
      <c r="D153" s="17" t="s">
        <v>12</v>
      </c>
      <c r="E153" s="17" t="s">
        <v>5</v>
      </c>
      <c r="F153" s="2">
        <v>3</v>
      </c>
      <c r="G153" s="2">
        <v>1</v>
      </c>
      <c r="H153" s="18">
        <v>1</v>
      </c>
      <c r="I153" s="18">
        <v>2019</v>
      </c>
      <c r="J153" s="18">
        <v>0</v>
      </c>
      <c r="K153" s="2" t="s">
        <v>152</v>
      </c>
      <c r="L153" s="4">
        <v>228470919605.66925</v>
      </c>
      <c r="M153" s="2">
        <v>8</v>
      </c>
      <c r="N153" s="4">
        <v>5790000000</v>
      </c>
      <c r="O153" s="2">
        <v>15</v>
      </c>
      <c r="P153" s="4">
        <v>21480000000</v>
      </c>
      <c r="Q153" s="2">
        <v>23</v>
      </c>
      <c r="R153" s="4">
        <v>27270000000</v>
      </c>
      <c r="S153" s="5">
        <f t="shared" si="70"/>
        <v>2.534239372780258E-2</v>
      </c>
      <c r="T153" s="5">
        <f t="shared" si="71"/>
        <v>9.4016341497961911E-2</v>
      </c>
      <c r="U153" s="5">
        <f t="shared" si="72"/>
        <v>0.11935873522576448</v>
      </c>
      <c r="V153" s="26">
        <f t="shared" si="73"/>
        <v>4.3124315708720946E-3</v>
      </c>
      <c r="W153" s="26">
        <f t="shared" si="74"/>
        <v>2.7014110722640039E-2</v>
      </c>
      <c r="X153" s="26">
        <f t="shared" si="75"/>
        <v>1.2726161198041841E-2</v>
      </c>
      <c r="Y153" s="26">
        <f t="shared" si="76"/>
        <v>1604117647.0588236</v>
      </c>
      <c r="Z153" s="26">
        <f t="shared" si="77"/>
        <v>7.0211020721037938E-3</v>
      </c>
      <c r="AA153" s="2">
        <v>3</v>
      </c>
      <c r="AB153" s="2">
        <v>0</v>
      </c>
      <c r="AC153" s="4">
        <v>0</v>
      </c>
      <c r="AD153" s="2">
        <v>0</v>
      </c>
      <c r="AE153" s="4">
        <v>0</v>
      </c>
      <c r="AF153" s="2">
        <v>0</v>
      </c>
      <c r="AG153" s="4">
        <v>0</v>
      </c>
      <c r="AH153" s="28">
        <f t="shared" si="78"/>
        <v>0</v>
      </c>
      <c r="AI153" s="4">
        <f t="shared" si="98"/>
        <v>0</v>
      </c>
      <c r="AJ153" s="26">
        <f t="shared" si="90"/>
        <v>0</v>
      </c>
      <c r="AK153" s="26">
        <f t="shared" si="79"/>
        <v>0</v>
      </c>
      <c r="AL153" s="4">
        <v>10255204000</v>
      </c>
      <c r="AM153" s="4">
        <v>13159187000</v>
      </c>
      <c r="AN153" s="12">
        <f t="shared" si="80"/>
        <v>2903983000</v>
      </c>
      <c r="AO153" s="12">
        <f t="shared" si="81"/>
        <v>23414391000</v>
      </c>
      <c r="AP153" s="8">
        <v>42364042000</v>
      </c>
      <c r="AQ153" s="8">
        <v>45135222000</v>
      </c>
      <c r="AR153" s="13">
        <f t="shared" si="82"/>
        <v>2771180000</v>
      </c>
      <c r="AS153" s="13">
        <f t="shared" si="83"/>
        <v>87499264000</v>
      </c>
      <c r="AT153" s="5">
        <f t="shared" si="94"/>
        <v>0.24207331302334181</v>
      </c>
      <c r="AU153" s="5">
        <f t="shared" si="95"/>
        <v>0.29155028859722903</v>
      </c>
      <c r="AV153" s="5">
        <f t="shared" si="84"/>
        <v>1.6955316149642543E-2</v>
      </c>
      <c r="AW153" s="5">
        <f t="shared" si="85"/>
        <v>2.1815518227624082E-2</v>
      </c>
      <c r="AX153" s="5">
        <f t="shared" si="96"/>
        <v>0.26759529085867512</v>
      </c>
      <c r="AY153" s="10">
        <f t="shared" si="97"/>
        <v>0.10248302515003752</v>
      </c>
      <c r="AZ153" s="24">
        <v>97</v>
      </c>
      <c r="BA153" s="19">
        <v>11259526051.707972</v>
      </c>
      <c r="BB153" s="17">
        <v>69</v>
      </c>
      <c r="BC153" s="19">
        <v>184206605.39112389</v>
      </c>
      <c r="BD153" s="17">
        <v>25</v>
      </c>
      <c r="BE153" s="19">
        <v>10913683461.076916</v>
      </c>
      <c r="BF153" s="17">
        <v>3</v>
      </c>
      <c r="BG153" s="19">
        <v>161635985.2399314</v>
      </c>
      <c r="BH153" s="26">
        <f t="shared" si="86"/>
        <v>4.9282097131404808E-2</v>
      </c>
      <c r="BI153" s="26">
        <f t="shared" si="87"/>
        <v>8.0625843196611795E-4</v>
      </c>
      <c r="BJ153" s="26">
        <f t="shared" si="88"/>
        <v>4.7768370171194882E-2</v>
      </c>
      <c r="BK153" s="26">
        <f t="shared" si="89"/>
        <v>7.0746852824380454E-4</v>
      </c>
      <c r="BL153" s="34">
        <f t="shared" si="92"/>
        <v>662325061.86517477</v>
      </c>
      <c r="BM153" s="35">
        <f t="shared" si="91"/>
        <v>2.898946890082636E-3</v>
      </c>
    </row>
    <row r="154" spans="1:65" x14ac:dyDescent="0.35">
      <c r="A154" s="18">
        <v>153</v>
      </c>
      <c r="B154" t="s">
        <v>384</v>
      </c>
      <c r="C154" s="3" t="s">
        <v>90</v>
      </c>
      <c r="D154" s="17" t="s">
        <v>23</v>
      </c>
      <c r="E154" s="17" t="s">
        <v>10</v>
      </c>
      <c r="F154" s="2">
        <v>0</v>
      </c>
      <c r="G154" s="2">
        <v>1</v>
      </c>
      <c r="H154" s="2">
        <v>1</v>
      </c>
      <c r="I154" s="18">
        <v>2017</v>
      </c>
      <c r="J154" s="2">
        <v>0</v>
      </c>
      <c r="K154" s="2" t="s">
        <v>152</v>
      </c>
      <c r="L154" s="4">
        <v>376823278560.84857</v>
      </c>
      <c r="M154" s="2">
        <v>6</v>
      </c>
      <c r="N154" s="4">
        <v>3820000000</v>
      </c>
      <c r="O154" s="2">
        <v>23</v>
      </c>
      <c r="P154" s="4">
        <v>13860000000</v>
      </c>
      <c r="Q154" s="2">
        <v>29</v>
      </c>
      <c r="R154" s="4">
        <v>17680000000</v>
      </c>
      <c r="S154" s="5">
        <f t="shared" si="70"/>
        <v>1.0137377962925279E-2</v>
      </c>
      <c r="T154" s="5">
        <f t="shared" si="71"/>
        <v>3.6781167163912137E-2</v>
      </c>
      <c r="U154" s="5">
        <f t="shared" si="72"/>
        <v>4.6918545126837415E-2</v>
      </c>
      <c r="V154" s="26">
        <f t="shared" si="73"/>
        <v>2.8451621072074955E-3</v>
      </c>
      <c r="W154" s="26">
        <f t="shared" si="74"/>
        <v>1.7430892672988405E-2</v>
      </c>
      <c r="X154" s="26">
        <f t="shared" si="75"/>
        <v>8.2507711764349019E-3</v>
      </c>
      <c r="Y154" s="26">
        <f t="shared" si="76"/>
        <v>1040000000</v>
      </c>
      <c r="Z154" s="26">
        <f t="shared" si="77"/>
        <v>2.7599144192257305E-3</v>
      </c>
      <c r="AA154" s="2">
        <v>1</v>
      </c>
      <c r="AB154" s="11">
        <v>3</v>
      </c>
      <c r="AC154" s="27">
        <v>1257600000</v>
      </c>
      <c r="AD154" s="2">
        <v>0</v>
      </c>
      <c r="AE154" s="4">
        <v>0</v>
      </c>
      <c r="AF154" s="2">
        <v>0</v>
      </c>
      <c r="AG154" s="4">
        <v>0</v>
      </c>
      <c r="AH154" s="28">
        <f t="shared" si="78"/>
        <v>3</v>
      </c>
      <c r="AI154" s="4">
        <f t="shared" si="98"/>
        <v>1257600000</v>
      </c>
      <c r="AJ154" s="26">
        <f t="shared" si="90"/>
        <v>3.3373734361714217E-3</v>
      </c>
      <c r="AK154" s="26">
        <f t="shared" si="79"/>
        <v>3.1550244441640202E-2</v>
      </c>
      <c r="AL154" s="4">
        <v>25749016000</v>
      </c>
      <c r="AM154" s="4">
        <v>9628984000</v>
      </c>
      <c r="AN154" s="12">
        <f t="shared" si="80"/>
        <v>-16120032000</v>
      </c>
      <c r="AO154" s="12">
        <f t="shared" si="81"/>
        <v>35378000000</v>
      </c>
      <c r="AP154" s="8">
        <v>112908749000</v>
      </c>
      <c r="AQ154" s="8">
        <v>70334023000</v>
      </c>
      <c r="AR154" s="13">
        <f t="shared" si="82"/>
        <v>-42574726000</v>
      </c>
      <c r="AS154" s="13">
        <f t="shared" si="83"/>
        <v>183242772000</v>
      </c>
      <c r="AT154" s="5">
        <f t="shared" si="94"/>
        <v>0.22805155692584991</v>
      </c>
      <c r="AU154" s="5">
        <f t="shared" si="95"/>
        <v>0.13690364334768679</v>
      </c>
      <c r="AV154" s="5">
        <f t="shared" si="84"/>
        <v>4.5189350330538246E-2</v>
      </c>
      <c r="AW154" s="5">
        <f t="shared" si="85"/>
        <v>3.3995028556160239E-2</v>
      </c>
      <c r="AX154" s="5">
        <f t="shared" si="96"/>
        <v>0.19306627821587419</v>
      </c>
      <c r="AY154" s="10">
        <f t="shared" si="97"/>
        <v>9.3884858003238356E-2</v>
      </c>
      <c r="AZ154" s="24">
        <v>92</v>
      </c>
      <c r="BA154" s="19">
        <v>31484642653.510399</v>
      </c>
      <c r="BB154" s="17">
        <v>55</v>
      </c>
      <c r="BC154" s="19">
        <v>10910181587.909098</v>
      </c>
      <c r="BD154" s="17">
        <v>32</v>
      </c>
      <c r="BE154" s="19">
        <v>17148159172.128071</v>
      </c>
      <c r="BF154" s="17">
        <v>5</v>
      </c>
      <c r="BG154" s="19">
        <v>3426301893.4732318</v>
      </c>
      <c r="BH154" s="26">
        <f t="shared" si="86"/>
        <v>8.3552806964993093E-2</v>
      </c>
      <c r="BI154" s="26">
        <f t="shared" si="87"/>
        <v>2.8953045654655188E-2</v>
      </c>
      <c r="BJ154" s="26">
        <f t="shared" si="88"/>
        <v>4.5507165156090601E-2</v>
      </c>
      <c r="BK154" s="26">
        <f t="shared" si="89"/>
        <v>9.0925961542473021E-3</v>
      </c>
      <c r="BL154" s="34">
        <f t="shared" si="92"/>
        <v>1852037803.1476705</v>
      </c>
      <c r="BM154" s="35">
        <f t="shared" si="91"/>
        <v>4.91487099794077E-3</v>
      </c>
    </row>
    <row r="155" spans="1:65" x14ac:dyDescent="0.35">
      <c r="A155" s="18">
        <v>154</v>
      </c>
      <c r="B155" t="s">
        <v>385</v>
      </c>
      <c r="C155" s="3" t="s">
        <v>91</v>
      </c>
      <c r="D155" s="17" t="s">
        <v>4</v>
      </c>
      <c r="E155" s="17" t="s">
        <v>13</v>
      </c>
      <c r="F155" s="2">
        <v>2</v>
      </c>
      <c r="G155" s="2">
        <v>0</v>
      </c>
      <c r="H155" s="2">
        <v>1</v>
      </c>
      <c r="I155" s="18">
        <v>2015</v>
      </c>
      <c r="J155" s="2">
        <v>0</v>
      </c>
      <c r="K155" s="2" t="s">
        <v>152</v>
      </c>
      <c r="L155" s="4">
        <v>595862086928.21094</v>
      </c>
      <c r="M155" s="2">
        <v>2</v>
      </c>
      <c r="N155" s="4">
        <v>660000000</v>
      </c>
      <c r="O155" s="2">
        <v>11</v>
      </c>
      <c r="P155" s="4">
        <v>2150000000</v>
      </c>
      <c r="Q155" s="2">
        <v>13</v>
      </c>
      <c r="R155" s="4">
        <v>2810000000</v>
      </c>
      <c r="S155" s="5">
        <f t="shared" si="70"/>
        <v>1.1076388554983132E-3</v>
      </c>
      <c r="T155" s="5">
        <f t="shared" si="71"/>
        <v>3.6082174838202629E-3</v>
      </c>
      <c r="U155" s="5">
        <f t="shared" si="72"/>
        <v>4.7158563393185759E-3</v>
      </c>
      <c r="V155" s="26">
        <f t="shared" si="73"/>
        <v>4.9157251066935794E-4</v>
      </c>
      <c r="W155" s="26">
        <f t="shared" si="74"/>
        <v>2.7039263525919966E-3</v>
      </c>
      <c r="X155" s="26">
        <f t="shared" si="75"/>
        <v>1.3113499437659543E-3</v>
      </c>
      <c r="Y155" s="26">
        <f t="shared" si="76"/>
        <v>165294117.64705881</v>
      </c>
      <c r="Z155" s="26">
        <f t="shared" si="77"/>
        <v>2.7740331407756329E-4</v>
      </c>
      <c r="AA155" s="2">
        <v>2</v>
      </c>
      <c r="AB155" s="2">
        <v>0</v>
      </c>
      <c r="AC155" s="4">
        <v>0</v>
      </c>
      <c r="AD155" s="2">
        <v>0</v>
      </c>
      <c r="AE155" s="4">
        <v>0</v>
      </c>
      <c r="AF155" s="2">
        <v>0</v>
      </c>
      <c r="AG155" s="4">
        <v>0</v>
      </c>
      <c r="AH155" s="28">
        <f t="shared" si="78"/>
        <v>0</v>
      </c>
      <c r="AI155" s="4">
        <f t="shared" si="98"/>
        <v>0</v>
      </c>
      <c r="AJ155" s="26">
        <f t="shared" si="90"/>
        <v>0</v>
      </c>
      <c r="AK155" s="26">
        <f t="shared" si="79"/>
        <v>0</v>
      </c>
      <c r="AL155" s="4">
        <v>30414556000</v>
      </c>
      <c r="AM155" s="4">
        <v>2701584000</v>
      </c>
      <c r="AN155" s="12">
        <f t="shared" si="80"/>
        <v>-27712972000</v>
      </c>
      <c r="AO155" s="12">
        <f t="shared" si="81"/>
        <v>33116140000</v>
      </c>
      <c r="AP155" s="8">
        <v>246653880000</v>
      </c>
      <c r="AQ155" s="8">
        <v>251864773000</v>
      </c>
      <c r="AR155" s="13">
        <f t="shared" si="82"/>
        <v>5210893000</v>
      </c>
      <c r="AS155" s="13">
        <f t="shared" si="83"/>
        <v>498518653000</v>
      </c>
      <c r="AT155" s="5">
        <f t="shared" si="94"/>
        <v>0.12330864610765499</v>
      </c>
      <c r="AU155" s="5">
        <f t="shared" si="95"/>
        <v>1.0726327337566973E-2</v>
      </c>
      <c r="AV155" s="5">
        <f t="shared" si="84"/>
        <v>9.8718024001014676E-2</v>
      </c>
      <c r="AW155" s="5">
        <f t="shared" si="85"/>
        <v>0.12173553829596546</v>
      </c>
      <c r="AX155" s="5">
        <f t="shared" si="96"/>
        <v>6.6429089063594182E-2</v>
      </c>
      <c r="AY155" s="10">
        <f t="shared" si="97"/>
        <v>5.5576853648669565E-2</v>
      </c>
      <c r="AZ155" s="24" t="s">
        <v>152</v>
      </c>
      <c r="BA155" s="29" t="s">
        <v>152</v>
      </c>
      <c r="BB155" s="24" t="s">
        <v>152</v>
      </c>
      <c r="BC155" s="29" t="s">
        <v>152</v>
      </c>
      <c r="BD155" s="24" t="s">
        <v>152</v>
      </c>
      <c r="BE155" s="29" t="s">
        <v>152</v>
      </c>
      <c r="BF155" s="24" t="s">
        <v>152</v>
      </c>
      <c r="BG155" s="29" t="s">
        <v>152</v>
      </c>
      <c r="BH155" s="26">
        <f t="shared" si="86"/>
        <v>0</v>
      </c>
      <c r="BI155" s="26">
        <f t="shared" si="87"/>
        <v>0</v>
      </c>
      <c r="BJ155" s="26">
        <f t="shared" si="88"/>
        <v>0</v>
      </c>
      <c r="BK155" s="26">
        <f t="shared" si="89"/>
        <v>0</v>
      </c>
      <c r="BL155" s="34">
        <f t="shared" si="92"/>
        <v>0</v>
      </c>
      <c r="BM155" s="35">
        <f t="shared" si="91"/>
        <v>0</v>
      </c>
    </row>
    <row r="156" spans="1:65" x14ac:dyDescent="0.35">
      <c r="A156" s="18">
        <v>155</v>
      </c>
      <c r="B156" t="s">
        <v>386</v>
      </c>
      <c r="C156" s="3" t="s">
        <v>92</v>
      </c>
      <c r="D156" s="17" t="s">
        <v>4</v>
      </c>
      <c r="E156" s="17" t="s">
        <v>13</v>
      </c>
      <c r="F156" s="2">
        <v>3</v>
      </c>
      <c r="G156" s="2">
        <v>0</v>
      </c>
      <c r="H156" s="2">
        <v>1</v>
      </c>
      <c r="I156" s="18">
        <v>2018</v>
      </c>
      <c r="J156" s="2">
        <v>0</v>
      </c>
      <c r="K156" s="2" t="s">
        <v>152</v>
      </c>
      <c r="L156" s="4">
        <v>239510770948.27414</v>
      </c>
      <c r="M156" s="2">
        <v>4</v>
      </c>
      <c r="N156" s="4">
        <v>4590000000</v>
      </c>
      <c r="O156" s="2">
        <v>8</v>
      </c>
      <c r="P156" s="4">
        <v>4630000000</v>
      </c>
      <c r="Q156" s="2">
        <v>12</v>
      </c>
      <c r="R156" s="4">
        <v>9220000000</v>
      </c>
      <c r="S156" s="5">
        <f t="shared" si="70"/>
        <v>1.9164065072427485E-2</v>
      </c>
      <c r="T156" s="5">
        <f t="shared" si="71"/>
        <v>1.9331072175455176E-2</v>
      </c>
      <c r="U156" s="5">
        <f t="shared" si="72"/>
        <v>3.8495137247882658E-2</v>
      </c>
      <c r="V156" s="26">
        <f t="shared" si="73"/>
        <v>3.4186633696550802E-3</v>
      </c>
      <c r="W156" s="26">
        <f t="shared" si="74"/>
        <v>5.8228739593027641E-3</v>
      </c>
      <c r="X156" s="26">
        <f t="shared" si="75"/>
        <v>4.3027211678014592E-3</v>
      </c>
      <c r="Y156" s="26">
        <f t="shared" si="76"/>
        <v>542352941.17647064</v>
      </c>
      <c r="Z156" s="26">
        <f t="shared" si="77"/>
        <v>2.264419838110745E-3</v>
      </c>
      <c r="AA156" s="2">
        <v>2</v>
      </c>
      <c r="AB156" s="2">
        <v>0</v>
      </c>
      <c r="AC156" s="4">
        <v>0</v>
      </c>
      <c r="AD156" s="2">
        <v>0</v>
      </c>
      <c r="AE156" s="4">
        <v>0</v>
      </c>
      <c r="AF156" s="2">
        <v>0</v>
      </c>
      <c r="AG156" s="4">
        <v>0</v>
      </c>
      <c r="AH156" s="28">
        <f t="shared" si="78"/>
        <v>0</v>
      </c>
      <c r="AI156" s="4">
        <f t="shared" si="98"/>
        <v>0</v>
      </c>
      <c r="AJ156" s="26">
        <f t="shared" si="90"/>
        <v>0</v>
      </c>
      <c r="AK156" s="26">
        <f t="shared" si="79"/>
        <v>0</v>
      </c>
      <c r="AL156" s="4">
        <v>3306270000</v>
      </c>
      <c r="AM156" s="4">
        <v>673894000</v>
      </c>
      <c r="AN156" s="12">
        <f t="shared" si="80"/>
        <v>-2632376000</v>
      </c>
      <c r="AO156" s="12">
        <f t="shared" si="81"/>
        <v>3980164000</v>
      </c>
      <c r="AP156" s="8">
        <v>89541380000</v>
      </c>
      <c r="AQ156" s="8">
        <v>67064074000</v>
      </c>
      <c r="AR156" s="13">
        <f t="shared" si="82"/>
        <v>-22477306000</v>
      </c>
      <c r="AS156" s="13">
        <f t="shared" si="83"/>
        <v>156605454000</v>
      </c>
      <c r="AT156" s="5">
        <f t="shared" si="94"/>
        <v>3.6924492340859615E-2</v>
      </c>
      <c r="AU156" s="5">
        <f t="shared" si="95"/>
        <v>1.0048509728174284E-2</v>
      </c>
      <c r="AV156" s="5">
        <f t="shared" si="84"/>
        <v>3.5837052715019017E-2</v>
      </c>
      <c r="AW156" s="5">
        <f t="shared" si="85"/>
        <v>3.2414541547302694E-2</v>
      </c>
      <c r="AX156" s="5">
        <f t="shared" si="96"/>
        <v>2.5415232345611667E-2</v>
      </c>
      <c r="AY156" s="10">
        <f t="shared" si="97"/>
        <v>1.6617891480377619E-2</v>
      </c>
      <c r="AZ156" s="24" t="s">
        <v>152</v>
      </c>
      <c r="BA156" s="29" t="s">
        <v>152</v>
      </c>
      <c r="BB156" s="24" t="s">
        <v>152</v>
      </c>
      <c r="BC156" s="29" t="s">
        <v>152</v>
      </c>
      <c r="BD156" s="24" t="s">
        <v>152</v>
      </c>
      <c r="BE156" s="29" t="s">
        <v>152</v>
      </c>
      <c r="BF156" s="24" t="s">
        <v>152</v>
      </c>
      <c r="BG156" s="29" t="s">
        <v>152</v>
      </c>
      <c r="BH156" s="26">
        <f t="shared" si="86"/>
        <v>0</v>
      </c>
      <c r="BI156" s="26">
        <f t="shared" si="87"/>
        <v>0</v>
      </c>
      <c r="BJ156" s="26">
        <f t="shared" si="88"/>
        <v>0</v>
      </c>
      <c r="BK156" s="26">
        <f t="shared" si="89"/>
        <v>0</v>
      </c>
      <c r="BL156" s="34">
        <f t="shared" si="92"/>
        <v>0</v>
      </c>
      <c r="BM156" s="35">
        <f t="shared" si="91"/>
        <v>0</v>
      </c>
    </row>
    <row r="157" spans="1:65" x14ac:dyDescent="0.35">
      <c r="A157" s="18">
        <v>156</v>
      </c>
      <c r="B157" t="s">
        <v>460</v>
      </c>
      <c r="C157" s="3" t="s">
        <v>477</v>
      </c>
      <c r="D157" s="17" t="s">
        <v>12</v>
      </c>
      <c r="E157" s="17" t="s">
        <v>13</v>
      </c>
      <c r="F157" s="2">
        <v>0</v>
      </c>
      <c r="G157" s="2">
        <v>0</v>
      </c>
      <c r="H157" s="18">
        <v>0</v>
      </c>
      <c r="I157" s="18" t="s">
        <v>152</v>
      </c>
      <c r="J157" s="18">
        <v>0</v>
      </c>
      <c r="K157" s="2" t="s">
        <v>152</v>
      </c>
      <c r="L157" s="19">
        <v>104914600000</v>
      </c>
      <c r="M157" s="2">
        <v>0</v>
      </c>
      <c r="N157" s="4">
        <v>0</v>
      </c>
      <c r="O157" s="2">
        <v>0</v>
      </c>
      <c r="P157" s="4">
        <v>0</v>
      </c>
      <c r="Q157" s="2">
        <v>0</v>
      </c>
      <c r="R157" s="4">
        <v>0</v>
      </c>
      <c r="S157" s="5">
        <f t="shared" si="70"/>
        <v>0</v>
      </c>
      <c r="T157" s="15">
        <f t="shared" si="71"/>
        <v>0</v>
      </c>
      <c r="U157" s="5">
        <f t="shared" si="72"/>
        <v>0</v>
      </c>
      <c r="V157" s="26">
        <f t="shared" si="73"/>
        <v>0</v>
      </c>
      <c r="W157" s="26">
        <f t="shared" si="74"/>
        <v>0</v>
      </c>
      <c r="X157" s="26">
        <f t="shared" si="75"/>
        <v>0</v>
      </c>
      <c r="Y157" s="26">
        <f t="shared" si="76"/>
        <v>0</v>
      </c>
      <c r="Z157" s="26">
        <f t="shared" si="77"/>
        <v>0</v>
      </c>
      <c r="AA157" s="2">
        <v>0</v>
      </c>
      <c r="AB157" s="2" t="s">
        <v>152</v>
      </c>
      <c r="AC157" s="4" t="s">
        <v>152</v>
      </c>
      <c r="AD157" s="2" t="s">
        <v>152</v>
      </c>
      <c r="AE157" s="4" t="s">
        <v>152</v>
      </c>
      <c r="AF157" s="2" t="s">
        <v>152</v>
      </c>
      <c r="AG157" s="4" t="s">
        <v>152</v>
      </c>
      <c r="AH157" s="28">
        <f t="shared" si="78"/>
        <v>0</v>
      </c>
      <c r="AI157" s="4" t="s">
        <v>152</v>
      </c>
      <c r="AJ157" s="26" t="str">
        <f t="shared" si="90"/>
        <v>na</v>
      </c>
      <c r="AK157" s="26" t="str">
        <f t="shared" si="79"/>
        <v>na</v>
      </c>
      <c r="AL157" s="18" t="s">
        <v>152</v>
      </c>
      <c r="AM157" s="18" t="s">
        <v>152</v>
      </c>
      <c r="AN157" s="12" t="str">
        <f t="shared" si="80"/>
        <v>na</v>
      </c>
      <c r="AO157" s="12" t="str">
        <f t="shared" si="81"/>
        <v>na</v>
      </c>
      <c r="AP157" s="18" t="s">
        <v>152</v>
      </c>
      <c r="AQ157" s="18" t="s">
        <v>152</v>
      </c>
      <c r="AR157" s="13" t="str">
        <f t="shared" si="82"/>
        <v>na</v>
      </c>
      <c r="AS157" s="13" t="str">
        <f t="shared" si="83"/>
        <v>na</v>
      </c>
      <c r="AT157" s="5" t="str">
        <f t="shared" si="94"/>
        <v>na</v>
      </c>
      <c r="AU157" s="5" t="str">
        <f t="shared" si="95"/>
        <v>na</v>
      </c>
      <c r="AV157" s="5" t="str">
        <f t="shared" si="84"/>
        <v>na</v>
      </c>
      <c r="AW157" s="5" t="str">
        <f t="shared" si="85"/>
        <v>na</v>
      </c>
      <c r="AX157" s="5" t="str">
        <f t="shared" si="96"/>
        <v>na</v>
      </c>
      <c r="AY157" s="10" t="str">
        <f t="shared" si="97"/>
        <v>na</v>
      </c>
      <c r="AZ157" s="24">
        <v>0</v>
      </c>
      <c r="BA157" s="4" t="s">
        <v>152</v>
      </c>
      <c r="BB157" s="18" t="s">
        <v>152</v>
      </c>
      <c r="BC157" s="4" t="s">
        <v>152</v>
      </c>
      <c r="BD157" s="18" t="s">
        <v>152</v>
      </c>
      <c r="BE157" s="4" t="s">
        <v>152</v>
      </c>
      <c r="BF157" s="18" t="s">
        <v>152</v>
      </c>
      <c r="BG157" s="4" t="s">
        <v>152</v>
      </c>
      <c r="BH157" s="26">
        <f t="shared" si="86"/>
        <v>0</v>
      </c>
      <c r="BI157" s="26">
        <f t="shared" si="87"/>
        <v>0</v>
      </c>
      <c r="BJ157" s="26">
        <f t="shared" si="88"/>
        <v>0</v>
      </c>
      <c r="BK157" s="26">
        <f t="shared" si="89"/>
        <v>0</v>
      </c>
      <c r="BL157" s="34">
        <f t="shared" si="92"/>
        <v>0</v>
      </c>
      <c r="BM157" s="35">
        <f t="shared" si="91"/>
        <v>0</v>
      </c>
    </row>
    <row r="158" spans="1:65" x14ac:dyDescent="0.35">
      <c r="A158" s="18">
        <v>157</v>
      </c>
      <c r="B158" t="s">
        <v>387</v>
      </c>
      <c r="C158" s="3" t="s">
        <v>93</v>
      </c>
      <c r="D158" s="17" t="s">
        <v>7</v>
      </c>
      <c r="E158" s="17" t="s">
        <v>13</v>
      </c>
      <c r="F158" s="2">
        <v>0</v>
      </c>
      <c r="G158" s="2">
        <v>0</v>
      </c>
      <c r="H158" s="2">
        <v>1</v>
      </c>
      <c r="I158" s="18">
        <v>2019</v>
      </c>
      <c r="J158" s="2">
        <v>0</v>
      </c>
      <c r="K158" s="2" t="s">
        <v>152</v>
      </c>
      <c r="L158" s="4">
        <v>175837550996.18515</v>
      </c>
      <c r="M158" s="2">
        <v>10</v>
      </c>
      <c r="N158" s="4">
        <v>3970000000</v>
      </c>
      <c r="O158" s="2">
        <v>10</v>
      </c>
      <c r="P158" s="4">
        <v>3830000000</v>
      </c>
      <c r="Q158" s="2">
        <v>20</v>
      </c>
      <c r="R158" s="4">
        <v>7800000000</v>
      </c>
      <c r="S158" s="5">
        <f t="shared" si="70"/>
        <v>2.2577657488451544E-2</v>
      </c>
      <c r="T158" s="5">
        <f t="shared" si="71"/>
        <v>2.1781468055609425E-2</v>
      </c>
      <c r="U158" s="5">
        <f t="shared" si="72"/>
        <v>4.4359125544060969E-2</v>
      </c>
      <c r="V158" s="26">
        <f t="shared" si="73"/>
        <v>2.9568831323596224E-3</v>
      </c>
      <c r="W158" s="26">
        <f t="shared" si="74"/>
        <v>4.8167618281057421E-3</v>
      </c>
      <c r="X158" s="26">
        <f t="shared" si="75"/>
        <v>3.6400461072506919E-3</v>
      </c>
      <c r="Y158" s="26">
        <f t="shared" si="76"/>
        <v>458823529.41176468</v>
      </c>
      <c r="Z158" s="26">
        <f t="shared" si="77"/>
        <v>2.6093603261212331E-3</v>
      </c>
      <c r="AA158" s="2">
        <v>1</v>
      </c>
      <c r="AB158" s="18">
        <v>0</v>
      </c>
      <c r="AC158" s="4">
        <v>0</v>
      </c>
      <c r="AD158" s="18">
        <v>0</v>
      </c>
      <c r="AE158" s="4">
        <v>0</v>
      </c>
      <c r="AF158" s="2">
        <v>0</v>
      </c>
      <c r="AG158" s="4">
        <v>0</v>
      </c>
      <c r="AH158" s="28">
        <f t="shared" si="78"/>
        <v>0</v>
      </c>
      <c r="AI158" s="4">
        <f t="shared" ref="AI158:AI165" si="99">IFERROR(AC158+AE158,"na")</f>
        <v>0</v>
      </c>
      <c r="AJ158" s="26">
        <f t="shared" si="90"/>
        <v>0</v>
      </c>
      <c r="AK158" s="26">
        <f t="shared" si="79"/>
        <v>0</v>
      </c>
      <c r="AL158" s="4">
        <v>3485373000</v>
      </c>
      <c r="AM158" s="4">
        <v>9018816000</v>
      </c>
      <c r="AN158" s="12">
        <f t="shared" si="80"/>
        <v>5533443000</v>
      </c>
      <c r="AO158" s="12">
        <f t="shared" si="81"/>
        <v>12504189000</v>
      </c>
      <c r="AP158" s="8">
        <v>29178065000</v>
      </c>
      <c r="AQ158" s="8">
        <v>72934956000</v>
      </c>
      <c r="AR158" s="13">
        <f t="shared" si="82"/>
        <v>43756891000</v>
      </c>
      <c r="AS158" s="13">
        <f t="shared" si="83"/>
        <v>102113021000</v>
      </c>
      <c r="AT158" s="5">
        <f t="shared" si="94"/>
        <v>0.11945182108546266</v>
      </c>
      <c r="AU158" s="5">
        <f t="shared" si="95"/>
        <v>0.12365560349415992</v>
      </c>
      <c r="AV158" s="5">
        <f t="shared" si="84"/>
        <v>1.167790638838994E-2</v>
      </c>
      <c r="AW158" s="5">
        <f t="shared" si="85"/>
        <v>3.5252155446337689E-2</v>
      </c>
      <c r="AX158" s="5">
        <f t="shared" si="96"/>
        <v>0.12245440275437547</v>
      </c>
      <c r="AY158" s="10">
        <f t="shared" si="97"/>
        <v>7.111216534329054E-2</v>
      </c>
      <c r="AZ158" s="24" t="s">
        <v>152</v>
      </c>
      <c r="BA158" s="29" t="s">
        <v>152</v>
      </c>
      <c r="BB158" s="24" t="s">
        <v>152</v>
      </c>
      <c r="BC158" s="29" t="s">
        <v>152</v>
      </c>
      <c r="BD158" s="24" t="s">
        <v>152</v>
      </c>
      <c r="BE158" s="29" t="s">
        <v>152</v>
      </c>
      <c r="BF158" s="24" t="s">
        <v>152</v>
      </c>
      <c r="BG158" s="29" t="s">
        <v>152</v>
      </c>
      <c r="BH158" s="26">
        <f t="shared" si="86"/>
        <v>0</v>
      </c>
      <c r="BI158" s="26">
        <f t="shared" si="87"/>
        <v>0</v>
      </c>
      <c r="BJ158" s="26">
        <f t="shared" si="88"/>
        <v>0</v>
      </c>
      <c r="BK158" s="26">
        <f t="shared" si="89"/>
        <v>0</v>
      </c>
      <c r="BL158" s="34">
        <f t="shared" si="92"/>
        <v>0</v>
      </c>
      <c r="BM158" s="35">
        <f t="shared" si="91"/>
        <v>0</v>
      </c>
    </row>
    <row r="159" spans="1:65" x14ac:dyDescent="0.35">
      <c r="A159" s="18">
        <v>158</v>
      </c>
      <c r="B159" t="s">
        <v>389</v>
      </c>
      <c r="C159" s="3" t="s">
        <v>94</v>
      </c>
      <c r="D159" s="17" t="s">
        <v>4</v>
      </c>
      <c r="E159" s="17" t="s">
        <v>5</v>
      </c>
      <c r="F159" s="2">
        <v>1</v>
      </c>
      <c r="G159" s="2">
        <v>0</v>
      </c>
      <c r="H159" s="2">
        <v>1</v>
      </c>
      <c r="I159" s="18">
        <v>2015</v>
      </c>
      <c r="J159" s="2">
        <v>0</v>
      </c>
      <c r="K159" s="2" t="s">
        <v>152</v>
      </c>
      <c r="L159" s="4">
        <v>249696854574.19949</v>
      </c>
      <c r="M159" s="2">
        <v>1</v>
      </c>
      <c r="N159" s="4">
        <v>1300000000</v>
      </c>
      <c r="O159" s="2">
        <v>2</v>
      </c>
      <c r="P159" s="4">
        <v>810000000</v>
      </c>
      <c r="Q159" s="2">
        <v>3</v>
      </c>
      <c r="R159" s="4">
        <v>2110000000</v>
      </c>
      <c r="S159" s="5">
        <f t="shared" si="70"/>
        <v>5.2063130799819271E-3</v>
      </c>
      <c r="T159" s="5">
        <f t="shared" si="71"/>
        <v>3.2439335344502779E-3</v>
      </c>
      <c r="U159" s="5">
        <f t="shared" si="72"/>
        <v>8.4502466144322046E-3</v>
      </c>
      <c r="V159" s="26">
        <f t="shared" si="73"/>
        <v>9.6824888465176558E-4</v>
      </c>
      <c r="W159" s="26">
        <f t="shared" si="74"/>
        <v>1.0186885328369846E-3</v>
      </c>
      <c r="X159" s="26">
        <f t="shared" si="75"/>
        <v>9.8467913926909736E-4</v>
      </c>
      <c r="Y159" s="26">
        <f t="shared" si="76"/>
        <v>124117647.05882353</v>
      </c>
      <c r="Z159" s="26">
        <f t="shared" si="77"/>
        <v>4.9707333026071797E-4</v>
      </c>
      <c r="AA159" s="2">
        <v>2</v>
      </c>
      <c r="AB159" s="2">
        <v>0</v>
      </c>
      <c r="AC159" s="4">
        <v>0</v>
      </c>
      <c r="AD159" s="2">
        <v>0</v>
      </c>
      <c r="AE159" s="4">
        <v>0</v>
      </c>
      <c r="AF159" s="2">
        <v>0</v>
      </c>
      <c r="AG159" s="4">
        <v>0</v>
      </c>
      <c r="AH159" s="28">
        <f t="shared" si="78"/>
        <v>0</v>
      </c>
      <c r="AI159" s="4">
        <f t="shared" si="99"/>
        <v>0</v>
      </c>
      <c r="AJ159" s="26">
        <f t="shared" si="90"/>
        <v>0</v>
      </c>
      <c r="AK159" s="26">
        <f t="shared" si="79"/>
        <v>0</v>
      </c>
      <c r="AL159" s="4">
        <v>5094577000</v>
      </c>
      <c r="AM159" s="4">
        <v>849940000</v>
      </c>
      <c r="AN159" s="12">
        <f t="shared" si="80"/>
        <v>-4244637000</v>
      </c>
      <c r="AO159" s="12">
        <f t="shared" si="81"/>
        <v>5944517000</v>
      </c>
      <c r="AP159" s="8">
        <v>96644319000</v>
      </c>
      <c r="AQ159" s="8">
        <v>77298748000</v>
      </c>
      <c r="AR159" s="13">
        <f t="shared" si="82"/>
        <v>-19345571000</v>
      </c>
      <c r="AS159" s="13">
        <f t="shared" si="83"/>
        <v>173943067000</v>
      </c>
      <c r="AT159" s="5">
        <f t="shared" si="94"/>
        <v>5.2714707421136674E-2</v>
      </c>
      <c r="AU159" s="5">
        <f t="shared" si="95"/>
        <v>1.0995520910636224E-2</v>
      </c>
      <c r="AV159" s="5">
        <f t="shared" si="84"/>
        <v>3.867985455004283E-2</v>
      </c>
      <c r="AW159" s="5">
        <f t="shared" si="85"/>
        <v>3.7361337138577068E-2</v>
      </c>
      <c r="AX159" s="5">
        <f t="shared" si="96"/>
        <v>3.417507292774135E-2</v>
      </c>
      <c r="AY159" s="10">
        <f t="shared" si="97"/>
        <v>2.3806935854826867E-2</v>
      </c>
      <c r="AZ159" s="24">
        <v>28</v>
      </c>
      <c r="BA159" s="19">
        <v>3053090379.3344493</v>
      </c>
      <c r="BB159" s="17">
        <v>0</v>
      </c>
      <c r="BC159" s="19">
        <v>0</v>
      </c>
      <c r="BD159" s="17">
        <v>28</v>
      </c>
      <c r="BE159" s="19">
        <v>3053090379.3344493</v>
      </c>
      <c r="BF159" s="17">
        <v>0</v>
      </c>
      <c r="BG159" s="19">
        <v>0</v>
      </c>
      <c r="BH159" s="26">
        <f t="shared" si="86"/>
        <v>1.2227187981766098E-2</v>
      </c>
      <c r="BI159" s="26">
        <f t="shared" si="87"/>
        <v>0</v>
      </c>
      <c r="BJ159" s="26">
        <f t="shared" si="88"/>
        <v>1.2227187981766098E-2</v>
      </c>
      <c r="BK159" s="26">
        <f t="shared" si="89"/>
        <v>0</v>
      </c>
      <c r="BL159" s="34">
        <f t="shared" si="92"/>
        <v>179593551.72555584</v>
      </c>
      <c r="BM159" s="35">
        <f t="shared" si="91"/>
        <v>7.1924635186859404E-4</v>
      </c>
    </row>
    <row r="160" spans="1:65" x14ac:dyDescent="0.35">
      <c r="A160" s="18">
        <v>159</v>
      </c>
      <c r="B160" t="s">
        <v>390</v>
      </c>
      <c r="C160" s="3" t="s">
        <v>138</v>
      </c>
      <c r="D160" s="17" t="s">
        <v>4</v>
      </c>
      <c r="E160" s="17" t="s">
        <v>5</v>
      </c>
      <c r="F160" s="2">
        <v>4</v>
      </c>
      <c r="G160" s="2">
        <v>0</v>
      </c>
      <c r="H160" s="2">
        <v>1</v>
      </c>
      <c r="I160" s="18" t="s">
        <v>152</v>
      </c>
      <c r="J160" s="2">
        <v>0</v>
      </c>
      <c r="K160" s="2" t="s">
        <v>152</v>
      </c>
      <c r="L160" s="4">
        <v>1687448525466.6135</v>
      </c>
      <c r="M160" s="2">
        <v>32</v>
      </c>
      <c r="N160" s="4">
        <v>20910000000</v>
      </c>
      <c r="O160" s="2">
        <v>51</v>
      </c>
      <c r="P160" s="4">
        <v>37190000000</v>
      </c>
      <c r="Q160" s="2">
        <v>83</v>
      </c>
      <c r="R160" s="4">
        <v>58100000000</v>
      </c>
      <c r="S160" s="5">
        <f t="shared" si="70"/>
        <v>1.239148909399649E-2</v>
      </c>
      <c r="T160" s="5">
        <f t="shared" si="71"/>
        <v>2.2039190789370132E-2</v>
      </c>
      <c r="U160" s="5">
        <f t="shared" si="72"/>
        <v>3.4430679883366622E-2</v>
      </c>
      <c r="V160" s="26">
        <f t="shared" si="73"/>
        <v>1.5573910906206476E-2</v>
      </c>
      <c r="W160" s="26">
        <f t="shared" si="74"/>
        <v>4.6771637699021554E-2</v>
      </c>
      <c r="X160" s="26">
        <f t="shared" si="75"/>
        <v>2.7113676773239129E-2</v>
      </c>
      <c r="Y160" s="26">
        <f t="shared" si="76"/>
        <v>3417647058.8235292</v>
      </c>
      <c r="Z160" s="26">
        <f t="shared" si="77"/>
        <v>2.0253341107862718E-3</v>
      </c>
      <c r="AA160" s="2">
        <v>1</v>
      </c>
      <c r="AB160" s="11">
        <v>2</v>
      </c>
      <c r="AC160" s="27">
        <v>800000000</v>
      </c>
      <c r="AD160" s="11">
        <v>1</v>
      </c>
      <c r="AE160" s="27">
        <v>300000000</v>
      </c>
      <c r="AF160" s="2">
        <v>0</v>
      </c>
      <c r="AG160" s="4">
        <v>0</v>
      </c>
      <c r="AH160" s="28">
        <f t="shared" si="78"/>
        <v>3</v>
      </c>
      <c r="AI160" s="4">
        <f t="shared" si="99"/>
        <v>1100000000</v>
      </c>
      <c r="AJ160" s="26">
        <f t="shared" si="90"/>
        <v>6.5187173617389479E-4</v>
      </c>
      <c r="AK160" s="26">
        <f t="shared" si="79"/>
        <v>2.7596428821409211E-2</v>
      </c>
      <c r="AL160" s="4">
        <v>54126998000</v>
      </c>
      <c r="AM160" s="4">
        <v>56791577000</v>
      </c>
      <c r="AN160" s="12">
        <f t="shared" si="80"/>
        <v>2664579000</v>
      </c>
      <c r="AO160" s="12">
        <f t="shared" si="81"/>
        <v>110918575000</v>
      </c>
      <c r="AP160" s="8">
        <v>243780553000</v>
      </c>
      <c r="AQ160" s="8">
        <v>422777167000</v>
      </c>
      <c r="AR160" s="13">
        <f t="shared" si="82"/>
        <v>178996614000</v>
      </c>
      <c r="AS160" s="13">
        <f t="shared" si="83"/>
        <v>666557720000</v>
      </c>
      <c r="AT160" s="5">
        <f t="shared" si="94"/>
        <v>0.22203164827507796</v>
      </c>
      <c r="AU160" s="5">
        <f t="shared" si="95"/>
        <v>0.13432981114611614</v>
      </c>
      <c r="AV160" s="5">
        <f t="shared" si="84"/>
        <v>9.7568035345864529E-2</v>
      </c>
      <c r="AW160" s="5">
        <f t="shared" si="85"/>
        <v>0.20434380477649519</v>
      </c>
      <c r="AX160" s="5">
        <f t="shared" si="96"/>
        <v>0.16640505641431924</v>
      </c>
      <c r="AY160" s="10">
        <f t="shared" si="97"/>
        <v>6.5731530962894871E-2</v>
      </c>
      <c r="AZ160" s="24">
        <v>146</v>
      </c>
      <c r="BA160" s="19">
        <v>182518866954.12195</v>
      </c>
      <c r="BB160" s="17">
        <v>0</v>
      </c>
      <c r="BC160" s="19">
        <v>0</v>
      </c>
      <c r="BD160" s="17">
        <v>146</v>
      </c>
      <c r="BE160" s="19">
        <v>182518866954.12195</v>
      </c>
      <c r="BF160" s="17">
        <v>0</v>
      </c>
      <c r="BG160" s="19">
        <v>0</v>
      </c>
      <c r="BH160" s="26">
        <f t="shared" si="86"/>
        <v>0.10816262789625053</v>
      </c>
      <c r="BI160" s="26">
        <f t="shared" si="87"/>
        <v>0</v>
      </c>
      <c r="BJ160" s="26">
        <f t="shared" si="88"/>
        <v>0.10816262789625053</v>
      </c>
      <c r="BK160" s="26">
        <f t="shared" si="89"/>
        <v>0</v>
      </c>
      <c r="BL160" s="34">
        <f t="shared" si="92"/>
        <v>10736403938.477762</v>
      </c>
      <c r="BM160" s="35">
        <f t="shared" si="91"/>
        <v>6.3625075233088545E-3</v>
      </c>
    </row>
    <row r="161" spans="1:65" x14ac:dyDescent="0.35">
      <c r="A161" s="18">
        <v>160</v>
      </c>
      <c r="B161" t="s">
        <v>391</v>
      </c>
      <c r="C161" s="3" t="s">
        <v>95</v>
      </c>
      <c r="D161" s="17" t="s">
        <v>9</v>
      </c>
      <c r="E161" s="17" t="s">
        <v>2</v>
      </c>
      <c r="F161" s="2">
        <v>0</v>
      </c>
      <c r="G161" s="2">
        <v>0</v>
      </c>
      <c r="H161" s="2">
        <v>1</v>
      </c>
      <c r="I161" s="2">
        <v>2018</v>
      </c>
      <c r="J161" s="2">
        <v>0</v>
      </c>
      <c r="K161" s="2" t="s">
        <v>152</v>
      </c>
      <c r="L161" s="4">
        <v>10355974217.373478</v>
      </c>
      <c r="M161" s="2">
        <v>1</v>
      </c>
      <c r="N161" s="4">
        <v>120000000</v>
      </c>
      <c r="O161" s="2">
        <v>6</v>
      </c>
      <c r="P161" s="4">
        <v>1050000000</v>
      </c>
      <c r="Q161" s="2">
        <v>7</v>
      </c>
      <c r="R161" s="4">
        <v>1170000000</v>
      </c>
      <c r="S161" s="5">
        <f t="shared" si="70"/>
        <v>1.1587514364286903E-2</v>
      </c>
      <c r="T161" s="5">
        <f t="shared" si="71"/>
        <v>0.10139075068751041</v>
      </c>
      <c r="U161" s="5">
        <f t="shared" si="72"/>
        <v>0.11297826505179731</v>
      </c>
      <c r="V161" s="26">
        <f t="shared" si="73"/>
        <v>8.9376820121701432E-5</v>
      </c>
      <c r="W161" s="26">
        <f t="shared" si="74"/>
        <v>1.3205221721960913E-3</v>
      </c>
      <c r="X161" s="26">
        <f t="shared" si="75"/>
        <v>5.4600691608760381E-4</v>
      </c>
      <c r="Y161" s="26">
        <f t="shared" si="76"/>
        <v>68823529.411764711</v>
      </c>
      <c r="Z161" s="26">
        <f t="shared" si="77"/>
        <v>6.6457802971645477E-3</v>
      </c>
      <c r="AA161" s="2">
        <v>2</v>
      </c>
      <c r="AB161" s="11">
        <v>1</v>
      </c>
      <c r="AC161" s="27">
        <v>100000000</v>
      </c>
      <c r="AD161" s="11">
        <v>1</v>
      </c>
      <c r="AE161" s="27">
        <v>100000000</v>
      </c>
      <c r="AF161" s="2">
        <v>0</v>
      </c>
      <c r="AG161" s="4">
        <v>0</v>
      </c>
      <c r="AH161" s="28">
        <f t="shared" si="78"/>
        <v>2</v>
      </c>
      <c r="AI161" s="4">
        <f t="shared" si="99"/>
        <v>200000000</v>
      </c>
      <c r="AJ161" s="26">
        <f t="shared" si="90"/>
        <v>1.9312523940478173E-2</v>
      </c>
      <c r="AK161" s="26">
        <f t="shared" si="79"/>
        <v>5.0175325129834924E-3</v>
      </c>
      <c r="AL161" s="4">
        <v>635332</v>
      </c>
      <c r="AM161" s="4">
        <v>6583</v>
      </c>
      <c r="AN161" s="12">
        <f t="shared" si="80"/>
        <v>-628749</v>
      </c>
      <c r="AO161" s="12">
        <f t="shared" si="81"/>
        <v>641915</v>
      </c>
      <c r="AP161" s="8">
        <v>3195163000</v>
      </c>
      <c r="AQ161" s="8">
        <v>1161751000</v>
      </c>
      <c r="AR161" s="13">
        <f t="shared" si="82"/>
        <v>-2033412000</v>
      </c>
      <c r="AS161" s="13">
        <f t="shared" si="83"/>
        <v>4356914000</v>
      </c>
      <c r="AT161" s="5">
        <f t="shared" si="94"/>
        <v>1.9884181182618852E-4</v>
      </c>
      <c r="AU161" s="5">
        <f t="shared" si="95"/>
        <v>5.6664465965598478E-6</v>
      </c>
      <c r="AV161" s="5">
        <f t="shared" si="84"/>
        <v>1.2787967402789449E-3</v>
      </c>
      <c r="AW161" s="5">
        <f t="shared" si="85"/>
        <v>5.6151712550478895E-4</v>
      </c>
      <c r="AX161" s="5">
        <f t="shared" si="96"/>
        <v>1.4733249267715636E-4</v>
      </c>
      <c r="AY161" s="10">
        <f t="shared" si="97"/>
        <v>6.1984994026260224E-5</v>
      </c>
      <c r="AZ161" s="24">
        <v>104</v>
      </c>
      <c r="BA161" s="19">
        <v>838191857.3194195</v>
      </c>
      <c r="BB161" s="17">
        <v>97</v>
      </c>
      <c r="BC161" s="19">
        <v>811643265.86835873</v>
      </c>
      <c r="BD161" s="17">
        <v>5</v>
      </c>
      <c r="BE161" s="19">
        <v>145250.687988369</v>
      </c>
      <c r="BF161" s="17">
        <v>2</v>
      </c>
      <c r="BG161" s="19">
        <v>26403340.763072379</v>
      </c>
      <c r="BH161" s="26">
        <f t="shared" si="86"/>
        <v>8.0938001555975775E-2</v>
      </c>
      <c r="BI161" s="26">
        <f t="shared" si="87"/>
        <v>7.8374400016052836E-2</v>
      </c>
      <c r="BJ161" s="26">
        <f t="shared" si="88"/>
        <v>1.4025786945731509E-5</v>
      </c>
      <c r="BK161" s="26">
        <f t="shared" si="89"/>
        <v>2.5495757529771929E-3</v>
      </c>
      <c r="BL161" s="34">
        <f t="shared" si="92"/>
        <v>49305403.371730559</v>
      </c>
      <c r="BM161" s="35">
        <f t="shared" si="91"/>
        <v>4.7610589150573982E-3</v>
      </c>
    </row>
    <row r="162" spans="1:65" x14ac:dyDescent="0.35">
      <c r="A162" s="18">
        <v>161</v>
      </c>
      <c r="B162" t="s">
        <v>392</v>
      </c>
      <c r="C162" s="3" t="s">
        <v>204</v>
      </c>
      <c r="D162" s="17" t="s">
        <v>12</v>
      </c>
      <c r="E162" s="17" t="s">
        <v>13</v>
      </c>
      <c r="F162" s="2">
        <v>0</v>
      </c>
      <c r="G162" s="2">
        <v>0</v>
      </c>
      <c r="H162" s="2">
        <v>0</v>
      </c>
      <c r="I162" s="3" t="s">
        <v>152</v>
      </c>
      <c r="J162" s="2">
        <v>2</v>
      </c>
      <c r="K162" s="2" t="s">
        <v>152</v>
      </c>
      <c r="L162" s="4">
        <v>1044711111.111111</v>
      </c>
      <c r="M162" s="2">
        <v>0</v>
      </c>
      <c r="N162" s="4">
        <v>0</v>
      </c>
      <c r="O162" s="2">
        <v>0</v>
      </c>
      <c r="P162" s="4">
        <v>0</v>
      </c>
      <c r="Q162" s="2">
        <v>0</v>
      </c>
      <c r="R162" s="4">
        <v>0</v>
      </c>
      <c r="S162" s="5">
        <f t="shared" si="70"/>
        <v>0</v>
      </c>
      <c r="T162" s="15">
        <f t="shared" si="71"/>
        <v>0</v>
      </c>
      <c r="U162" s="5">
        <f t="shared" si="72"/>
        <v>0</v>
      </c>
      <c r="V162" s="26">
        <f t="shared" si="73"/>
        <v>0</v>
      </c>
      <c r="W162" s="26">
        <f t="shared" si="74"/>
        <v>0</v>
      </c>
      <c r="X162" s="26">
        <f t="shared" si="75"/>
        <v>0</v>
      </c>
      <c r="Y162" s="26">
        <f t="shared" si="76"/>
        <v>0</v>
      </c>
      <c r="Z162" s="26">
        <f t="shared" si="77"/>
        <v>0</v>
      </c>
      <c r="AA162" s="2">
        <v>0</v>
      </c>
      <c r="AB162" s="18" t="s">
        <v>152</v>
      </c>
      <c r="AC162" s="4" t="s">
        <v>152</v>
      </c>
      <c r="AD162" s="18" t="s">
        <v>152</v>
      </c>
      <c r="AE162" s="4" t="s">
        <v>152</v>
      </c>
      <c r="AF162" s="2" t="s">
        <v>152</v>
      </c>
      <c r="AG162" s="4" t="s">
        <v>152</v>
      </c>
      <c r="AH162" s="28">
        <f t="shared" si="78"/>
        <v>0</v>
      </c>
      <c r="AI162" s="4" t="str">
        <f t="shared" si="99"/>
        <v>na</v>
      </c>
      <c r="AJ162" s="26" t="str">
        <f t="shared" si="90"/>
        <v>na</v>
      </c>
      <c r="AK162" s="26" t="str">
        <f t="shared" si="79"/>
        <v>na</v>
      </c>
      <c r="AL162" s="14">
        <v>9707000</v>
      </c>
      <c r="AM162" s="14">
        <v>363000</v>
      </c>
      <c r="AN162" s="12">
        <f t="shared" si="80"/>
        <v>-9344000</v>
      </c>
      <c r="AO162" s="12">
        <f t="shared" si="81"/>
        <v>10070000</v>
      </c>
      <c r="AP162" s="8">
        <v>335410000</v>
      </c>
      <c r="AQ162" s="8">
        <v>78935000</v>
      </c>
      <c r="AR162" s="13">
        <f t="shared" si="82"/>
        <v>-256475000</v>
      </c>
      <c r="AS162" s="13">
        <f t="shared" si="83"/>
        <v>414345000</v>
      </c>
      <c r="AT162" s="5">
        <f t="shared" si="94"/>
        <v>2.8940699442473392E-2</v>
      </c>
      <c r="AU162" s="5">
        <f t="shared" si="95"/>
        <v>4.5987204662063727E-3</v>
      </c>
      <c r="AV162" s="5">
        <f t="shared" si="84"/>
        <v>1.342407929288618E-4</v>
      </c>
      <c r="AW162" s="5">
        <f t="shared" si="85"/>
        <v>3.8152198105894038E-5</v>
      </c>
      <c r="AX162" s="5">
        <f t="shared" si="96"/>
        <v>2.4303418648710617E-2</v>
      </c>
      <c r="AY162" s="10">
        <f t="shared" si="97"/>
        <v>9.6390283331915256E-3</v>
      </c>
      <c r="AZ162" s="24">
        <v>0</v>
      </c>
      <c r="BA162" s="4" t="s">
        <v>152</v>
      </c>
      <c r="BB162" s="18" t="s">
        <v>152</v>
      </c>
      <c r="BC162" s="4" t="s">
        <v>152</v>
      </c>
      <c r="BD162" s="18" t="s">
        <v>152</v>
      </c>
      <c r="BE162" s="4" t="s">
        <v>152</v>
      </c>
      <c r="BF162" s="18" t="s">
        <v>152</v>
      </c>
      <c r="BG162" s="4" t="s">
        <v>152</v>
      </c>
      <c r="BH162" s="26">
        <f t="shared" si="86"/>
        <v>0</v>
      </c>
      <c r="BI162" s="26">
        <f t="shared" si="87"/>
        <v>0</v>
      </c>
      <c r="BJ162" s="26">
        <f t="shared" si="88"/>
        <v>0</v>
      </c>
      <c r="BK162" s="26">
        <f t="shared" si="89"/>
        <v>0</v>
      </c>
      <c r="BL162" s="34">
        <f t="shared" si="92"/>
        <v>0</v>
      </c>
      <c r="BM162" s="35">
        <f t="shared" si="91"/>
        <v>0</v>
      </c>
    </row>
    <row r="163" spans="1:65" x14ac:dyDescent="0.35">
      <c r="A163" s="18">
        <v>162</v>
      </c>
      <c r="B163" t="s">
        <v>393</v>
      </c>
      <c r="C163" s="3" t="s">
        <v>205</v>
      </c>
      <c r="D163" s="17" t="s">
        <v>12</v>
      </c>
      <c r="E163" s="17" t="s">
        <v>5</v>
      </c>
      <c r="F163" s="2">
        <v>0</v>
      </c>
      <c r="G163" s="2">
        <v>0</v>
      </c>
      <c r="H163" s="2">
        <v>0</v>
      </c>
      <c r="I163" s="3" t="s">
        <v>152</v>
      </c>
      <c r="J163" s="2">
        <v>2</v>
      </c>
      <c r="K163" s="2" t="s">
        <v>152</v>
      </c>
      <c r="L163" s="4">
        <v>2122450629.6296294</v>
      </c>
      <c r="M163" s="2">
        <v>0</v>
      </c>
      <c r="N163" s="4">
        <v>0</v>
      </c>
      <c r="O163" s="2">
        <v>0</v>
      </c>
      <c r="P163" s="4">
        <v>0</v>
      </c>
      <c r="Q163" s="2">
        <v>0</v>
      </c>
      <c r="R163" s="4">
        <v>0</v>
      </c>
      <c r="S163" s="5">
        <f t="shared" si="70"/>
        <v>0</v>
      </c>
      <c r="T163" s="15">
        <f t="shared" si="71"/>
        <v>0</v>
      </c>
      <c r="U163" s="5">
        <f t="shared" si="72"/>
        <v>0</v>
      </c>
      <c r="V163" s="26">
        <f t="shared" si="73"/>
        <v>0</v>
      </c>
      <c r="W163" s="26">
        <f t="shared" si="74"/>
        <v>0</v>
      </c>
      <c r="X163" s="26">
        <f t="shared" si="75"/>
        <v>0</v>
      </c>
      <c r="Y163" s="26">
        <f t="shared" si="76"/>
        <v>0</v>
      </c>
      <c r="Z163" s="26">
        <f t="shared" si="77"/>
        <v>0</v>
      </c>
      <c r="AA163" s="2">
        <v>0</v>
      </c>
      <c r="AB163" s="18" t="s">
        <v>152</v>
      </c>
      <c r="AC163" s="4" t="s">
        <v>152</v>
      </c>
      <c r="AD163" s="18" t="s">
        <v>152</v>
      </c>
      <c r="AE163" s="4" t="s">
        <v>152</v>
      </c>
      <c r="AF163" s="2" t="s">
        <v>152</v>
      </c>
      <c r="AG163" s="4" t="s">
        <v>152</v>
      </c>
      <c r="AH163" s="28">
        <f t="shared" si="78"/>
        <v>0</v>
      </c>
      <c r="AI163" s="4" t="str">
        <f t="shared" si="99"/>
        <v>na</v>
      </c>
      <c r="AJ163" s="26" t="str">
        <f t="shared" si="90"/>
        <v>na</v>
      </c>
      <c r="AK163" s="26" t="str">
        <f t="shared" si="79"/>
        <v>na</v>
      </c>
      <c r="AL163" s="4">
        <v>33795</v>
      </c>
      <c r="AM163" s="4">
        <v>144</v>
      </c>
      <c r="AN163" s="12">
        <f t="shared" si="80"/>
        <v>-33651</v>
      </c>
      <c r="AO163" s="12">
        <f t="shared" si="81"/>
        <v>33939</v>
      </c>
      <c r="AP163" s="8">
        <v>623793000</v>
      </c>
      <c r="AQ163" s="8">
        <v>97256000</v>
      </c>
      <c r="AR163" s="13">
        <f t="shared" si="82"/>
        <v>-526537000</v>
      </c>
      <c r="AS163" s="13">
        <f t="shared" si="83"/>
        <v>721049000</v>
      </c>
      <c r="AT163" s="5">
        <f t="shared" si="94"/>
        <v>5.4176625899937962E-5</v>
      </c>
      <c r="AU163" s="5">
        <f t="shared" si="95"/>
        <v>1.4806284445175618E-6</v>
      </c>
      <c r="AV163" s="5">
        <f t="shared" si="84"/>
        <v>2.4966001891259503E-4</v>
      </c>
      <c r="AW163" s="5">
        <f t="shared" si="85"/>
        <v>4.7007413428603681E-5</v>
      </c>
      <c r="AX163" s="5">
        <f t="shared" si="96"/>
        <v>4.7068923193846745E-5</v>
      </c>
      <c r="AY163" s="10">
        <f t="shared" si="97"/>
        <v>1.5990477953271593E-5</v>
      </c>
      <c r="AZ163" s="24">
        <v>15</v>
      </c>
      <c r="BA163" s="19">
        <v>71734350.612044483</v>
      </c>
      <c r="BB163" s="17">
        <v>13</v>
      </c>
      <c r="BC163" s="19">
        <v>71732153.988873303</v>
      </c>
      <c r="BD163" s="17">
        <v>2</v>
      </c>
      <c r="BE163" s="19">
        <v>2196.6231711774899</v>
      </c>
      <c r="BF163" s="17">
        <v>0</v>
      </c>
      <c r="BG163" s="19">
        <v>0</v>
      </c>
      <c r="BH163" s="26">
        <f t="shared" si="86"/>
        <v>3.3797888917002618E-2</v>
      </c>
      <c r="BI163" s="26">
        <f t="shared" si="87"/>
        <v>3.3796853970351558E-2</v>
      </c>
      <c r="BJ163" s="26">
        <f t="shared" si="88"/>
        <v>1.0349466510609971E-6</v>
      </c>
      <c r="BK163" s="26">
        <f t="shared" si="89"/>
        <v>0</v>
      </c>
      <c r="BL163" s="34">
        <f t="shared" si="92"/>
        <v>4219667.6830614405</v>
      </c>
      <c r="BM163" s="35">
        <f t="shared" si="91"/>
        <v>1.9881111127648603E-3</v>
      </c>
    </row>
    <row r="164" spans="1:65" x14ac:dyDescent="0.35">
      <c r="A164" s="18">
        <v>163</v>
      </c>
      <c r="B164" t="s">
        <v>394</v>
      </c>
      <c r="C164" s="3" t="s">
        <v>206</v>
      </c>
      <c r="D164" s="17" t="s">
        <v>12</v>
      </c>
      <c r="E164" s="17" t="s">
        <v>5</v>
      </c>
      <c r="F164" s="2">
        <v>0</v>
      </c>
      <c r="G164" s="2">
        <v>0</v>
      </c>
      <c r="H164" s="2">
        <v>0</v>
      </c>
      <c r="I164" s="3" t="s">
        <v>152</v>
      </c>
      <c r="J164" s="2">
        <v>2</v>
      </c>
      <c r="K164" s="2" t="s">
        <v>152</v>
      </c>
      <c r="L164" s="4">
        <v>824718518.51851845</v>
      </c>
      <c r="M164" s="2">
        <v>0</v>
      </c>
      <c r="N164" s="4">
        <v>0</v>
      </c>
      <c r="O164" s="2">
        <v>0</v>
      </c>
      <c r="P164" s="4">
        <v>0</v>
      </c>
      <c r="Q164" s="2">
        <v>0</v>
      </c>
      <c r="R164" s="4">
        <v>0</v>
      </c>
      <c r="S164" s="5">
        <f t="shared" si="70"/>
        <v>0</v>
      </c>
      <c r="T164" s="15">
        <f t="shared" si="71"/>
        <v>0</v>
      </c>
      <c r="U164" s="5">
        <f t="shared" si="72"/>
        <v>0</v>
      </c>
      <c r="V164" s="26">
        <f t="shared" si="73"/>
        <v>0</v>
      </c>
      <c r="W164" s="26">
        <f t="shared" si="74"/>
        <v>0</v>
      </c>
      <c r="X164" s="26">
        <f t="shared" si="75"/>
        <v>0</v>
      </c>
      <c r="Y164" s="26">
        <f t="shared" si="76"/>
        <v>0</v>
      </c>
      <c r="Z164" s="26">
        <f t="shared" si="77"/>
        <v>0</v>
      </c>
      <c r="AA164" s="2">
        <v>0</v>
      </c>
      <c r="AB164" s="2" t="s">
        <v>152</v>
      </c>
      <c r="AC164" s="4" t="s">
        <v>152</v>
      </c>
      <c r="AD164" s="2" t="s">
        <v>152</v>
      </c>
      <c r="AE164" s="4" t="s">
        <v>152</v>
      </c>
      <c r="AF164" s="2" t="s">
        <v>152</v>
      </c>
      <c r="AG164" s="4" t="s">
        <v>152</v>
      </c>
      <c r="AH164" s="28">
        <f t="shared" si="78"/>
        <v>0</v>
      </c>
      <c r="AI164" s="4" t="str">
        <f t="shared" si="99"/>
        <v>na</v>
      </c>
      <c r="AJ164" s="26" t="str">
        <f t="shared" si="90"/>
        <v>na</v>
      </c>
      <c r="AK164" s="26" t="str">
        <f t="shared" si="79"/>
        <v>na</v>
      </c>
      <c r="AL164" s="4">
        <v>21046000</v>
      </c>
      <c r="AM164" s="4">
        <v>2000</v>
      </c>
      <c r="AN164" s="12">
        <f t="shared" si="80"/>
        <v>-21044000</v>
      </c>
      <c r="AO164" s="12">
        <f t="shared" si="81"/>
        <v>21048000</v>
      </c>
      <c r="AP164" s="8">
        <v>335082000</v>
      </c>
      <c r="AQ164" s="8">
        <v>40335000</v>
      </c>
      <c r="AR164" s="13">
        <f t="shared" si="82"/>
        <v>-294747000</v>
      </c>
      <c r="AS164" s="13">
        <f t="shared" si="83"/>
        <v>375417000</v>
      </c>
      <c r="AT164" s="5">
        <f t="shared" si="94"/>
        <v>6.280850657451012E-2</v>
      </c>
      <c r="AU164" s="5">
        <f t="shared" si="95"/>
        <v>4.9584727903805629E-5</v>
      </c>
      <c r="AV164" s="5">
        <f t="shared" si="84"/>
        <v>1.341095178324703E-4</v>
      </c>
      <c r="AW164" s="5">
        <f t="shared" si="85"/>
        <v>1.9495393812646307E-5</v>
      </c>
      <c r="AX164" s="5">
        <f t="shared" si="96"/>
        <v>5.6065654991649283E-2</v>
      </c>
      <c r="AY164" s="10">
        <f t="shared" si="97"/>
        <v>2.5521434922801945E-2</v>
      </c>
      <c r="AZ164" s="24">
        <v>0</v>
      </c>
      <c r="BA164" s="4" t="s">
        <v>152</v>
      </c>
      <c r="BB164" s="18" t="s">
        <v>152</v>
      </c>
      <c r="BC164" s="4" t="s">
        <v>152</v>
      </c>
      <c r="BD164" s="18" t="s">
        <v>152</v>
      </c>
      <c r="BE164" s="4" t="s">
        <v>152</v>
      </c>
      <c r="BF164" s="18" t="s">
        <v>152</v>
      </c>
      <c r="BG164" s="4" t="s">
        <v>152</v>
      </c>
      <c r="BH164" s="26">
        <f t="shared" si="86"/>
        <v>0</v>
      </c>
      <c r="BI164" s="26">
        <f t="shared" si="87"/>
        <v>0</v>
      </c>
      <c r="BJ164" s="26">
        <f t="shared" si="88"/>
        <v>0</v>
      </c>
      <c r="BK164" s="26">
        <f t="shared" si="89"/>
        <v>0</v>
      </c>
      <c r="BL164" s="34">
        <f t="shared" si="92"/>
        <v>0</v>
      </c>
      <c r="BM164" s="35">
        <f t="shared" si="91"/>
        <v>0</v>
      </c>
    </row>
    <row r="165" spans="1:65" x14ac:dyDescent="0.35">
      <c r="A165" s="18">
        <v>164</v>
      </c>
      <c r="B165" t="s">
        <v>395</v>
      </c>
      <c r="C165" s="3" t="s">
        <v>96</v>
      </c>
      <c r="D165" s="17" t="s">
        <v>23</v>
      </c>
      <c r="E165" s="17" t="s">
        <v>10</v>
      </c>
      <c r="F165" s="2">
        <v>0</v>
      </c>
      <c r="G165" s="2">
        <v>0</v>
      </c>
      <c r="H165" s="2">
        <v>1</v>
      </c>
      <c r="I165" s="18">
        <v>2018</v>
      </c>
      <c r="J165" s="2">
        <v>0</v>
      </c>
      <c r="K165" s="2" t="s">
        <v>152</v>
      </c>
      <c r="L165" s="4">
        <v>852250190.9854852</v>
      </c>
      <c r="M165" s="2">
        <v>0</v>
      </c>
      <c r="N165" s="4">
        <v>0</v>
      </c>
      <c r="O165" s="2">
        <v>1</v>
      </c>
      <c r="P165" s="4">
        <v>110000000</v>
      </c>
      <c r="Q165" s="2">
        <v>1</v>
      </c>
      <c r="R165" s="4">
        <v>110000000</v>
      </c>
      <c r="S165" s="5">
        <f t="shared" si="70"/>
        <v>0</v>
      </c>
      <c r="T165" s="5">
        <f t="shared" si="71"/>
        <v>0.12907007961218916</v>
      </c>
      <c r="U165" s="5">
        <f t="shared" si="72"/>
        <v>0.12907007961218916</v>
      </c>
      <c r="V165" s="26">
        <f t="shared" si="73"/>
        <v>0</v>
      </c>
      <c r="W165" s="26">
        <f t="shared" si="74"/>
        <v>1.383404180395905E-4</v>
      </c>
      <c r="X165" s="26">
        <f t="shared" si="75"/>
        <v>5.1333983563791811E-5</v>
      </c>
      <c r="Y165" s="26">
        <f t="shared" si="76"/>
        <v>6470588.2352941176</v>
      </c>
      <c r="Z165" s="26">
        <f t="shared" si="77"/>
        <v>7.592357624246422E-3</v>
      </c>
      <c r="AA165" s="2">
        <v>1</v>
      </c>
      <c r="AB165" s="18">
        <v>0</v>
      </c>
      <c r="AC165" s="4">
        <v>0</v>
      </c>
      <c r="AD165" s="2">
        <v>0</v>
      </c>
      <c r="AE165" s="4">
        <v>0</v>
      </c>
      <c r="AF165" s="2">
        <v>0</v>
      </c>
      <c r="AG165" s="4">
        <v>0</v>
      </c>
      <c r="AH165" s="28">
        <f t="shared" si="78"/>
        <v>0</v>
      </c>
      <c r="AI165" s="4">
        <f t="shared" si="99"/>
        <v>0</v>
      </c>
      <c r="AJ165" s="26">
        <f t="shared" si="90"/>
        <v>0</v>
      </c>
      <c r="AK165" s="26">
        <f t="shared" si="79"/>
        <v>0</v>
      </c>
      <c r="AL165" s="4">
        <v>47731000</v>
      </c>
      <c r="AM165" s="4">
        <v>670000</v>
      </c>
      <c r="AN165" s="12">
        <f t="shared" si="80"/>
        <v>-47061000</v>
      </c>
      <c r="AO165" s="12">
        <f t="shared" si="81"/>
        <v>48401000</v>
      </c>
      <c r="AP165" s="8">
        <v>391086000</v>
      </c>
      <c r="AQ165" s="8">
        <v>49335000</v>
      </c>
      <c r="AR165" s="13">
        <f t="shared" si="82"/>
        <v>-341751000</v>
      </c>
      <c r="AS165" s="13">
        <f t="shared" si="83"/>
        <v>440421000</v>
      </c>
      <c r="AT165" s="5">
        <f t="shared" si="94"/>
        <v>0.12204732462936541</v>
      </c>
      <c r="AU165" s="5">
        <f t="shared" si="95"/>
        <v>1.358062227627445E-2</v>
      </c>
      <c r="AV165" s="5">
        <f t="shared" si="84"/>
        <v>1.565239400834109E-4</v>
      </c>
      <c r="AW165" s="5">
        <f t="shared" si="85"/>
        <v>2.3845425901745521E-5</v>
      </c>
      <c r="AX165" s="5">
        <f t="shared" si="96"/>
        <v>0.1098971211636139</v>
      </c>
      <c r="AY165" s="10">
        <f t="shared" si="97"/>
        <v>5.6792008393723344E-2</v>
      </c>
      <c r="AZ165" s="24">
        <v>123</v>
      </c>
      <c r="BA165" s="19">
        <v>478225047.55540532</v>
      </c>
      <c r="BB165" s="17">
        <v>117</v>
      </c>
      <c r="BC165" s="19">
        <v>478225047.55540532</v>
      </c>
      <c r="BD165" s="17">
        <v>6</v>
      </c>
      <c r="BE165" s="19">
        <v>0</v>
      </c>
      <c r="BF165" s="17">
        <v>0</v>
      </c>
      <c r="BG165" s="19">
        <v>0</v>
      </c>
      <c r="BH165" s="26">
        <f t="shared" si="86"/>
        <v>0.56113222691381015</v>
      </c>
      <c r="BI165" s="26">
        <f t="shared" si="87"/>
        <v>0.56113222691381015</v>
      </c>
      <c r="BJ165" s="26">
        <f t="shared" si="88"/>
        <v>0</v>
      </c>
      <c r="BK165" s="26">
        <f t="shared" si="89"/>
        <v>0</v>
      </c>
      <c r="BL165" s="34">
        <f t="shared" si="92"/>
        <v>28130885.150317959</v>
      </c>
      <c r="BM165" s="35">
        <f t="shared" si="91"/>
        <v>3.3007778053753538E-2</v>
      </c>
    </row>
    <row r="166" spans="1:65" x14ac:dyDescent="0.35">
      <c r="A166" s="18">
        <v>165</v>
      </c>
      <c r="B166" t="s">
        <v>469</v>
      </c>
      <c r="C166" s="22" t="s">
        <v>470</v>
      </c>
      <c r="D166" s="17" t="s">
        <v>4</v>
      </c>
      <c r="E166" s="17" t="s">
        <v>13</v>
      </c>
      <c r="F166" s="2">
        <v>0</v>
      </c>
      <c r="G166" s="2">
        <v>0</v>
      </c>
      <c r="H166" s="2">
        <v>0</v>
      </c>
      <c r="I166" s="2" t="s">
        <v>152</v>
      </c>
      <c r="J166" s="2">
        <v>0</v>
      </c>
      <c r="K166" s="2" t="s">
        <v>152</v>
      </c>
      <c r="L166" s="19">
        <v>1616369645.9963503</v>
      </c>
      <c r="M166" s="2">
        <v>0</v>
      </c>
      <c r="N166" s="4">
        <v>0</v>
      </c>
      <c r="O166" s="2">
        <v>0</v>
      </c>
      <c r="P166" s="4">
        <v>0</v>
      </c>
      <c r="Q166" s="2">
        <v>0</v>
      </c>
      <c r="R166" s="4">
        <v>0</v>
      </c>
      <c r="S166" s="5">
        <f t="shared" si="70"/>
        <v>0</v>
      </c>
      <c r="T166" s="15">
        <f t="shared" si="71"/>
        <v>0</v>
      </c>
      <c r="U166" s="5">
        <f t="shared" si="72"/>
        <v>0</v>
      </c>
      <c r="V166" s="26">
        <f t="shared" si="73"/>
        <v>0</v>
      </c>
      <c r="W166" s="26">
        <f t="shared" si="74"/>
        <v>0</v>
      </c>
      <c r="X166" s="26">
        <f t="shared" si="75"/>
        <v>0</v>
      </c>
      <c r="Y166" s="26">
        <f t="shared" si="76"/>
        <v>0</v>
      </c>
      <c r="Z166" s="26">
        <f t="shared" si="77"/>
        <v>0</v>
      </c>
      <c r="AA166" s="2">
        <v>0</v>
      </c>
      <c r="AB166" s="18" t="s">
        <v>152</v>
      </c>
      <c r="AC166" s="4" t="s">
        <v>152</v>
      </c>
      <c r="AD166" s="2" t="s">
        <v>152</v>
      </c>
      <c r="AE166" s="4" t="s">
        <v>152</v>
      </c>
      <c r="AF166" s="2" t="s">
        <v>152</v>
      </c>
      <c r="AG166" s="4" t="s">
        <v>152</v>
      </c>
      <c r="AH166" s="28">
        <f t="shared" si="78"/>
        <v>0</v>
      </c>
      <c r="AI166" s="4" t="s">
        <v>152</v>
      </c>
      <c r="AJ166" s="26" t="str">
        <f t="shared" si="90"/>
        <v>na</v>
      </c>
      <c r="AK166" s="26" t="str">
        <f t="shared" si="79"/>
        <v>na</v>
      </c>
      <c r="AL166" s="18" t="s">
        <v>152</v>
      </c>
      <c r="AM166" s="18" t="s">
        <v>152</v>
      </c>
      <c r="AN166" s="12" t="str">
        <f t="shared" si="80"/>
        <v>na</v>
      </c>
      <c r="AO166" s="12" t="str">
        <f t="shared" si="81"/>
        <v>na</v>
      </c>
      <c r="AP166" s="18" t="s">
        <v>152</v>
      </c>
      <c r="AQ166" s="18" t="s">
        <v>152</v>
      </c>
      <c r="AR166" s="13" t="str">
        <f t="shared" si="82"/>
        <v>na</v>
      </c>
      <c r="AS166" s="13" t="str">
        <f t="shared" si="83"/>
        <v>na</v>
      </c>
      <c r="AT166" s="5" t="str">
        <f t="shared" si="94"/>
        <v>na</v>
      </c>
      <c r="AU166" s="5" t="str">
        <f t="shared" si="95"/>
        <v>na</v>
      </c>
      <c r="AV166" s="5" t="str">
        <f t="shared" si="84"/>
        <v>na</v>
      </c>
      <c r="AW166" s="5" t="str">
        <f t="shared" si="85"/>
        <v>na</v>
      </c>
      <c r="AX166" s="5" t="str">
        <f t="shared" si="96"/>
        <v>na</v>
      </c>
      <c r="AY166" s="10" t="str">
        <f t="shared" si="97"/>
        <v>na</v>
      </c>
      <c r="AZ166" s="24" t="s">
        <v>152</v>
      </c>
      <c r="BA166" s="29" t="s">
        <v>152</v>
      </c>
      <c r="BB166" s="24" t="s">
        <v>152</v>
      </c>
      <c r="BC166" s="29" t="s">
        <v>152</v>
      </c>
      <c r="BD166" s="24" t="s">
        <v>152</v>
      </c>
      <c r="BE166" s="29" t="s">
        <v>152</v>
      </c>
      <c r="BF166" s="24" t="s">
        <v>152</v>
      </c>
      <c r="BG166" s="29" t="s">
        <v>152</v>
      </c>
      <c r="BH166" s="26">
        <f t="shared" si="86"/>
        <v>0</v>
      </c>
      <c r="BI166" s="26">
        <f t="shared" si="87"/>
        <v>0</v>
      </c>
      <c r="BJ166" s="26">
        <f t="shared" si="88"/>
        <v>0</v>
      </c>
      <c r="BK166" s="26">
        <f t="shared" si="89"/>
        <v>0</v>
      </c>
      <c r="BL166" s="34">
        <f t="shared" si="92"/>
        <v>0</v>
      </c>
      <c r="BM166" s="35">
        <f t="shared" si="91"/>
        <v>0</v>
      </c>
    </row>
    <row r="167" spans="1:65" x14ac:dyDescent="0.35">
      <c r="A167" s="18">
        <v>166</v>
      </c>
      <c r="B167" t="s">
        <v>396</v>
      </c>
      <c r="C167" s="3" t="s">
        <v>207</v>
      </c>
      <c r="D167" s="17" t="s">
        <v>9</v>
      </c>
      <c r="E167" s="17" t="s">
        <v>10</v>
      </c>
      <c r="F167" s="2">
        <v>0</v>
      </c>
      <c r="G167" s="2">
        <v>0</v>
      </c>
      <c r="H167" s="2">
        <v>0</v>
      </c>
      <c r="I167" s="18" t="s">
        <v>152</v>
      </c>
      <c r="J167" s="2">
        <v>1</v>
      </c>
      <c r="K167" s="2">
        <v>2016</v>
      </c>
      <c r="L167" s="4">
        <v>427425039.68433946</v>
      </c>
      <c r="M167" s="2">
        <v>3</v>
      </c>
      <c r="N167" s="4">
        <v>950000000</v>
      </c>
      <c r="O167" s="2">
        <v>0</v>
      </c>
      <c r="P167" s="4">
        <v>0</v>
      </c>
      <c r="Q167" s="2">
        <v>3</v>
      </c>
      <c r="R167" s="4">
        <v>950000000</v>
      </c>
      <c r="S167" s="5">
        <f t="shared" si="70"/>
        <v>2.2226119478203499</v>
      </c>
      <c r="T167" s="15">
        <f t="shared" si="71"/>
        <v>0</v>
      </c>
      <c r="U167" s="5">
        <f t="shared" si="72"/>
        <v>2.2226119478203499</v>
      </c>
      <c r="V167" s="26">
        <f t="shared" si="73"/>
        <v>7.0756649263013641E-4</v>
      </c>
      <c r="W167" s="26">
        <f t="shared" si="74"/>
        <v>0</v>
      </c>
      <c r="X167" s="26">
        <f t="shared" si="75"/>
        <v>4.4333894896002015E-4</v>
      </c>
      <c r="Y167" s="26">
        <f t="shared" si="76"/>
        <v>55882352.941176474</v>
      </c>
      <c r="Z167" s="26">
        <f t="shared" si="77"/>
        <v>0.13074187928354999</v>
      </c>
      <c r="AA167" s="2">
        <v>0</v>
      </c>
      <c r="AB167" s="18" t="s">
        <v>152</v>
      </c>
      <c r="AC167" s="4" t="s">
        <v>152</v>
      </c>
      <c r="AD167" s="2" t="s">
        <v>152</v>
      </c>
      <c r="AE167" s="4" t="s">
        <v>152</v>
      </c>
      <c r="AF167" s="2" t="s">
        <v>152</v>
      </c>
      <c r="AG167" s="4" t="s">
        <v>152</v>
      </c>
      <c r="AH167" s="28">
        <f t="shared" si="78"/>
        <v>0</v>
      </c>
      <c r="AI167" s="4" t="str">
        <f t="shared" ref="AI167:AI173" si="100">IFERROR(AC167+AE167,"na")</f>
        <v>na</v>
      </c>
      <c r="AJ167" s="26" t="str">
        <f t="shared" si="90"/>
        <v>na</v>
      </c>
      <c r="AK167" s="26" t="str">
        <f t="shared" si="79"/>
        <v>na</v>
      </c>
      <c r="AL167" s="4">
        <v>8980000</v>
      </c>
      <c r="AM167" s="14">
        <v>14000</v>
      </c>
      <c r="AN167" s="12">
        <f t="shared" si="80"/>
        <v>-8966000</v>
      </c>
      <c r="AO167" s="12">
        <f t="shared" si="81"/>
        <v>8994000</v>
      </c>
      <c r="AP167" s="8">
        <v>147896000</v>
      </c>
      <c r="AQ167" s="8">
        <v>9860000</v>
      </c>
      <c r="AR167" s="13">
        <f t="shared" si="82"/>
        <v>-138036000</v>
      </c>
      <c r="AS167" s="13">
        <f t="shared" si="83"/>
        <v>157756000</v>
      </c>
      <c r="AT167" s="5">
        <f t="shared" si="94"/>
        <v>6.071834261913777E-2</v>
      </c>
      <c r="AU167" s="5">
        <f t="shared" si="95"/>
        <v>1.4198782961460446E-3</v>
      </c>
      <c r="AV167" s="5">
        <f t="shared" si="84"/>
        <v>5.9192261146080758E-5</v>
      </c>
      <c r="AW167" s="5">
        <f t="shared" si="85"/>
        <v>4.7657018220575822E-6</v>
      </c>
      <c r="AX167" s="5">
        <f t="shared" si="96"/>
        <v>5.7012094627145717E-2</v>
      </c>
      <c r="AY167" s="10">
        <f t="shared" si="97"/>
        <v>2.1042286167048656E-2</v>
      </c>
      <c r="AZ167" s="24">
        <v>22</v>
      </c>
      <c r="BA167" s="19">
        <v>228583110.16083306</v>
      </c>
      <c r="BB167" s="17">
        <v>18</v>
      </c>
      <c r="BC167" s="19">
        <v>228583110.16083306</v>
      </c>
      <c r="BD167" s="17">
        <v>3</v>
      </c>
      <c r="BE167" s="19">
        <v>0</v>
      </c>
      <c r="BF167" s="17">
        <v>1</v>
      </c>
      <c r="BG167" s="19">
        <v>0</v>
      </c>
      <c r="BH167" s="26">
        <f t="shared" si="86"/>
        <v>0.53479110706673971</v>
      </c>
      <c r="BI167" s="26">
        <f t="shared" si="87"/>
        <v>0.53479110706673971</v>
      </c>
      <c r="BJ167" s="26">
        <f t="shared" si="88"/>
        <v>0</v>
      </c>
      <c r="BK167" s="26">
        <f t="shared" si="89"/>
        <v>0</v>
      </c>
      <c r="BL167" s="34">
        <f t="shared" si="92"/>
        <v>13446065.303578416</v>
      </c>
      <c r="BM167" s="35">
        <f t="shared" si="91"/>
        <v>3.1458300415690574E-2</v>
      </c>
    </row>
    <row r="168" spans="1:65" x14ac:dyDescent="0.35">
      <c r="A168" s="18">
        <v>167</v>
      </c>
      <c r="B168" t="s">
        <v>397</v>
      </c>
      <c r="C168" s="3" t="s">
        <v>97</v>
      </c>
      <c r="D168" s="17" t="s">
        <v>7</v>
      </c>
      <c r="E168" s="17" t="s">
        <v>13</v>
      </c>
      <c r="F168" s="2">
        <v>0</v>
      </c>
      <c r="G168" s="2">
        <v>0</v>
      </c>
      <c r="H168" s="2">
        <v>1</v>
      </c>
      <c r="I168" s="18">
        <v>2018</v>
      </c>
      <c r="J168" s="2">
        <v>0</v>
      </c>
      <c r="K168" s="2" t="s">
        <v>152</v>
      </c>
      <c r="L168" s="4">
        <v>792966838160</v>
      </c>
      <c r="M168" s="2">
        <v>29</v>
      </c>
      <c r="N168" s="4">
        <v>16650000000</v>
      </c>
      <c r="O168" s="2">
        <v>48</v>
      </c>
      <c r="P168" s="4">
        <v>26150000000</v>
      </c>
      <c r="Q168" s="2">
        <v>77</v>
      </c>
      <c r="R168" s="4">
        <v>42800000000</v>
      </c>
      <c r="S168" s="5">
        <f t="shared" si="70"/>
        <v>2.0997094958768583E-2</v>
      </c>
      <c r="T168" s="5">
        <f t="shared" si="71"/>
        <v>3.2977419409717629E-2</v>
      </c>
      <c r="U168" s="5">
        <f t="shared" si="72"/>
        <v>5.3974514368486208E-2</v>
      </c>
      <c r="V168" s="26">
        <f t="shared" si="73"/>
        <v>1.2401033791886075E-2</v>
      </c>
      <c r="W168" s="26">
        <f t="shared" si="74"/>
        <v>3.2887290288502652E-2</v>
      </c>
      <c r="X168" s="26">
        <f t="shared" si="75"/>
        <v>1.9973586332093538E-2</v>
      </c>
      <c r="Y168" s="26">
        <f t="shared" si="76"/>
        <v>2517647058.8235292</v>
      </c>
      <c r="Z168" s="26">
        <f t="shared" si="77"/>
        <v>3.1749714334403652E-3</v>
      </c>
      <c r="AA168" s="2">
        <v>1</v>
      </c>
      <c r="AB168" s="18">
        <v>0</v>
      </c>
      <c r="AC168" s="4">
        <v>0</v>
      </c>
      <c r="AD168" s="18">
        <v>0</v>
      </c>
      <c r="AE168" s="4">
        <v>0</v>
      </c>
      <c r="AF168" s="2">
        <v>0</v>
      </c>
      <c r="AG168" s="4">
        <v>0</v>
      </c>
      <c r="AH168" s="28">
        <f t="shared" si="78"/>
        <v>0</v>
      </c>
      <c r="AI168" s="4">
        <f t="shared" si="100"/>
        <v>0</v>
      </c>
      <c r="AJ168" s="26">
        <f t="shared" si="90"/>
        <v>0</v>
      </c>
      <c r="AK168" s="26">
        <f t="shared" si="79"/>
        <v>0</v>
      </c>
      <c r="AL168" s="4">
        <v>27066620000</v>
      </c>
      <c r="AM168" s="4">
        <v>9339878000</v>
      </c>
      <c r="AN168" s="12">
        <f t="shared" si="80"/>
        <v>-17726742000</v>
      </c>
      <c r="AO168" s="12">
        <f t="shared" si="81"/>
        <v>36406498000</v>
      </c>
      <c r="AP168" s="8">
        <v>144334893000</v>
      </c>
      <c r="AQ168" s="8">
        <v>251800458000</v>
      </c>
      <c r="AR168" s="13">
        <f t="shared" si="82"/>
        <v>107465565000</v>
      </c>
      <c r="AS168" s="13">
        <f t="shared" si="83"/>
        <v>396135351000</v>
      </c>
      <c r="AT168" s="5">
        <f t="shared" si="94"/>
        <v>0.18752651862221562</v>
      </c>
      <c r="AU168" s="5">
        <f t="shared" si="95"/>
        <v>3.7092378918548274E-2</v>
      </c>
      <c r="AV168" s="5">
        <f t="shared" si="84"/>
        <v>5.7767003022039971E-2</v>
      </c>
      <c r="AW168" s="5">
        <f t="shared" si="85"/>
        <v>0.12170445248331986</v>
      </c>
      <c r="AX168" s="5">
        <f t="shared" si="96"/>
        <v>9.1904188576191981E-2</v>
      </c>
      <c r="AY168" s="10">
        <f t="shared" si="97"/>
        <v>4.5911753490823937E-2</v>
      </c>
      <c r="AZ168" s="24" t="s">
        <v>152</v>
      </c>
      <c r="BA168" s="29" t="s">
        <v>152</v>
      </c>
      <c r="BB168" s="24" t="s">
        <v>152</v>
      </c>
      <c r="BC168" s="29" t="s">
        <v>152</v>
      </c>
      <c r="BD168" s="24" t="s">
        <v>152</v>
      </c>
      <c r="BE168" s="29" t="s">
        <v>152</v>
      </c>
      <c r="BF168" s="24" t="s">
        <v>152</v>
      </c>
      <c r="BG168" s="29" t="s">
        <v>152</v>
      </c>
      <c r="BH168" s="26">
        <f t="shared" si="86"/>
        <v>0</v>
      </c>
      <c r="BI168" s="26">
        <f t="shared" si="87"/>
        <v>0</v>
      </c>
      <c r="BJ168" s="26">
        <f t="shared" si="88"/>
        <v>0</v>
      </c>
      <c r="BK168" s="26">
        <f t="shared" si="89"/>
        <v>0</v>
      </c>
      <c r="BL168" s="34">
        <f t="shared" si="92"/>
        <v>0</v>
      </c>
      <c r="BM168" s="35">
        <f t="shared" si="91"/>
        <v>0</v>
      </c>
    </row>
    <row r="169" spans="1:65" x14ac:dyDescent="0.35">
      <c r="A169" s="18">
        <v>168</v>
      </c>
      <c r="B169" t="s">
        <v>398</v>
      </c>
      <c r="C169" s="3" t="s">
        <v>98</v>
      </c>
      <c r="D169" s="17" t="s">
        <v>9</v>
      </c>
      <c r="E169" s="17" t="s">
        <v>10</v>
      </c>
      <c r="F169" s="2">
        <v>0</v>
      </c>
      <c r="G169" s="2">
        <v>0</v>
      </c>
      <c r="H169" s="2">
        <v>1</v>
      </c>
      <c r="I169" s="2">
        <v>2018</v>
      </c>
      <c r="J169" s="2">
        <v>1</v>
      </c>
      <c r="K169" s="2">
        <v>2005</v>
      </c>
      <c r="L169" s="4">
        <v>23306213742.360191</v>
      </c>
      <c r="M169" s="2">
        <v>2</v>
      </c>
      <c r="N169" s="4">
        <v>490000000</v>
      </c>
      <c r="O169" s="2">
        <v>6</v>
      </c>
      <c r="P169" s="4">
        <v>4180000000</v>
      </c>
      <c r="Q169" s="2">
        <v>8</v>
      </c>
      <c r="R169" s="4">
        <v>4670000000</v>
      </c>
      <c r="S169" s="5">
        <f t="shared" si="70"/>
        <v>2.1024436033099655E-2</v>
      </c>
      <c r="T169" s="5">
        <f t="shared" si="71"/>
        <v>0.17935131146603381</v>
      </c>
      <c r="U169" s="5">
        <f t="shared" si="72"/>
        <v>0.20037574749913345</v>
      </c>
      <c r="V169" s="26">
        <f t="shared" si="73"/>
        <v>3.6495534883028088E-4</v>
      </c>
      <c r="W169" s="26">
        <f t="shared" si="74"/>
        <v>5.2569358855044396E-3</v>
      </c>
      <c r="X169" s="26">
        <f t="shared" si="75"/>
        <v>2.1793609385718886E-3</v>
      </c>
      <c r="Y169" s="26">
        <f t="shared" si="76"/>
        <v>274705882.35294116</v>
      </c>
      <c r="Z169" s="26">
        <f t="shared" si="77"/>
        <v>1.1786808676419614E-2</v>
      </c>
      <c r="AA169" s="2">
        <v>3</v>
      </c>
      <c r="AB169" s="18">
        <v>0</v>
      </c>
      <c r="AC169" s="4">
        <v>0</v>
      </c>
      <c r="AD169" s="18">
        <v>0</v>
      </c>
      <c r="AE169" s="4">
        <v>0</v>
      </c>
      <c r="AF169" s="2">
        <v>0</v>
      </c>
      <c r="AG169" s="4">
        <v>0</v>
      </c>
      <c r="AH169" s="28">
        <f t="shared" si="78"/>
        <v>0</v>
      </c>
      <c r="AI169" s="4">
        <f t="shared" si="100"/>
        <v>0</v>
      </c>
      <c r="AJ169" s="26">
        <f t="shared" si="90"/>
        <v>0</v>
      </c>
      <c r="AK169" s="26">
        <f t="shared" si="79"/>
        <v>0</v>
      </c>
      <c r="AL169" s="4">
        <v>871078000</v>
      </c>
      <c r="AM169" s="4">
        <v>276314000</v>
      </c>
      <c r="AN169" s="12">
        <f t="shared" si="80"/>
        <v>-594764000</v>
      </c>
      <c r="AO169" s="12">
        <f t="shared" si="81"/>
        <v>1147392000</v>
      </c>
      <c r="AP169" s="8">
        <v>8146866000</v>
      </c>
      <c r="AQ169" s="8">
        <v>4175809000</v>
      </c>
      <c r="AR169" s="13">
        <f t="shared" si="82"/>
        <v>-3971057000</v>
      </c>
      <c r="AS169" s="13">
        <f t="shared" si="83"/>
        <v>12322675000</v>
      </c>
      <c r="AT169" s="5">
        <f t="shared" si="94"/>
        <v>0.10692185191213406</v>
      </c>
      <c r="AU169" s="5">
        <f t="shared" si="95"/>
        <v>6.617017205528318E-2</v>
      </c>
      <c r="AV169" s="5">
        <f t="shared" si="84"/>
        <v>3.2606116446295122E-3</v>
      </c>
      <c r="AW169" s="5">
        <f t="shared" si="85"/>
        <v>2.0183225719943663E-3</v>
      </c>
      <c r="AX169" s="5">
        <f t="shared" si="96"/>
        <v>9.3112250383946674E-2</v>
      </c>
      <c r="AY169" s="10">
        <f t="shared" si="97"/>
        <v>4.9231162671204656E-2</v>
      </c>
      <c r="AZ169" s="24">
        <v>83</v>
      </c>
      <c r="BA169" s="19">
        <v>4271792281.2145119</v>
      </c>
      <c r="BB169" s="17">
        <v>67</v>
      </c>
      <c r="BC169" s="19">
        <v>2574765569.3663158</v>
      </c>
      <c r="BD169" s="17">
        <v>8</v>
      </c>
      <c r="BE169" s="19">
        <v>1365681223.5220661</v>
      </c>
      <c r="BF169" s="17">
        <v>8</v>
      </c>
      <c r="BG169" s="19">
        <v>331345488.32612902</v>
      </c>
      <c r="BH169" s="26">
        <f t="shared" si="86"/>
        <v>0.18328984400629258</v>
      </c>
      <c r="BI169" s="26">
        <f t="shared" si="87"/>
        <v>0.11047549798646841</v>
      </c>
      <c r="BJ169" s="26">
        <f t="shared" si="88"/>
        <v>5.8597301072540721E-2</v>
      </c>
      <c r="BK169" s="26">
        <f t="shared" si="89"/>
        <v>1.4217044947283404E-2</v>
      </c>
      <c r="BL169" s="34">
        <f t="shared" si="92"/>
        <v>251281898.89497128</v>
      </c>
      <c r="BM169" s="35">
        <f t="shared" si="91"/>
        <v>1.0781755529781917E-2</v>
      </c>
    </row>
    <row r="170" spans="1:65" x14ac:dyDescent="0.35">
      <c r="A170" s="18">
        <v>169</v>
      </c>
      <c r="B170" t="s">
        <v>399</v>
      </c>
      <c r="C170" s="3" t="s">
        <v>99</v>
      </c>
      <c r="D170" s="17" t="s">
        <v>4</v>
      </c>
      <c r="E170" s="17" t="s">
        <v>5</v>
      </c>
      <c r="F170" s="2">
        <v>2</v>
      </c>
      <c r="G170" s="2">
        <v>0</v>
      </c>
      <c r="H170" s="2">
        <v>1</v>
      </c>
      <c r="I170" s="18">
        <v>2015</v>
      </c>
      <c r="J170" s="2">
        <v>0</v>
      </c>
      <c r="K170" s="2" t="s">
        <v>152</v>
      </c>
      <c r="L170" s="4">
        <v>51475016532.129341</v>
      </c>
      <c r="M170" s="2">
        <v>3</v>
      </c>
      <c r="N170" s="4">
        <v>930000000</v>
      </c>
      <c r="O170" s="2">
        <v>24</v>
      </c>
      <c r="P170" s="4">
        <v>9730000000</v>
      </c>
      <c r="Q170" s="2">
        <v>27</v>
      </c>
      <c r="R170" s="4">
        <v>10660000000</v>
      </c>
      <c r="S170" s="5">
        <f t="shared" si="70"/>
        <v>1.8067017024064842E-2</v>
      </c>
      <c r="T170" s="5">
        <f t="shared" si="71"/>
        <v>0.18902373725177518</v>
      </c>
      <c r="U170" s="5">
        <f t="shared" si="72"/>
        <v>0.20709075427584001</v>
      </c>
      <c r="V170" s="26">
        <f t="shared" si="73"/>
        <v>6.9267035594318611E-4</v>
      </c>
      <c r="W170" s="26">
        <f t="shared" si="74"/>
        <v>1.2236838795683779E-2</v>
      </c>
      <c r="X170" s="26">
        <f t="shared" si="75"/>
        <v>4.9747296799092788E-3</v>
      </c>
      <c r="Y170" s="26">
        <f t="shared" si="76"/>
        <v>627058823.52941179</v>
      </c>
      <c r="Z170" s="26">
        <f t="shared" si="77"/>
        <v>1.2181809075049413E-2</v>
      </c>
      <c r="AA170" s="2">
        <v>2</v>
      </c>
      <c r="AB170" s="2">
        <v>0</v>
      </c>
      <c r="AC170" s="4">
        <v>0</v>
      </c>
      <c r="AD170" s="2">
        <v>0</v>
      </c>
      <c r="AE170" s="4">
        <v>0</v>
      </c>
      <c r="AF170" s="2">
        <v>0</v>
      </c>
      <c r="AG170" s="4">
        <v>0</v>
      </c>
      <c r="AH170" s="28">
        <f t="shared" si="78"/>
        <v>0</v>
      </c>
      <c r="AI170" s="4">
        <f t="shared" si="100"/>
        <v>0</v>
      </c>
      <c r="AJ170" s="26">
        <f t="shared" si="90"/>
        <v>0</v>
      </c>
      <c r="AK170" s="26">
        <f t="shared" si="79"/>
        <v>0</v>
      </c>
      <c r="AL170" s="4">
        <v>2506052000</v>
      </c>
      <c r="AM170" s="4">
        <v>318351000</v>
      </c>
      <c r="AN170" s="12">
        <f t="shared" si="80"/>
        <v>-2187701000</v>
      </c>
      <c r="AO170" s="12">
        <f t="shared" si="81"/>
        <v>2824403000</v>
      </c>
      <c r="AP170" s="8">
        <v>26548364000</v>
      </c>
      <c r="AQ170" s="8">
        <v>19557555000</v>
      </c>
      <c r="AR170" s="13">
        <f t="shared" si="82"/>
        <v>-6990809000</v>
      </c>
      <c r="AS170" s="13">
        <f t="shared" si="83"/>
        <v>46105919000</v>
      </c>
      <c r="AT170" s="5">
        <f t="shared" ref="AT170:AT201" si="101">IFERROR(AL170/AP170,"na")</f>
        <v>9.439572246335029E-2</v>
      </c>
      <c r="AU170" s="5">
        <f t="shared" ref="AU170:AU201" si="102">IFERROR(AM170/AQ170,"na")</f>
        <v>1.6277648202957885E-2</v>
      </c>
      <c r="AV170" s="5">
        <f t="shared" si="84"/>
        <v>1.0625423912000385E-2</v>
      </c>
      <c r="AW170" s="5">
        <f t="shared" si="85"/>
        <v>9.4528879815914176E-3</v>
      </c>
      <c r="AX170" s="5">
        <f t="shared" ref="AX170:AX201" si="103">IFERROR(AO170/AS170,"na")</f>
        <v>6.1259011017652638E-2</v>
      </c>
      <c r="AY170" s="10">
        <f t="shared" ref="AY170:AY201" si="104">IFERROR(AO170/L170,"na")</f>
        <v>5.4869394713784742E-2</v>
      </c>
      <c r="AZ170" s="24">
        <v>66</v>
      </c>
      <c r="BA170" s="19">
        <v>4251444743.7936091</v>
      </c>
      <c r="BB170" s="17">
        <v>38</v>
      </c>
      <c r="BC170" s="19">
        <v>1195786657.3237548</v>
      </c>
      <c r="BD170" s="17">
        <v>24</v>
      </c>
      <c r="BE170" s="19">
        <v>2571020557.8682885</v>
      </c>
      <c r="BF170" s="17">
        <v>4</v>
      </c>
      <c r="BG170" s="19">
        <v>484637528.60156596</v>
      </c>
      <c r="BH170" s="26">
        <f t="shared" si="86"/>
        <v>8.2592392003215193E-2</v>
      </c>
      <c r="BI170" s="26">
        <f t="shared" si="87"/>
        <v>2.3230427844105235E-2</v>
      </c>
      <c r="BJ170" s="26">
        <f t="shared" si="88"/>
        <v>4.9946959342179631E-2</v>
      </c>
      <c r="BK170" s="26">
        <f t="shared" si="89"/>
        <v>9.4150048169303266E-3</v>
      </c>
      <c r="BL170" s="34">
        <f t="shared" si="92"/>
        <v>250084984.92903584</v>
      </c>
      <c r="BM170" s="35">
        <f t="shared" si="91"/>
        <v>4.8583760001891293E-3</v>
      </c>
    </row>
    <row r="171" spans="1:65" x14ac:dyDescent="0.35">
      <c r="A171" s="18">
        <v>170</v>
      </c>
      <c r="B171" t="s">
        <v>400</v>
      </c>
      <c r="C171" s="3" t="s">
        <v>100</v>
      </c>
      <c r="D171" s="17" t="s">
        <v>9</v>
      </c>
      <c r="E171" s="17" t="s">
        <v>13</v>
      </c>
      <c r="F171" s="2">
        <v>0</v>
      </c>
      <c r="G171" s="2">
        <v>0</v>
      </c>
      <c r="H171" s="2">
        <v>1</v>
      </c>
      <c r="I171" s="18">
        <v>2018</v>
      </c>
      <c r="J171" s="2">
        <v>0</v>
      </c>
      <c r="K171" s="2" t="s">
        <v>152</v>
      </c>
      <c r="L171" s="4">
        <v>1581380268.6428902</v>
      </c>
      <c r="M171" s="2">
        <v>0</v>
      </c>
      <c r="N171" s="4">
        <v>0</v>
      </c>
      <c r="O171" s="2">
        <v>0</v>
      </c>
      <c r="P171" s="4">
        <v>0</v>
      </c>
      <c r="Q171" s="2">
        <v>0</v>
      </c>
      <c r="R171" s="4">
        <v>0</v>
      </c>
      <c r="S171" s="5">
        <f t="shared" si="70"/>
        <v>0</v>
      </c>
      <c r="T171" s="15">
        <f t="shared" si="71"/>
        <v>0</v>
      </c>
      <c r="U171" s="5">
        <f t="shared" si="72"/>
        <v>0</v>
      </c>
      <c r="V171" s="26">
        <f t="shared" si="73"/>
        <v>0</v>
      </c>
      <c r="W171" s="26">
        <f t="shared" si="74"/>
        <v>0</v>
      </c>
      <c r="X171" s="26">
        <f t="shared" si="75"/>
        <v>0</v>
      </c>
      <c r="Y171" s="26">
        <f t="shared" si="76"/>
        <v>0</v>
      </c>
      <c r="Z171" s="26">
        <f t="shared" si="77"/>
        <v>0</v>
      </c>
      <c r="AA171" s="2">
        <v>0</v>
      </c>
      <c r="AB171" s="2" t="s">
        <v>152</v>
      </c>
      <c r="AC171" s="4" t="s">
        <v>152</v>
      </c>
      <c r="AD171" s="2" t="s">
        <v>152</v>
      </c>
      <c r="AE171" s="4" t="s">
        <v>152</v>
      </c>
      <c r="AF171" s="2" t="s">
        <v>152</v>
      </c>
      <c r="AG171" s="4" t="s">
        <v>152</v>
      </c>
      <c r="AH171" s="28">
        <f t="shared" si="78"/>
        <v>0</v>
      </c>
      <c r="AI171" s="4" t="str">
        <f t="shared" si="100"/>
        <v>na</v>
      </c>
      <c r="AJ171" s="26" t="str">
        <f t="shared" si="90"/>
        <v>na</v>
      </c>
      <c r="AK171" s="26" t="str">
        <f t="shared" si="79"/>
        <v>na</v>
      </c>
      <c r="AL171" s="4">
        <v>69050000</v>
      </c>
      <c r="AM171" s="4">
        <v>2769000</v>
      </c>
      <c r="AN171" s="12">
        <f t="shared" si="80"/>
        <v>-66281000</v>
      </c>
      <c r="AO171" s="12">
        <f t="shared" si="81"/>
        <v>71819000</v>
      </c>
      <c r="AP171" s="8">
        <v>1474528000</v>
      </c>
      <c r="AQ171" s="8">
        <v>844891000</v>
      </c>
      <c r="AR171" s="13">
        <f t="shared" si="82"/>
        <v>-629637000</v>
      </c>
      <c r="AS171" s="13">
        <f t="shared" si="83"/>
        <v>2319419000</v>
      </c>
      <c r="AT171" s="5">
        <f t="shared" si="101"/>
        <v>4.6828544456259905E-2</v>
      </c>
      <c r="AU171" s="5">
        <f t="shared" si="102"/>
        <v>3.2773458351432316E-3</v>
      </c>
      <c r="AV171" s="5">
        <f t="shared" si="84"/>
        <v>5.9014879674371286E-4</v>
      </c>
      <c r="AW171" s="5">
        <f t="shared" si="85"/>
        <v>4.0836699575456925E-4</v>
      </c>
      <c r="AX171" s="5">
        <f t="shared" si="103"/>
        <v>3.0964219918867612E-2</v>
      </c>
      <c r="AY171" s="10">
        <f t="shared" si="104"/>
        <v>4.5415388963739672E-2</v>
      </c>
      <c r="AZ171" s="24">
        <v>101</v>
      </c>
      <c r="BA171" s="19">
        <v>260039333.35075414</v>
      </c>
      <c r="BB171" s="17">
        <v>97</v>
      </c>
      <c r="BC171" s="19">
        <v>219442020.71796975</v>
      </c>
      <c r="BD171" s="17">
        <v>3</v>
      </c>
      <c r="BE171" s="19">
        <v>0</v>
      </c>
      <c r="BF171" s="17">
        <v>1</v>
      </c>
      <c r="BG171" s="19">
        <v>40597312.632784396</v>
      </c>
      <c r="BH171" s="26">
        <f t="shared" si="86"/>
        <v>0.16443820534950448</v>
      </c>
      <c r="BI171" s="26">
        <f t="shared" si="87"/>
        <v>0.13876613049326245</v>
      </c>
      <c r="BJ171" s="26">
        <f t="shared" si="88"/>
        <v>0</v>
      </c>
      <c r="BK171" s="26">
        <f t="shared" si="89"/>
        <v>2.5672074856242021E-2</v>
      </c>
      <c r="BL171" s="34">
        <f t="shared" si="92"/>
        <v>15296431.373573773</v>
      </c>
      <c r="BM171" s="35">
        <f t="shared" si="91"/>
        <v>9.6728356087943806E-3</v>
      </c>
    </row>
    <row r="172" spans="1:65" x14ac:dyDescent="0.35">
      <c r="A172" s="18">
        <v>171</v>
      </c>
      <c r="B172" t="s">
        <v>401</v>
      </c>
      <c r="C172" s="3" t="s">
        <v>101</v>
      </c>
      <c r="D172" s="17" t="s">
        <v>9</v>
      </c>
      <c r="E172" s="17" t="s">
        <v>2</v>
      </c>
      <c r="F172" s="2">
        <v>0</v>
      </c>
      <c r="G172" s="2">
        <v>0</v>
      </c>
      <c r="H172" s="2">
        <v>1</v>
      </c>
      <c r="I172" s="18">
        <v>2018</v>
      </c>
      <c r="J172" s="2">
        <v>0</v>
      </c>
      <c r="K172" s="2" t="s">
        <v>152</v>
      </c>
      <c r="L172" s="4">
        <v>4121733705.2916489</v>
      </c>
      <c r="M172" s="2">
        <v>5</v>
      </c>
      <c r="N172" s="4">
        <v>4050000000</v>
      </c>
      <c r="O172" s="2">
        <v>4</v>
      </c>
      <c r="P172" s="4">
        <v>1940000000</v>
      </c>
      <c r="Q172" s="2">
        <v>9</v>
      </c>
      <c r="R172" s="4">
        <v>5990000000</v>
      </c>
      <c r="S172" s="5">
        <f t="shared" si="70"/>
        <v>0.98259623002826357</v>
      </c>
      <c r="T172" s="5">
        <f t="shared" si="71"/>
        <v>0.47067572500119292</v>
      </c>
      <c r="U172" s="5">
        <f t="shared" si="72"/>
        <v>1.4532719550294564</v>
      </c>
      <c r="V172" s="26">
        <f t="shared" si="73"/>
        <v>3.0164676791074236E-3</v>
      </c>
      <c r="W172" s="26">
        <f t="shared" si="74"/>
        <v>2.4398219181527782E-3</v>
      </c>
      <c r="X172" s="26">
        <f t="shared" si="75"/>
        <v>2.7953687413373902E-3</v>
      </c>
      <c r="Y172" s="26">
        <f t="shared" si="76"/>
        <v>352352941.17647058</v>
      </c>
      <c r="Z172" s="26">
        <f t="shared" si="77"/>
        <v>8.5486585589968023E-2</v>
      </c>
      <c r="AA172" s="2">
        <v>0</v>
      </c>
      <c r="AB172" s="2" t="s">
        <v>152</v>
      </c>
      <c r="AC172" s="4" t="s">
        <v>152</v>
      </c>
      <c r="AD172" s="2" t="s">
        <v>152</v>
      </c>
      <c r="AE172" s="4" t="s">
        <v>152</v>
      </c>
      <c r="AF172" s="2" t="s">
        <v>152</v>
      </c>
      <c r="AG172" s="4" t="s">
        <v>152</v>
      </c>
      <c r="AH172" s="28">
        <f t="shared" si="78"/>
        <v>0</v>
      </c>
      <c r="AI172" s="4" t="str">
        <f t="shared" si="100"/>
        <v>na</v>
      </c>
      <c r="AJ172" s="26" t="str">
        <f t="shared" si="90"/>
        <v>na</v>
      </c>
      <c r="AK172" s="26" t="str">
        <f t="shared" si="79"/>
        <v>na</v>
      </c>
      <c r="AL172" s="14">
        <v>313687000</v>
      </c>
      <c r="AM172" s="14">
        <v>197455000</v>
      </c>
      <c r="AN172" s="12">
        <f t="shared" si="80"/>
        <v>-116232000</v>
      </c>
      <c r="AO172" s="12">
        <f t="shared" si="81"/>
        <v>511142000</v>
      </c>
      <c r="AP172" s="8">
        <v>1184904000</v>
      </c>
      <c r="AQ172" s="8">
        <v>760200000</v>
      </c>
      <c r="AR172" s="13">
        <f t="shared" si="82"/>
        <v>-424704000</v>
      </c>
      <c r="AS172" s="13">
        <f t="shared" si="83"/>
        <v>1945104000</v>
      </c>
      <c r="AT172" s="5">
        <f t="shared" si="101"/>
        <v>0.26473621491698907</v>
      </c>
      <c r="AU172" s="5">
        <f t="shared" si="102"/>
        <v>0.25974085766903449</v>
      </c>
      <c r="AV172" s="5">
        <f t="shared" si="84"/>
        <v>4.7423288663003512E-4</v>
      </c>
      <c r="AW172" s="5">
        <f t="shared" si="85"/>
        <v>3.6743271045924683E-4</v>
      </c>
      <c r="AX172" s="5">
        <f t="shared" si="103"/>
        <v>0.26278389227516885</v>
      </c>
      <c r="AY172" s="10">
        <f t="shared" si="104"/>
        <v>0.12401140795286585</v>
      </c>
      <c r="AZ172" s="24">
        <v>166</v>
      </c>
      <c r="BA172" s="19">
        <v>3394795029.1822715</v>
      </c>
      <c r="BB172" s="17">
        <v>150</v>
      </c>
      <c r="BC172" s="19">
        <v>497214732.22004497</v>
      </c>
      <c r="BD172" s="17">
        <v>12</v>
      </c>
      <c r="BE172" s="19">
        <v>2773640094.1698499</v>
      </c>
      <c r="BF172" s="17">
        <v>4</v>
      </c>
      <c r="BG172" s="19">
        <v>123940202.79237621</v>
      </c>
      <c r="BH172" s="26">
        <f t="shared" si="86"/>
        <v>0.82363278947979968</v>
      </c>
      <c r="BI172" s="26">
        <f t="shared" si="87"/>
        <v>0.12063242503553796</v>
      </c>
      <c r="BJ172" s="26">
        <f t="shared" si="88"/>
        <v>0.67293044444111905</v>
      </c>
      <c r="BK172" s="26">
        <f t="shared" si="89"/>
        <v>3.0069920003142549E-2</v>
      </c>
      <c r="BL172" s="34">
        <f t="shared" si="92"/>
        <v>199693825.24601597</v>
      </c>
      <c r="BM172" s="35">
        <f t="shared" si="91"/>
        <v>4.8448987616458807E-2</v>
      </c>
    </row>
    <row r="173" spans="1:65" x14ac:dyDescent="0.35">
      <c r="A173" s="18">
        <v>172</v>
      </c>
      <c r="B173" t="s">
        <v>402</v>
      </c>
      <c r="C173" s="3" t="s">
        <v>102</v>
      </c>
      <c r="D173" s="17" t="s">
        <v>23</v>
      </c>
      <c r="E173" s="17" t="s">
        <v>13</v>
      </c>
      <c r="F173" s="2">
        <v>0</v>
      </c>
      <c r="G173" s="2">
        <v>0</v>
      </c>
      <c r="H173" s="2">
        <v>1</v>
      </c>
      <c r="I173" s="18">
        <v>2018</v>
      </c>
      <c r="J173" s="2">
        <v>0</v>
      </c>
      <c r="K173" s="2" t="s">
        <v>152</v>
      </c>
      <c r="L173" s="4">
        <v>374386306993.1095</v>
      </c>
      <c r="M173" s="2">
        <v>20</v>
      </c>
      <c r="N173" s="4">
        <v>11970000000</v>
      </c>
      <c r="O173" s="2">
        <v>84</v>
      </c>
      <c r="P173" s="4">
        <v>38730000000</v>
      </c>
      <c r="Q173" s="2">
        <v>104</v>
      </c>
      <c r="R173" s="4">
        <v>50700000000</v>
      </c>
      <c r="S173" s="5">
        <f t="shared" si="70"/>
        <v>3.1972323176393057E-2</v>
      </c>
      <c r="T173" s="5">
        <f t="shared" si="71"/>
        <v>0.10344929629253993</v>
      </c>
      <c r="U173" s="5">
        <f t="shared" si="72"/>
        <v>0.135421619468933</v>
      </c>
      <c r="V173" s="26">
        <f t="shared" si="73"/>
        <v>8.9153378071397185E-3</v>
      </c>
      <c r="W173" s="26">
        <f t="shared" si="74"/>
        <v>4.8708403551575824E-2</v>
      </c>
      <c r="X173" s="26">
        <f t="shared" si="75"/>
        <v>2.3660299697129496E-2</v>
      </c>
      <c r="Y173" s="26">
        <f t="shared" si="76"/>
        <v>2982352941.1764708</v>
      </c>
      <c r="Z173" s="26">
        <f t="shared" si="77"/>
        <v>7.9659776158195889E-3</v>
      </c>
      <c r="AA173" s="2">
        <v>1</v>
      </c>
      <c r="AB173" s="11">
        <v>2</v>
      </c>
      <c r="AC173" s="27">
        <v>134000000</v>
      </c>
      <c r="AD173" s="2">
        <v>0</v>
      </c>
      <c r="AE173" s="4">
        <v>0</v>
      </c>
      <c r="AF173" s="2">
        <v>0</v>
      </c>
      <c r="AG173" s="4">
        <v>0</v>
      </c>
      <c r="AH173" s="28">
        <f t="shared" si="78"/>
        <v>2</v>
      </c>
      <c r="AI173" s="4">
        <f t="shared" si="100"/>
        <v>134000000</v>
      </c>
      <c r="AJ173" s="26">
        <f t="shared" si="90"/>
        <v>3.5791907315260398E-4</v>
      </c>
      <c r="AK173" s="26">
        <f t="shared" si="79"/>
        <v>3.36174678369894E-3</v>
      </c>
      <c r="AL173" s="4">
        <v>49037427000</v>
      </c>
      <c r="AM173" s="4">
        <v>51626378000</v>
      </c>
      <c r="AN173" s="12">
        <f t="shared" si="80"/>
        <v>2588951000</v>
      </c>
      <c r="AO173" s="12">
        <f t="shared" si="81"/>
        <v>100663805000</v>
      </c>
      <c r="AP173" s="8">
        <v>359008256000</v>
      </c>
      <c r="AQ173" s="8">
        <v>390386234000</v>
      </c>
      <c r="AR173" s="13">
        <f t="shared" si="82"/>
        <v>31377978000</v>
      </c>
      <c r="AS173" s="13">
        <f t="shared" si="83"/>
        <v>749394490000</v>
      </c>
      <c r="AT173" s="5">
        <f t="shared" si="101"/>
        <v>0.13659136295740229</v>
      </c>
      <c r="AU173" s="5">
        <f t="shared" si="102"/>
        <v>0.13224436085008059</v>
      </c>
      <c r="AV173" s="5">
        <f t="shared" si="84"/>
        <v>0.14368549820651683</v>
      </c>
      <c r="AW173" s="5">
        <f t="shared" si="85"/>
        <v>0.18868807167139937</v>
      </c>
      <c r="AX173" s="5">
        <f t="shared" si="103"/>
        <v>0.13432685500529901</v>
      </c>
      <c r="AY173" s="10">
        <f t="shared" si="104"/>
        <v>0.26887683422100345</v>
      </c>
      <c r="AZ173" s="24" t="s">
        <v>152</v>
      </c>
      <c r="BA173" s="29" t="s">
        <v>152</v>
      </c>
      <c r="BB173" s="24" t="s">
        <v>152</v>
      </c>
      <c r="BC173" s="29" t="s">
        <v>152</v>
      </c>
      <c r="BD173" s="24" t="s">
        <v>152</v>
      </c>
      <c r="BE173" s="29" t="s">
        <v>152</v>
      </c>
      <c r="BF173" s="24" t="s">
        <v>152</v>
      </c>
      <c r="BG173" s="29" t="s">
        <v>152</v>
      </c>
      <c r="BH173" s="26">
        <f t="shared" si="86"/>
        <v>0</v>
      </c>
      <c r="BI173" s="26">
        <f t="shared" si="87"/>
        <v>0</v>
      </c>
      <c r="BJ173" s="26">
        <f t="shared" si="88"/>
        <v>0</v>
      </c>
      <c r="BK173" s="26">
        <f t="shared" si="89"/>
        <v>0</v>
      </c>
      <c r="BL173" s="34">
        <f t="shared" si="92"/>
        <v>0</v>
      </c>
      <c r="BM173" s="35">
        <f t="shared" si="91"/>
        <v>0</v>
      </c>
    </row>
    <row r="174" spans="1:65" x14ac:dyDescent="0.35">
      <c r="A174" s="18">
        <v>173</v>
      </c>
      <c r="B174" t="s">
        <v>462</v>
      </c>
      <c r="C174" s="3" t="s">
        <v>449</v>
      </c>
      <c r="D174" s="17" t="s">
        <v>12</v>
      </c>
      <c r="E174" s="17" t="s">
        <v>13</v>
      </c>
      <c r="F174" s="2">
        <v>0</v>
      </c>
      <c r="G174" s="2">
        <v>0</v>
      </c>
      <c r="H174" s="2">
        <v>0</v>
      </c>
      <c r="I174" s="18" t="s">
        <v>152</v>
      </c>
      <c r="J174" s="2">
        <v>0</v>
      </c>
      <c r="K174" s="2" t="s">
        <v>152</v>
      </c>
      <c r="L174" s="20">
        <v>1185474860.3351955</v>
      </c>
      <c r="M174" s="2">
        <v>0</v>
      </c>
      <c r="N174" s="4">
        <v>0</v>
      </c>
      <c r="O174" s="2">
        <v>0</v>
      </c>
      <c r="P174" s="4">
        <v>0</v>
      </c>
      <c r="Q174" s="2">
        <v>0</v>
      </c>
      <c r="R174" s="4">
        <v>0</v>
      </c>
      <c r="S174" s="5">
        <f t="shared" si="70"/>
        <v>0</v>
      </c>
      <c r="T174" s="15">
        <f t="shared" si="71"/>
        <v>0</v>
      </c>
      <c r="U174" s="5">
        <f t="shared" si="72"/>
        <v>0</v>
      </c>
      <c r="V174" s="26">
        <f t="shared" si="73"/>
        <v>0</v>
      </c>
      <c r="W174" s="26">
        <f t="shared" si="74"/>
        <v>0</v>
      </c>
      <c r="X174" s="26">
        <f t="shared" si="75"/>
        <v>0</v>
      </c>
      <c r="Y174" s="26">
        <f t="shared" si="76"/>
        <v>0</v>
      </c>
      <c r="Z174" s="26">
        <f t="shared" si="77"/>
        <v>0</v>
      </c>
      <c r="AA174" s="2">
        <v>0</v>
      </c>
      <c r="AB174" s="2" t="s">
        <v>152</v>
      </c>
      <c r="AC174" s="4" t="s">
        <v>152</v>
      </c>
      <c r="AD174" s="2" t="s">
        <v>152</v>
      </c>
      <c r="AE174" s="4" t="s">
        <v>152</v>
      </c>
      <c r="AF174" s="2" t="s">
        <v>152</v>
      </c>
      <c r="AG174" s="4" t="s">
        <v>152</v>
      </c>
      <c r="AH174" s="28">
        <f t="shared" si="78"/>
        <v>0</v>
      </c>
      <c r="AI174" s="4" t="s">
        <v>152</v>
      </c>
      <c r="AJ174" s="26" t="str">
        <f t="shared" si="90"/>
        <v>na</v>
      </c>
      <c r="AK174" s="26" t="str">
        <f t="shared" si="79"/>
        <v>na</v>
      </c>
      <c r="AL174" s="21">
        <v>6583000</v>
      </c>
      <c r="AM174" s="21">
        <v>7000</v>
      </c>
      <c r="AN174" s="12">
        <f t="shared" si="80"/>
        <v>-6576000</v>
      </c>
      <c r="AO174" s="12">
        <f t="shared" si="81"/>
        <v>6590000</v>
      </c>
      <c r="AP174" s="19">
        <v>138306000</v>
      </c>
      <c r="AQ174" s="19">
        <v>18520000</v>
      </c>
      <c r="AR174" s="13">
        <f t="shared" si="82"/>
        <v>-119786000</v>
      </c>
      <c r="AS174" s="13">
        <f t="shared" si="83"/>
        <v>156826000</v>
      </c>
      <c r="AT174" s="5">
        <f t="shared" si="101"/>
        <v>4.7597356586120632E-2</v>
      </c>
      <c r="AU174" s="5">
        <f t="shared" si="102"/>
        <v>3.7796976241900648E-4</v>
      </c>
      <c r="AV174" s="5">
        <f t="shared" si="84"/>
        <v>5.5354065492439589E-5</v>
      </c>
      <c r="AW174" s="5">
        <f t="shared" si="85"/>
        <v>8.9513993655686027E-6</v>
      </c>
      <c r="AX174" s="5">
        <f t="shared" si="103"/>
        <v>4.2021093441138586E-2</v>
      </c>
      <c r="AY174" s="10">
        <f t="shared" si="104"/>
        <v>5.5589538171536288E-3</v>
      </c>
      <c r="AZ174" s="24">
        <v>1</v>
      </c>
      <c r="BA174" s="19">
        <v>105275</v>
      </c>
      <c r="BB174" s="17">
        <v>0</v>
      </c>
      <c r="BC174" s="19">
        <v>0</v>
      </c>
      <c r="BD174" s="17">
        <v>1</v>
      </c>
      <c r="BE174" s="19">
        <v>105275</v>
      </c>
      <c r="BF174" s="17">
        <v>0</v>
      </c>
      <c r="BG174" s="19">
        <v>0</v>
      </c>
      <c r="BH174" s="26">
        <f t="shared" si="86"/>
        <v>8.8804076343072569E-5</v>
      </c>
      <c r="BI174" s="26">
        <f t="shared" si="87"/>
        <v>0</v>
      </c>
      <c r="BJ174" s="26">
        <f t="shared" si="88"/>
        <v>8.8804076343072569E-5</v>
      </c>
      <c r="BK174" s="26">
        <f t="shared" si="89"/>
        <v>0</v>
      </c>
      <c r="BL174" s="34">
        <f t="shared" si="92"/>
        <v>6192.6470588235297</v>
      </c>
      <c r="BM174" s="35">
        <f t="shared" si="91"/>
        <v>5.223769196651328E-6</v>
      </c>
    </row>
    <row r="175" spans="1:65" x14ac:dyDescent="0.35">
      <c r="A175" s="18">
        <v>174</v>
      </c>
      <c r="B175" t="s">
        <v>403</v>
      </c>
      <c r="C175" s="3" t="s">
        <v>140</v>
      </c>
      <c r="D175" s="17" t="s">
        <v>4</v>
      </c>
      <c r="E175" s="17" t="s">
        <v>13</v>
      </c>
      <c r="F175" s="2">
        <v>0</v>
      </c>
      <c r="G175" s="2">
        <v>0</v>
      </c>
      <c r="H175" s="2">
        <v>1</v>
      </c>
      <c r="I175" s="18">
        <v>2015</v>
      </c>
      <c r="J175" s="2">
        <v>0</v>
      </c>
      <c r="K175" s="2" t="s">
        <v>152</v>
      </c>
      <c r="L175" s="4">
        <v>105119160234.11748</v>
      </c>
      <c r="M175" s="2">
        <v>0</v>
      </c>
      <c r="N175" s="4">
        <v>0</v>
      </c>
      <c r="O175" s="2">
        <v>0</v>
      </c>
      <c r="P175" s="4">
        <v>0</v>
      </c>
      <c r="Q175" s="2">
        <v>0</v>
      </c>
      <c r="R175" s="4">
        <v>0</v>
      </c>
      <c r="S175" s="5">
        <f t="shared" si="70"/>
        <v>0</v>
      </c>
      <c r="T175" s="15">
        <f t="shared" si="71"/>
        <v>0</v>
      </c>
      <c r="U175" s="5">
        <f t="shared" si="72"/>
        <v>0</v>
      </c>
      <c r="V175" s="26">
        <f t="shared" si="73"/>
        <v>0</v>
      </c>
      <c r="W175" s="26">
        <f t="shared" si="74"/>
        <v>0</v>
      </c>
      <c r="X175" s="26">
        <f t="shared" si="75"/>
        <v>0</v>
      </c>
      <c r="Y175" s="26">
        <f t="shared" si="76"/>
        <v>0</v>
      </c>
      <c r="Z175" s="26">
        <f t="shared" si="77"/>
        <v>0</v>
      </c>
      <c r="AA175" s="2">
        <v>0</v>
      </c>
      <c r="AB175" s="2" t="s">
        <v>152</v>
      </c>
      <c r="AC175" s="4" t="s">
        <v>152</v>
      </c>
      <c r="AD175" s="2" t="s">
        <v>152</v>
      </c>
      <c r="AE175" s="4" t="s">
        <v>152</v>
      </c>
      <c r="AF175" s="2" t="s">
        <v>152</v>
      </c>
      <c r="AG175" s="4" t="s">
        <v>152</v>
      </c>
      <c r="AH175" s="28">
        <f t="shared" si="78"/>
        <v>0</v>
      </c>
      <c r="AI175" s="4" t="str">
        <f t="shared" ref="AI175:AI182" si="105">IFERROR(AC175+AE175,"na")</f>
        <v>na</v>
      </c>
      <c r="AJ175" s="26" t="str">
        <f t="shared" si="90"/>
        <v>na</v>
      </c>
      <c r="AK175" s="26" t="str">
        <f t="shared" si="79"/>
        <v>na</v>
      </c>
      <c r="AL175" s="4">
        <v>5784117000</v>
      </c>
      <c r="AM175" s="4">
        <v>1898518000</v>
      </c>
      <c r="AN175" s="12">
        <f t="shared" si="80"/>
        <v>-3885599000</v>
      </c>
      <c r="AO175" s="12">
        <f t="shared" si="81"/>
        <v>7682635000</v>
      </c>
      <c r="AP175" s="8">
        <v>90908109000</v>
      </c>
      <c r="AQ175" s="8">
        <v>89909085000</v>
      </c>
      <c r="AR175" s="13">
        <f t="shared" si="82"/>
        <v>-999024000</v>
      </c>
      <c r="AS175" s="13">
        <f t="shared" si="83"/>
        <v>180817194000</v>
      </c>
      <c r="AT175" s="5">
        <f t="shared" si="101"/>
        <v>6.3625974224147591E-2</v>
      </c>
      <c r="AU175" s="5">
        <f t="shared" si="102"/>
        <v>2.1115975098623237E-2</v>
      </c>
      <c r="AV175" s="5">
        <f t="shared" si="84"/>
        <v>3.6384057230921557E-2</v>
      </c>
      <c r="AW175" s="5">
        <f t="shared" si="85"/>
        <v>4.3456378316838747E-2</v>
      </c>
      <c r="AX175" s="5">
        <f t="shared" si="103"/>
        <v>4.2488409592286891E-2</v>
      </c>
      <c r="AY175" s="10">
        <f t="shared" si="104"/>
        <v>7.3085011171032208E-2</v>
      </c>
      <c r="AZ175" s="24" t="s">
        <v>152</v>
      </c>
      <c r="BA175" s="29" t="s">
        <v>152</v>
      </c>
      <c r="BB175" s="24" t="s">
        <v>152</v>
      </c>
      <c r="BC175" s="29" t="s">
        <v>152</v>
      </c>
      <c r="BD175" s="24" t="s">
        <v>152</v>
      </c>
      <c r="BE175" s="29" t="s">
        <v>152</v>
      </c>
      <c r="BF175" s="24" t="s">
        <v>152</v>
      </c>
      <c r="BG175" s="29" t="s">
        <v>152</v>
      </c>
      <c r="BH175" s="26">
        <f t="shared" si="86"/>
        <v>0</v>
      </c>
      <c r="BI175" s="26">
        <f t="shared" si="87"/>
        <v>0</v>
      </c>
      <c r="BJ175" s="26">
        <f t="shared" si="88"/>
        <v>0</v>
      </c>
      <c r="BK175" s="26">
        <f t="shared" si="89"/>
        <v>0</v>
      </c>
      <c r="BL175" s="34">
        <f t="shared" si="92"/>
        <v>0</v>
      </c>
      <c r="BM175" s="35">
        <f t="shared" si="91"/>
        <v>0</v>
      </c>
    </row>
    <row r="176" spans="1:65" x14ac:dyDescent="0.35">
      <c r="A176" s="18">
        <v>175</v>
      </c>
      <c r="B176" t="s">
        <v>404</v>
      </c>
      <c r="C176" s="3" t="s">
        <v>103</v>
      </c>
      <c r="D176" s="17" t="s">
        <v>4</v>
      </c>
      <c r="E176" s="17" t="s">
        <v>13</v>
      </c>
      <c r="F176" s="2">
        <v>0</v>
      </c>
      <c r="G176" s="2">
        <v>0</v>
      </c>
      <c r="H176" s="2">
        <v>1</v>
      </c>
      <c r="I176" s="18">
        <v>2017</v>
      </c>
      <c r="J176" s="2">
        <v>0</v>
      </c>
      <c r="K176" s="2" t="s">
        <v>152</v>
      </c>
      <c r="L176" s="4">
        <v>54178877605.999916</v>
      </c>
      <c r="M176" s="2">
        <v>0</v>
      </c>
      <c r="N176" s="4">
        <v>0</v>
      </c>
      <c r="O176" s="2">
        <v>3</v>
      </c>
      <c r="P176" s="4">
        <v>2180000000</v>
      </c>
      <c r="Q176" s="2">
        <v>3</v>
      </c>
      <c r="R176" s="4">
        <v>2180000000</v>
      </c>
      <c r="S176" s="5">
        <f t="shared" si="70"/>
        <v>0</v>
      </c>
      <c r="T176" s="5">
        <f t="shared" si="71"/>
        <v>4.0237083090820268E-2</v>
      </c>
      <c r="U176" s="5">
        <f t="shared" si="72"/>
        <v>4.0237083090820268E-2</v>
      </c>
      <c r="V176" s="26">
        <f t="shared" si="73"/>
        <v>0</v>
      </c>
      <c r="W176" s="26">
        <f t="shared" si="74"/>
        <v>2.7416555575118847E-3</v>
      </c>
      <c r="X176" s="26">
        <f t="shared" si="75"/>
        <v>1.017346219718783E-3</v>
      </c>
      <c r="Y176" s="26">
        <f t="shared" si="76"/>
        <v>128235294.11764705</v>
      </c>
      <c r="Z176" s="26">
        <f t="shared" si="77"/>
        <v>2.3668872406364862E-3</v>
      </c>
      <c r="AA176" s="2">
        <v>0</v>
      </c>
      <c r="AB176" s="18" t="s">
        <v>152</v>
      </c>
      <c r="AC176" s="4" t="s">
        <v>152</v>
      </c>
      <c r="AD176" s="18" t="s">
        <v>152</v>
      </c>
      <c r="AE176" s="4" t="s">
        <v>152</v>
      </c>
      <c r="AF176" s="2" t="s">
        <v>152</v>
      </c>
      <c r="AG176" s="4" t="s">
        <v>152</v>
      </c>
      <c r="AH176" s="28">
        <f t="shared" si="78"/>
        <v>0</v>
      </c>
      <c r="AI176" s="4" t="str">
        <f t="shared" si="105"/>
        <v>na</v>
      </c>
      <c r="AJ176" s="26" t="str">
        <f t="shared" si="90"/>
        <v>na</v>
      </c>
      <c r="AK176" s="26" t="str">
        <f t="shared" si="79"/>
        <v>na</v>
      </c>
      <c r="AL176" s="4">
        <v>2335422000</v>
      </c>
      <c r="AM176" s="4">
        <v>297361000</v>
      </c>
      <c r="AN176" s="12">
        <f t="shared" si="80"/>
        <v>-2038061000</v>
      </c>
      <c r="AO176" s="12">
        <f t="shared" si="81"/>
        <v>2632783000</v>
      </c>
      <c r="AP176" s="8">
        <v>38162054000</v>
      </c>
      <c r="AQ176" s="8">
        <v>37574594000</v>
      </c>
      <c r="AR176" s="13">
        <f t="shared" si="82"/>
        <v>-587460000</v>
      </c>
      <c r="AS176" s="13">
        <f t="shared" si="83"/>
        <v>75736648000</v>
      </c>
      <c r="AT176" s="5">
        <f t="shared" si="101"/>
        <v>6.1197492147566271E-2</v>
      </c>
      <c r="AU176" s="5">
        <f t="shared" si="102"/>
        <v>7.9138845785000373E-3</v>
      </c>
      <c r="AV176" s="5">
        <f t="shared" si="84"/>
        <v>1.5273558894350326E-2</v>
      </c>
      <c r="AW176" s="5">
        <f t="shared" si="85"/>
        <v>1.8161187737208307E-2</v>
      </c>
      <c r="AX176" s="5">
        <f t="shared" si="103"/>
        <v>3.4762338570885787E-2</v>
      </c>
      <c r="AY176" s="10">
        <f t="shared" si="104"/>
        <v>4.8594269876650942E-2</v>
      </c>
      <c r="AZ176" s="24" t="s">
        <v>152</v>
      </c>
      <c r="BA176" s="29" t="s">
        <v>152</v>
      </c>
      <c r="BB176" s="24" t="s">
        <v>152</v>
      </c>
      <c r="BC176" s="29" t="s">
        <v>152</v>
      </c>
      <c r="BD176" s="24" t="s">
        <v>152</v>
      </c>
      <c r="BE176" s="29" t="s">
        <v>152</v>
      </c>
      <c r="BF176" s="24" t="s">
        <v>152</v>
      </c>
      <c r="BG176" s="29" t="s">
        <v>152</v>
      </c>
      <c r="BH176" s="26">
        <f t="shared" si="86"/>
        <v>0</v>
      </c>
      <c r="BI176" s="26">
        <f t="shared" si="87"/>
        <v>0</v>
      </c>
      <c r="BJ176" s="26">
        <f t="shared" si="88"/>
        <v>0</v>
      </c>
      <c r="BK176" s="26">
        <f t="shared" si="89"/>
        <v>0</v>
      </c>
      <c r="BL176" s="34">
        <f t="shared" si="92"/>
        <v>0</v>
      </c>
      <c r="BM176" s="35">
        <f t="shared" si="91"/>
        <v>0</v>
      </c>
    </row>
    <row r="177" spans="1:65" x14ac:dyDescent="0.35">
      <c r="A177" s="18">
        <v>176</v>
      </c>
      <c r="B177" t="s">
        <v>405</v>
      </c>
      <c r="C177" s="3" t="s">
        <v>104</v>
      </c>
      <c r="D177" s="17" t="s">
        <v>23</v>
      </c>
      <c r="E177" s="17" t="s">
        <v>10</v>
      </c>
      <c r="F177" s="2">
        <v>0</v>
      </c>
      <c r="G177" s="2">
        <v>0</v>
      </c>
      <c r="H177" s="2">
        <v>1</v>
      </c>
      <c r="I177" s="18">
        <v>2019</v>
      </c>
      <c r="J177" s="2">
        <v>1</v>
      </c>
      <c r="K177" s="2">
        <v>2019</v>
      </c>
      <c r="L177" s="4">
        <v>1570215577.3607066</v>
      </c>
      <c r="M177" s="2">
        <v>0</v>
      </c>
      <c r="N177" s="4">
        <v>0</v>
      </c>
      <c r="O177" s="2">
        <v>1</v>
      </c>
      <c r="P177" s="4">
        <v>200000000</v>
      </c>
      <c r="Q177" s="2">
        <v>1</v>
      </c>
      <c r="R177" s="4">
        <v>200000000</v>
      </c>
      <c r="S177" s="5">
        <f t="shared" si="70"/>
        <v>0</v>
      </c>
      <c r="T177" s="5">
        <f t="shared" si="71"/>
        <v>0.12737104565996574</v>
      </c>
      <c r="U177" s="5">
        <f t="shared" si="72"/>
        <v>0.12737104565996574</v>
      </c>
      <c r="V177" s="26">
        <f t="shared" si="73"/>
        <v>0</v>
      </c>
      <c r="W177" s="26">
        <f t="shared" si="74"/>
        <v>2.5152803279925549E-4</v>
      </c>
      <c r="X177" s="26">
        <f t="shared" si="75"/>
        <v>9.3334515570530561E-5</v>
      </c>
      <c r="Y177" s="26">
        <f t="shared" si="76"/>
        <v>11764705.882352941</v>
      </c>
      <c r="Z177" s="26">
        <f t="shared" si="77"/>
        <v>7.4924144505862187E-3</v>
      </c>
      <c r="AA177" s="2">
        <v>0</v>
      </c>
      <c r="AB177" s="2" t="s">
        <v>152</v>
      </c>
      <c r="AC177" s="4" t="s">
        <v>152</v>
      </c>
      <c r="AD177" s="2" t="s">
        <v>152</v>
      </c>
      <c r="AE177" s="4" t="s">
        <v>152</v>
      </c>
      <c r="AF177" s="2" t="s">
        <v>152</v>
      </c>
      <c r="AG177" s="4" t="s">
        <v>152</v>
      </c>
      <c r="AH177" s="28">
        <f t="shared" si="78"/>
        <v>0</v>
      </c>
      <c r="AI177" s="4" t="str">
        <f t="shared" si="105"/>
        <v>na</v>
      </c>
      <c r="AJ177" s="26" t="str">
        <f t="shared" si="90"/>
        <v>na</v>
      </c>
      <c r="AK177" s="26" t="str">
        <f t="shared" si="79"/>
        <v>na</v>
      </c>
      <c r="AL177" s="14">
        <v>98567000</v>
      </c>
      <c r="AM177" s="14">
        <v>461733000</v>
      </c>
      <c r="AN177" s="12">
        <f t="shared" si="80"/>
        <v>363166000</v>
      </c>
      <c r="AO177" s="12">
        <f t="shared" si="81"/>
        <v>560300000</v>
      </c>
      <c r="AP177" s="8">
        <v>421615000</v>
      </c>
      <c r="AQ177" s="8">
        <v>705780000</v>
      </c>
      <c r="AR177" s="13">
        <f t="shared" si="82"/>
        <v>284165000</v>
      </c>
      <c r="AS177" s="13">
        <f t="shared" si="83"/>
        <v>1127395000</v>
      </c>
      <c r="AT177" s="5">
        <f t="shared" si="101"/>
        <v>0.23378437674181421</v>
      </c>
      <c r="AU177" s="5">
        <f t="shared" si="102"/>
        <v>0.65421661140865428</v>
      </c>
      <c r="AV177" s="5">
        <f t="shared" si="84"/>
        <v>1.6874252977162898E-4</v>
      </c>
      <c r="AW177" s="5">
        <f t="shared" si="85"/>
        <v>3.4112951642716028E-4</v>
      </c>
      <c r="AX177" s="5">
        <f t="shared" si="103"/>
        <v>0.49698641558637391</v>
      </c>
      <c r="AY177" s="10">
        <f t="shared" si="104"/>
        <v>0.35682998441639396</v>
      </c>
      <c r="AZ177" s="24">
        <v>0</v>
      </c>
      <c r="BA177" s="4" t="s">
        <v>152</v>
      </c>
      <c r="BB177" s="18" t="s">
        <v>152</v>
      </c>
      <c r="BC177" s="4" t="s">
        <v>152</v>
      </c>
      <c r="BD177" s="18" t="s">
        <v>152</v>
      </c>
      <c r="BE177" s="4" t="s">
        <v>152</v>
      </c>
      <c r="BF177" s="18" t="s">
        <v>152</v>
      </c>
      <c r="BG177" s="4" t="s">
        <v>152</v>
      </c>
      <c r="BH177" s="26">
        <f t="shared" si="86"/>
        <v>0</v>
      </c>
      <c r="BI177" s="26">
        <f t="shared" si="87"/>
        <v>0</v>
      </c>
      <c r="BJ177" s="26">
        <f t="shared" si="88"/>
        <v>0</v>
      </c>
      <c r="BK177" s="26">
        <f t="shared" si="89"/>
        <v>0</v>
      </c>
      <c r="BL177" s="34">
        <f t="shared" si="92"/>
        <v>0</v>
      </c>
      <c r="BM177" s="35">
        <f t="shared" si="91"/>
        <v>0</v>
      </c>
    </row>
    <row r="178" spans="1:65" x14ac:dyDescent="0.35">
      <c r="A178" s="18">
        <v>177</v>
      </c>
      <c r="B178" t="s">
        <v>406</v>
      </c>
      <c r="C178" s="3" t="s">
        <v>105</v>
      </c>
      <c r="D178" s="17" t="s">
        <v>9</v>
      </c>
      <c r="E178" s="17" t="s">
        <v>2</v>
      </c>
      <c r="F178" s="2">
        <v>0</v>
      </c>
      <c r="G178" s="2">
        <v>0</v>
      </c>
      <c r="H178" s="2">
        <v>1</v>
      </c>
      <c r="I178" s="18">
        <v>2015</v>
      </c>
      <c r="J178" s="2">
        <v>0</v>
      </c>
      <c r="K178" s="2" t="s">
        <v>152</v>
      </c>
      <c r="L178" s="4">
        <v>4942319040.6982193</v>
      </c>
      <c r="M178" s="2">
        <v>0</v>
      </c>
      <c r="N178" s="4">
        <v>0</v>
      </c>
      <c r="O178" s="2">
        <v>0</v>
      </c>
      <c r="P178" s="4">
        <v>0</v>
      </c>
      <c r="Q178" s="2">
        <v>0</v>
      </c>
      <c r="R178" s="4">
        <v>0</v>
      </c>
      <c r="S178" s="5">
        <f t="shared" si="70"/>
        <v>0</v>
      </c>
      <c r="T178" s="15">
        <f t="shared" si="71"/>
        <v>0</v>
      </c>
      <c r="U178" s="5">
        <f t="shared" si="72"/>
        <v>0</v>
      </c>
      <c r="V178" s="26">
        <f t="shared" si="73"/>
        <v>0</v>
      </c>
      <c r="W178" s="26">
        <f t="shared" si="74"/>
        <v>0</v>
      </c>
      <c r="X178" s="26">
        <f t="shared" si="75"/>
        <v>0</v>
      </c>
      <c r="Y178" s="26">
        <f t="shared" si="76"/>
        <v>0</v>
      </c>
      <c r="Z178" s="26">
        <f t="shared" si="77"/>
        <v>0</v>
      </c>
      <c r="AA178" s="2">
        <v>0</v>
      </c>
      <c r="AB178" s="2" t="s">
        <v>152</v>
      </c>
      <c r="AC178" s="4" t="s">
        <v>152</v>
      </c>
      <c r="AD178" s="18" t="s">
        <v>152</v>
      </c>
      <c r="AE178" s="4" t="s">
        <v>152</v>
      </c>
      <c r="AF178" s="2" t="s">
        <v>152</v>
      </c>
      <c r="AG178" s="4" t="s">
        <v>152</v>
      </c>
      <c r="AH178" s="28">
        <f t="shared" si="78"/>
        <v>0</v>
      </c>
      <c r="AI178" s="4" t="str">
        <f t="shared" si="105"/>
        <v>na</v>
      </c>
      <c r="AJ178" s="26" t="str">
        <f t="shared" si="90"/>
        <v>na</v>
      </c>
      <c r="AK178" s="26" t="str">
        <f t="shared" si="79"/>
        <v>na</v>
      </c>
      <c r="AL178" s="14">
        <v>732058000</v>
      </c>
      <c r="AM178" s="14">
        <v>18638000</v>
      </c>
      <c r="AN178" s="12">
        <f t="shared" si="80"/>
        <v>-713420000</v>
      </c>
      <c r="AO178" s="12">
        <f t="shared" si="81"/>
        <v>750696000</v>
      </c>
      <c r="AP178" s="8">
        <v>3893775000</v>
      </c>
      <c r="AQ178" s="8">
        <v>417976000</v>
      </c>
      <c r="AR178" s="13">
        <f t="shared" si="82"/>
        <v>-3475799000</v>
      </c>
      <c r="AS178" s="13">
        <f t="shared" si="83"/>
        <v>4311751000</v>
      </c>
      <c r="AT178" s="5">
        <f t="shared" si="101"/>
        <v>0.1880072680111203</v>
      </c>
      <c r="AU178" s="5">
        <f t="shared" si="102"/>
        <v>4.4591076999636339E-2</v>
      </c>
      <c r="AV178" s="5">
        <f t="shared" si="84"/>
        <v>1.5584014891821319E-3</v>
      </c>
      <c r="AW178" s="5">
        <f t="shared" si="85"/>
        <v>2.0202322360814812E-4</v>
      </c>
      <c r="AX178" s="5">
        <f t="shared" si="103"/>
        <v>0.17410467348415992</v>
      </c>
      <c r="AY178" s="10">
        <f t="shared" si="104"/>
        <v>0.15189144889641654</v>
      </c>
      <c r="AZ178" s="24">
        <v>50</v>
      </c>
      <c r="BA178" s="19">
        <v>57178560.804101512</v>
      </c>
      <c r="BB178" s="17">
        <v>46</v>
      </c>
      <c r="BC178" s="19">
        <v>57178560.804101512</v>
      </c>
      <c r="BD178" s="17">
        <v>0</v>
      </c>
      <c r="BE178" s="19">
        <v>0</v>
      </c>
      <c r="BF178" s="17">
        <v>4</v>
      </c>
      <c r="BG178" s="19">
        <v>0</v>
      </c>
      <c r="BH178" s="26">
        <f t="shared" si="86"/>
        <v>1.1569176399430435E-2</v>
      </c>
      <c r="BI178" s="26">
        <f t="shared" si="87"/>
        <v>1.1569176399430435E-2</v>
      </c>
      <c r="BJ178" s="26">
        <f t="shared" si="88"/>
        <v>0</v>
      </c>
      <c r="BK178" s="26">
        <f t="shared" si="89"/>
        <v>0</v>
      </c>
      <c r="BL178" s="34">
        <f t="shared" si="92"/>
        <v>3363444.7531824419</v>
      </c>
      <c r="BM178" s="35">
        <f t="shared" si="91"/>
        <v>6.8053978820179037E-4</v>
      </c>
    </row>
    <row r="179" spans="1:65" x14ac:dyDescent="0.35">
      <c r="A179" s="18">
        <v>178</v>
      </c>
      <c r="B179" t="s">
        <v>407</v>
      </c>
      <c r="C179" s="3" t="s">
        <v>106</v>
      </c>
      <c r="D179" s="17" t="s">
        <v>9</v>
      </c>
      <c r="E179" s="17" t="s">
        <v>5</v>
      </c>
      <c r="F179" s="2">
        <v>3</v>
      </c>
      <c r="G179" s="2">
        <v>0</v>
      </c>
      <c r="H179" s="2">
        <v>1</v>
      </c>
      <c r="I179" s="18">
        <v>2015</v>
      </c>
      <c r="J179" s="2">
        <v>0</v>
      </c>
      <c r="K179" s="2" t="s">
        <v>152</v>
      </c>
      <c r="L179" s="4">
        <v>351431649241.43854</v>
      </c>
      <c r="M179" s="2">
        <v>12</v>
      </c>
      <c r="N179" s="4">
        <v>9470000000</v>
      </c>
      <c r="O179" s="2">
        <v>9</v>
      </c>
      <c r="P179" s="4">
        <v>4910000000</v>
      </c>
      <c r="Q179" s="2">
        <v>21</v>
      </c>
      <c r="R179" s="4">
        <v>14380000000</v>
      </c>
      <c r="S179" s="5">
        <f t="shared" si="70"/>
        <v>2.6946918470322448E-2</v>
      </c>
      <c r="T179" s="5">
        <f t="shared" si="71"/>
        <v>1.3971422353672991E-2</v>
      </c>
      <c r="U179" s="5">
        <f t="shared" si="72"/>
        <v>4.0918340823995439E-2</v>
      </c>
      <c r="V179" s="26">
        <f t="shared" si="73"/>
        <v>7.053320721270938E-3</v>
      </c>
      <c r="W179" s="26">
        <f t="shared" si="74"/>
        <v>6.1750132052217216E-3</v>
      </c>
      <c r="X179" s="26">
        <f t="shared" si="75"/>
        <v>6.7107516695211469E-3</v>
      </c>
      <c r="Y179" s="26">
        <f t="shared" si="76"/>
        <v>845882352.94117641</v>
      </c>
      <c r="Z179" s="26">
        <f t="shared" si="77"/>
        <v>2.4069612249409079E-3</v>
      </c>
      <c r="AA179" s="2">
        <v>3</v>
      </c>
      <c r="AB179" s="2">
        <v>0</v>
      </c>
      <c r="AC179" s="4">
        <v>0</v>
      </c>
      <c r="AD179" s="2">
        <v>0</v>
      </c>
      <c r="AE179" s="4">
        <v>0</v>
      </c>
      <c r="AF179" s="2">
        <v>0</v>
      </c>
      <c r="AG179" s="4">
        <v>0</v>
      </c>
      <c r="AH179" s="28">
        <f t="shared" si="78"/>
        <v>0</v>
      </c>
      <c r="AI179" s="4">
        <f t="shared" si="105"/>
        <v>0</v>
      </c>
      <c r="AJ179" s="26">
        <f t="shared" si="90"/>
        <v>0</v>
      </c>
      <c r="AK179" s="26">
        <f t="shared" si="79"/>
        <v>0</v>
      </c>
      <c r="AL179" s="4">
        <v>16289345000</v>
      </c>
      <c r="AM179" s="4">
        <v>9659694000</v>
      </c>
      <c r="AN179" s="12">
        <f t="shared" si="80"/>
        <v>-6629651000</v>
      </c>
      <c r="AO179" s="12">
        <f t="shared" si="81"/>
        <v>25949039000</v>
      </c>
      <c r="AP179" s="8">
        <v>88216179000</v>
      </c>
      <c r="AQ179" s="8">
        <v>90419473000</v>
      </c>
      <c r="AR179" s="13">
        <f t="shared" si="82"/>
        <v>2203294000</v>
      </c>
      <c r="AS179" s="13">
        <f t="shared" si="83"/>
        <v>178635652000</v>
      </c>
      <c r="AT179" s="5">
        <f t="shared" si="101"/>
        <v>0.1846525794321697</v>
      </c>
      <c r="AU179" s="5">
        <f t="shared" si="102"/>
        <v>0.10683200951635717</v>
      </c>
      <c r="AV179" s="5">
        <f t="shared" si="84"/>
        <v>3.5306668907052287E-2</v>
      </c>
      <c r="AW179" s="5">
        <f t="shared" si="85"/>
        <v>4.3703067669937763E-2</v>
      </c>
      <c r="AX179" s="5">
        <f t="shared" si="103"/>
        <v>0.1452623746126557</v>
      </c>
      <c r="AY179" s="10">
        <f t="shared" si="104"/>
        <v>7.3838082187562576E-2</v>
      </c>
      <c r="AZ179" s="24">
        <v>105</v>
      </c>
      <c r="BA179" s="19">
        <v>17600242592.929501</v>
      </c>
      <c r="BB179" s="17">
        <v>23</v>
      </c>
      <c r="BC179" s="19">
        <v>14242439.259523757</v>
      </c>
      <c r="BD179" s="17">
        <v>70</v>
      </c>
      <c r="BE179" s="19">
        <v>6556835451.6622343</v>
      </c>
      <c r="BF179" s="17">
        <v>12</v>
      </c>
      <c r="BG179" s="19">
        <v>11029164702.007742</v>
      </c>
      <c r="BH179" s="26">
        <f t="shared" si="86"/>
        <v>5.0081552503650241E-2</v>
      </c>
      <c r="BI179" s="26">
        <f t="shared" si="87"/>
        <v>4.0526911250782078E-5</v>
      </c>
      <c r="BJ179" s="26">
        <f t="shared" si="88"/>
        <v>1.8657498451875618E-2</v>
      </c>
      <c r="BK179" s="26">
        <f t="shared" si="89"/>
        <v>3.1383527140523844E-2</v>
      </c>
      <c r="BL179" s="34">
        <f t="shared" si="92"/>
        <v>1035308387.8193824</v>
      </c>
      <c r="BM179" s="35">
        <f t="shared" si="91"/>
        <v>2.9459736766853086E-3</v>
      </c>
    </row>
    <row r="180" spans="1:65" x14ac:dyDescent="0.35">
      <c r="A180" s="18">
        <v>179</v>
      </c>
      <c r="B180" t="s">
        <v>409</v>
      </c>
      <c r="C180" s="3" t="s">
        <v>107</v>
      </c>
      <c r="D180" s="17" t="s">
        <v>9</v>
      </c>
      <c r="E180" s="17" t="s">
        <v>2</v>
      </c>
      <c r="F180" s="2">
        <v>0</v>
      </c>
      <c r="G180" s="2">
        <v>0</v>
      </c>
      <c r="H180" s="2">
        <v>1</v>
      </c>
      <c r="I180" s="18">
        <v>2018</v>
      </c>
      <c r="J180" s="2">
        <v>0</v>
      </c>
      <c r="K180" s="2" t="s">
        <v>152</v>
      </c>
      <c r="L180" s="4" t="s">
        <v>152</v>
      </c>
      <c r="M180" s="2">
        <v>5</v>
      </c>
      <c r="N180" s="4">
        <v>2110000000</v>
      </c>
      <c r="O180" s="2">
        <v>4</v>
      </c>
      <c r="P180" s="4">
        <v>2790000000</v>
      </c>
      <c r="Q180" s="2">
        <v>9</v>
      </c>
      <c r="R180" s="4">
        <v>4900000000</v>
      </c>
      <c r="S180" s="5">
        <f t="shared" si="70"/>
        <v>0</v>
      </c>
      <c r="T180" s="15">
        <f t="shared" si="71"/>
        <v>0</v>
      </c>
      <c r="U180" s="5">
        <f t="shared" si="72"/>
        <v>0</v>
      </c>
      <c r="V180" s="26">
        <f t="shared" si="73"/>
        <v>1.5715424204732502E-3</v>
      </c>
      <c r="W180" s="26">
        <f t="shared" si="74"/>
        <v>3.5088160575496141E-3</v>
      </c>
      <c r="X180" s="26">
        <f t="shared" si="75"/>
        <v>2.2866956314779988E-3</v>
      </c>
      <c r="Y180" s="26">
        <f t="shared" si="76"/>
        <v>288235294.11764705</v>
      </c>
      <c r="Z180" s="26">
        <f t="shared" si="77"/>
        <v>0</v>
      </c>
      <c r="AA180" s="2">
        <v>0</v>
      </c>
      <c r="AB180" s="2" t="s">
        <v>152</v>
      </c>
      <c r="AC180" s="4" t="s">
        <v>152</v>
      </c>
      <c r="AD180" s="2" t="s">
        <v>152</v>
      </c>
      <c r="AE180" s="4" t="s">
        <v>152</v>
      </c>
      <c r="AF180" s="2" t="s">
        <v>152</v>
      </c>
      <c r="AG180" s="4" t="s">
        <v>152</v>
      </c>
      <c r="AH180" s="28">
        <f t="shared" si="78"/>
        <v>0</v>
      </c>
      <c r="AI180" s="4" t="str">
        <f t="shared" si="105"/>
        <v>na</v>
      </c>
      <c r="AJ180" s="26" t="str">
        <f t="shared" si="90"/>
        <v>na</v>
      </c>
      <c r="AK180" s="26" t="str">
        <f t="shared" si="79"/>
        <v>na</v>
      </c>
      <c r="AL180" s="14">
        <v>122630000</v>
      </c>
      <c r="AM180" s="14">
        <v>1510938000</v>
      </c>
      <c r="AN180" s="12">
        <f t="shared" si="80"/>
        <v>1388308000</v>
      </c>
      <c r="AO180" s="12">
        <f t="shared" si="81"/>
        <v>1633568000</v>
      </c>
      <c r="AP180" s="8">
        <v>610004000</v>
      </c>
      <c r="AQ180" s="8">
        <v>1640256000</v>
      </c>
      <c r="AR180" s="13">
        <f t="shared" si="82"/>
        <v>1030252000</v>
      </c>
      <c r="AS180" s="13">
        <f t="shared" si="83"/>
        <v>2250260000</v>
      </c>
      <c r="AT180" s="5">
        <f t="shared" si="101"/>
        <v>0.20103146864610724</v>
      </c>
      <c r="AU180" s="5">
        <f t="shared" si="102"/>
        <v>0.92115986772796443</v>
      </c>
      <c r="AV180" s="5">
        <f t="shared" si="84"/>
        <v>2.4414126188777147E-4</v>
      </c>
      <c r="AW180" s="5">
        <f t="shared" si="85"/>
        <v>7.9279624825972432E-4</v>
      </c>
      <c r="AX180" s="5">
        <f t="shared" si="103"/>
        <v>0.72594633509016737</v>
      </c>
      <c r="AY180" s="10" t="str">
        <f t="shared" si="104"/>
        <v>na</v>
      </c>
      <c r="AZ180" s="24">
        <v>120</v>
      </c>
      <c r="BA180" s="19">
        <v>4487661719.8055677</v>
      </c>
      <c r="BB180" s="17">
        <v>102</v>
      </c>
      <c r="BC180" s="19">
        <v>239328309.42801467</v>
      </c>
      <c r="BD180" s="17">
        <v>15</v>
      </c>
      <c r="BE180" s="19">
        <v>4198778654.9963436</v>
      </c>
      <c r="BF180" s="17">
        <v>3</v>
      </c>
      <c r="BG180" s="19">
        <v>49554755.381209098</v>
      </c>
      <c r="BH180" s="26">
        <f t="shared" si="86"/>
        <v>0</v>
      </c>
      <c r="BI180" s="26">
        <f t="shared" si="87"/>
        <v>0</v>
      </c>
      <c r="BJ180" s="26">
        <f t="shared" si="88"/>
        <v>0</v>
      </c>
      <c r="BK180" s="26">
        <f t="shared" si="89"/>
        <v>0</v>
      </c>
      <c r="BL180" s="34">
        <f t="shared" si="92"/>
        <v>263980101.1650334</v>
      </c>
      <c r="BM180" s="35">
        <f t="shared" si="91"/>
        <v>0</v>
      </c>
    </row>
    <row r="181" spans="1:65" x14ac:dyDescent="0.35">
      <c r="A181" s="18">
        <v>180</v>
      </c>
      <c r="B181" t="s">
        <v>410</v>
      </c>
      <c r="C181" s="3" t="s">
        <v>166</v>
      </c>
      <c r="D181" s="17" t="s">
        <v>4</v>
      </c>
      <c r="E181" s="17" t="s">
        <v>13</v>
      </c>
      <c r="F181" s="2">
        <v>3</v>
      </c>
      <c r="G181" s="2">
        <v>0</v>
      </c>
      <c r="H181" s="2">
        <v>0</v>
      </c>
      <c r="I181" s="3" t="s">
        <v>152</v>
      </c>
      <c r="J181" s="2">
        <v>0</v>
      </c>
      <c r="K181" s="2" t="s">
        <v>152</v>
      </c>
      <c r="L181" s="4">
        <v>1393046093137.2527</v>
      </c>
      <c r="M181" s="2">
        <v>17</v>
      </c>
      <c r="N181" s="4">
        <v>8510000000</v>
      </c>
      <c r="O181" s="2">
        <v>0</v>
      </c>
      <c r="P181" s="4">
        <v>0</v>
      </c>
      <c r="Q181" s="2">
        <v>17</v>
      </c>
      <c r="R181" s="4">
        <v>8510000000</v>
      </c>
      <c r="S181" s="5">
        <f t="shared" si="70"/>
        <v>6.1089148750525478E-3</v>
      </c>
      <c r="T181" s="15">
        <f t="shared" si="71"/>
        <v>0</v>
      </c>
      <c r="U181" s="5">
        <f t="shared" si="72"/>
        <v>6.1089148750525478E-3</v>
      </c>
      <c r="V181" s="26">
        <f t="shared" si="73"/>
        <v>6.3383061602973268E-3</v>
      </c>
      <c r="W181" s="26">
        <f t="shared" si="74"/>
        <v>0</v>
      </c>
      <c r="X181" s="26">
        <f t="shared" si="75"/>
        <v>3.9713836375260755E-3</v>
      </c>
      <c r="Y181" s="26">
        <f t="shared" si="76"/>
        <v>500588235.29411763</v>
      </c>
      <c r="Z181" s="26">
        <f t="shared" si="77"/>
        <v>3.5934793382662046E-4</v>
      </c>
      <c r="AA181" s="2">
        <v>2</v>
      </c>
      <c r="AB181" s="2">
        <v>0</v>
      </c>
      <c r="AC181" s="4">
        <v>0</v>
      </c>
      <c r="AD181" s="2">
        <v>0</v>
      </c>
      <c r="AE181" s="4">
        <v>0</v>
      </c>
      <c r="AF181" s="2">
        <v>0</v>
      </c>
      <c r="AG181" s="4">
        <v>0</v>
      </c>
      <c r="AH181" s="28">
        <f t="shared" si="78"/>
        <v>0</v>
      </c>
      <c r="AI181" s="4">
        <f t="shared" si="105"/>
        <v>0</v>
      </c>
      <c r="AJ181" s="26">
        <f t="shared" si="90"/>
        <v>0</v>
      </c>
      <c r="AK181" s="26">
        <f t="shared" si="79"/>
        <v>0</v>
      </c>
      <c r="AL181" s="4">
        <v>32639038000</v>
      </c>
      <c r="AM181" s="4">
        <v>7613577000</v>
      </c>
      <c r="AN181" s="12">
        <f t="shared" si="80"/>
        <v>-25025461000</v>
      </c>
      <c r="AO181" s="12">
        <f t="shared" si="81"/>
        <v>40252615000</v>
      </c>
      <c r="AP181" s="8">
        <v>375485170000</v>
      </c>
      <c r="AQ181" s="8">
        <v>337215114000</v>
      </c>
      <c r="AR181" s="13">
        <f t="shared" si="82"/>
        <v>-38270056000</v>
      </c>
      <c r="AS181" s="13">
        <f t="shared" si="83"/>
        <v>712700284000</v>
      </c>
      <c r="AT181" s="5">
        <f t="shared" si="101"/>
        <v>8.692497229650907E-2</v>
      </c>
      <c r="AU181" s="5">
        <f t="shared" si="102"/>
        <v>2.257780474216823E-2</v>
      </c>
      <c r="AV181" s="5">
        <f t="shared" si="84"/>
        <v>0.1502800362357368</v>
      </c>
      <c r="AW181" s="5">
        <f t="shared" si="85"/>
        <v>0.16298850742547216</v>
      </c>
      <c r="AX181" s="5">
        <f t="shared" si="103"/>
        <v>5.6479021972720304E-2</v>
      </c>
      <c r="AY181" s="10">
        <f t="shared" si="104"/>
        <v>2.8895393482169601E-2</v>
      </c>
      <c r="AZ181" s="24" t="s">
        <v>152</v>
      </c>
      <c r="BA181" s="29" t="s">
        <v>152</v>
      </c>
      <c r="BB181" s="24" t="s">
        <v>152</v>
      </c>
      <c r="BC181" s="29" t="s">
        <v>152</v>
      </c>
      <c r="BD181" s="24" t="s">
        <v>152</v>
      </c>
      <c r="BE181" s="29" t="s">
        <v>152</v>
      </c>
      <c r="BF181" s="24" t="s">
        <v>152</v>
      </c>
      <c r="BG181" s="29" t="s">
        <v>152</v>
      </c>
      <c r="BH181" s="26">
        <f t="shared" si="86"/>
        <v>0</v>
      </c>
      <c r="BI181" s="26">
        <f t="shared" si="87"/>
        <v>0</v>
      </c>
      <c r="BJ181" s="26">
        <f t="shared" si="88"/>
        <v>0</v>
      </c>
      <c r="BK181" s="26">
        <f t="shared" si="89"/>
        <v>0</v>
      </c>
      <c r="BL181" s="34">
        <f t="shared" si="92"/>
        <v>0</v>
      </c>
      <c r="BM181" s="35">
        <f t="shared" si="91"/>
        <v>0</v>
      </c>
    </row>
    <row r="182" spans="1:65" x14ac:dyDescent="0.35">
      <c r="A182" s="18">
        <v>181</v>
      </c>
      <c r="B182" t="s">
        <v>411</v>
      </c>
      <c r="C182" s="3" t="s">
        <v>108</v>
      </c>
      <c r="D182" s="17" t="s">
        <v>1</v>
      </c>
      <c r="E182" s="17" t="s">
        <v>10</v>
      </c>
      <c r="F182" s="2">
        <v>2</v>
      </c>
      <c r="G182" s="2">
        <v>1</v>
      </c>
      <c r="H182" s="2">
        <v>1</v>
      </c>
      <c r="I182" s="18">
        <v>2017</v>
      </c>
      <c r="J182" s="2">
        <v>0</v>
      </c>
      <c r="K182" s="2" t="s">
        <v>152</v>
      </c>
      <c r="L182" s="4">
        <v>83975584254.403229</v>
      </c>
      <c r="M182" s="2">
        <v>21</v>
      </c>
      <c r="N182" s="4">
        <v>5960000000</v>
      </c>
      <c r="O182" s="2">
        <v>21</v>
      </c>
      <c r="P182" s="4">
        <v>8860000000</v>
      </c>
      <c r="Q182" s="2">
        <v>42</v>
      </c>
      <c r="R182" s="4">
        <v>14820000000</v>
      </c>
      <c r="S182" s="5">
        <f t="shared" si="70"/>
        <v>7.0973010225737002E-2</v>
      </c>
      <c r="T182" s="5">
        <f t="shared" si="71"/>
        <v>0.1055068574832265</v>
      </c>
      <c r="U182" s="5">
        <f t="shared" si="72"/>
        <v>0.17647986770896351</v>
      </c>
      <c r="V182" s="26">
        <f t="shared" si="73"/>
        <v>4.4390487327111714E-3</v>
      </c>
      <c r="W182" s="26">
        <f t="shared" si="74"/>
        <v>1.1142691853007017E-2</v>
      </c>
      <c r="X182" s="26">
        <f t="shared" si="75"/>
        <v>6.9160876037763141E-3</v>
      </c>
      <c r="Y182" s="26">
        <f t="shared" si="76"/>
        <v>871764705.88235295</v>
      </c>
      <c r="Z182" s="26">
        <f t="shared" si="77"/>
        <v>1.0381168688762559E-2</v>
      </c>
      <c r="AA182" s="2">
        <v>1</v>
      </c>
      <c r="AB182" s="11">
        <v>3</v>
      </c>
      <c r="AC182" s="27">
        <v>460000000</v>
      </c>
      <c r="AD182" s="11">
        <v>2</v>
      </c>
      <c r="AE182" s="27">
        <v>102000000</v>
      </c>
      <c r="AF182" s="2">
        <v>0</v>
      </c>
      <c r="AG182" s="4">
        <v>0</v>
      </c>
      <c r="AH182" s="28">
        <f t="shared" si="78"/>
        <v>5</v>
      </c>
      <c r="AI182" s="4">
        <f t="shared" si="105"/>
        <v>562000000</v>
      </c>
      <c r="AJ182" s="26">
        <f t="shared" si="90"/>
        <v>6.6924214340376171E-3</v>
      </c>
      <c r="AK182" s="26">
        <f t="shared" si="79"/>
        <v>1.4099266361483615E-2</v>
      </c>
      <c r="AL182" s="4">
        <v>4032819000</v>
      </c>
      <c r="AM182" s="4">
        <v>256587000</v>
      </c>
      <c r="AN182" s="12">
        <f t="shared" si="80"/>
        <v>-3776232000</v>
      </c>
      <c r="AO182" s="12">
        <f t="shared" si="81"/>
        <v>4289406000</v>
      </c>
      <c r="AP182" s="8">
        <v>19474314000</v>
      </c>
      <c r="AQ182" s="8">
        <v>11974156000</v>
      </c>
      <c r="AR182" s="13">
        <f t="shared" si="82"/>
        <v>-7500158000</v>
      </c>
      <c r="AS182" s="13">
        <f t="shared" si="83"/>
        <v>31448470000</v>
      </c>
      <c r="AT182" s="5">
        <f t="shared" si="101"/>
        <v>0.20708400819664302</v>
      </c>
      <c r="AU182" s="5">
        <f t="shared" si="102"/>
        <v>2.1428399630003151E-2</v>
      </c>
      <c r="AV182" s="5">
        <f t="shared" si="84"/>
        <v>7.7941842911828348E-3</v>
      </c>
      <c r="AW182" s="5">
        <f t="shared" si="85"/>
        <v>5.7875514266533187E-3</v>
      </c>
      <c r="AX182" s="5">
        <f t="shared" si="103"/>
        <v>0.13639474352806352</v>
      </c>
      <c r="AY182" s="10">
        <f t="shared" si="104"/>
        <v>5.1079204010123773E-2</v>
      </c>
      <c r="AZ182" s="24">
        <v>174</v>
      </c>
      <c r="BA182" s="19">
        <v>15644917570.613316</v>
      </c>
      <c r="BB182" s="17">
        <v>117</v>
      </c>
      <c r="BC182" s="19">
        <v>6130186630.0136003</v>
      </c>
      <c r="BD182" s="17">
        <v>47</v>
      </c>
      <c r="BE182" s="19">
        <v>8665415491.7066727</v>
      </c>
      <c r="BF182" s="17">
        <v>10</v>
      </c>
      <c r="BG182" s="19">
        <v>849315448.89303958</v>
      </c>
      <c r="BH182" s="26">
        <f t="shared" si="86"/>
        <v>0.18630317025502541</v>
      </c>
      <c r="BI182" s="26">
        <f t="shared" si="87"/>
        <v>7.2999630600273743E-2</v>
      </c>
      <c r="BJ182" s="26">
        <f t="shared" si="88"/>
        <v>0.10318970172871771</v>
      </c>
      <c r="BK182" s="26">
        <f t="shared" si="89"/>
        <v>1.0113837926033912E-2</v>
      </c>
      <c r="BL182" s="34">
        <f t="shared" si="92"/>
        <v>920289268.85960674</v>
      </c>
      <c r="BM182" s="35">
        <f t="shared" si="91"/>
        <v>1.0959010015001493E-2</v>
      </c>
    </row>
    <row r="183" spans="1:65" x14ac:dyDescent="0.35">
      <c r="A183" s="18">
        <v>182</v>
      </c>
      <c r="B183" s="18" t="s">
        <v>461</v>
      </c>
      <c r="C183" s="3" t="s">
        <v>445</v>
      </c>
      <c r="D183" s="17" t="s">
        <v>12</v>
      </c>
      <c r="E183" s="17" t="s">
        <v>13</v>
      </c>
      <c r="F183" s="2">
        <v>0</v>
      </c>
      <c r="G183" s="2">
        <v>0</v>
      </c>
      <c r="H183" s="2">
        <v>0</v>
      </c>
      <c r="I183" s="18" t="s">
        <v>152</v>
      </c>
      <c r="J183" s="2">
        <v>0</v>
      </c>
      <c r="K183" s="2" t="s">
        <v>152</v>
      </c>
      <c r="L183" s="4" t="s">
        <v>152</v>
      </c>
      <c r="M183" s="2">
        <v>0</v>
      </c>
      <c r="N183" s="4">
        <v>0</v>
      </c>
      <c r="O183" s="2">
        <v>0</v>
      </c>
      <c r="P183" s="4">
        <v>0</v>
      </c>
      <c r="Q183" s="2">
        <v>0</v>
      </c>
      <c r="R183" s="4">
        <v>0</v>
      </c>
      <c r="S183" s="5">
        <f t="shared" si="70"/>
        <v>0</v>
      </c>
      <c r="T183" s="15">
        <f t="shared" si="71"/>
        <v>0</v>
      </c>
      <c r="U183" s="5">
        <f t="shared" si="72"/>
        <v>0</v>
      </c>
      <c r="V183" s="26">
        <f t="shared" si="73"/>
        <v>0</v>
      </c>
      <c r="W183" s="26">
        <f t="shared" si="74"/>
        <v>0</v>
      </c>
      <c r="X183" s="26">
        <f t="shared" si="75"/>
        <v>0</v>
      </c>
      <c r="Y183" s="26">
        <f t="shared" si="76"/>
        <v>0</v>
      </c>
      <c r="Z183" s="26">
        <f t="shared" si="77"/>
        <v>0</v>
      </c>
      <c r="AA183" s="2">
        <v>0</v>
      </c>
      <c r="AB183" s="2" t="s">
        <v>152</v>
      </c>
      <c r="AC183" s="4" t="s">
        <v>152</v>
      </c>
      <c r="AD183" s="2" t="s">
        <v>152</v>
      </c>
      <c r="AE183" s="4" t="s">
        <v>152</v>
      </c>
      <c r="AF183" s="2" t="s">
        <v>152</v>
      </c>
      <c r="AG183" s="4" t="s">
        <v>152</v>
      </c>
      <c r="AH183" s="28">
        <f t="shared" si="78"/>
        <v>0</v>
      </c>
      <c r="AI183" s="4" t="s">
        <v>152</v>
      </c>
      <c r="AJ183" s="26" t="str">
        <f t="shared" si="90"/>
        <v>na</v>
      </c>
      <c r="AK183" s="26" t="str">
        <f t="shared" si="79"/>
        <v>na</v>
      </c>
      <c r="AL183" s="18" t="s">
        <v>152</v>
      </c>
      <c r="AM183" s="18" t="s">
        <v>152</v>
      </c>
      <c r="AN183" s="12" t="str">
        <f t="shared" si="80"/>
        <v>na</v>
      </c>
      <c r="AO183" s="12" t="str">
        <f t="shared" si="81"/>
        <v>na</v>
      </c>
      <c r="AP183" s="18" t="s">
        <v>152</v>
      </c>
      <c r="AQ183" s="18" t="s">
        <v>152</v>
      </c>
      <c r="AR183" s="13" t="str">
        <f t="shared" si="82"/>
        <v>na</v>
      </c>
      <c r="AS183" s="13" t="str">
        <f t="shared" si="83"/>
        <v>na</v>
      </c>
      <c r="AT183" s="5" t="str">
        <f t="shared" si="101"/>
        <v>na</v>
      </c>
      <c r="AU183" s="5" t="str">
        <f t="shared" si="102"/>
        <v>na</v>
      </c>
      <c r="AV183" s="5" t="str">
        <f t="shared" si="84"/>
        <v>na</v>
      </c>
      <c r="AW183" s="5" t="str">
        <f t="shared" si="85"/>
        <v>na</v>
      </c>
      <c r="AX183" s="5" t="str">
        <f t="shared" si="103"/>
        <v>na</v>
      </c>
      <c r="AY183" s="10" t="str">
        <f t="shared" si="104"/>
        <v>na</v>
      </c>
      <c r="AZ183" s="24">
        <v>0</v>
      </c>
      <c r="BA183" s="4" t="s">
        <v>152</v>
      </c>
      <c r="BB183" s="18" t="s">
        <v>152</v>
      </c>
      <c r="BC183" s="4" t="s">
        <v>152</v>
      </c>
      <c r="BD183" s="18" t="s">
        <v>152</v>
      </c>
      <c r="BE183" s="4" t="s">
        <v>152</v>
      </c>
      <c r="BF183" s="18" t="s">
        <v>152</v>
      </c>
      <c r="BG183" s="4" t="s">
        <v>152</v>
      </c>
      <c r="BH183" s="26">
        <f t="shared" si="86"/>
        <v>0</v>
      </c>
      <c r="BI183" s="26">
        <f t="shared" si="87"/>
        <v>0</v>
      </c>
      <c r="BJ183" s="26">
        <f t="shared" si="88"/>
        <v>0</v>
      </c>
      <c r="BK183" s="26">
        <f t="shared" si="89"/>
        <v>0</v>
      </c>
      <c r="BL183" s="34">
        <f t="shared" si="92"/>
        <v>0</v>
      </c>
      <c r="BM183" s="35">
        <f t="shared" si="91"/>
        <v>0</v>
      </c>
    </row>
    <row r="184" spans="1:65" x14ac:dyDescent="0.35">
      <c r="A184" s="18">
        <v>183</v>
      </c>
      <c r="B184" t="s">
        <v>412</v>
      </c>
      <c r="C184" s="3" t="s">
        <v>109</v>
      </c>
      <c r="D184" s="17" t="s">
        <v>9</v>
      </c>
      <c r="E184" s="17" t="s">
        <v>2</v>
      </c>
      <c r="F184" s="2">
        <v>0</v>
      </c>
      <c r="G184" s="2">
        <v>0</v>
      </c>
      <c r="H184" s="2">
        <v>1</v>
      </c>
      <c r="I184" s="18">
        <v>2018</v>
      </c>
      <c r="J184" s="2">
        <v>0</v>
      </c>
      <c r="K184" s="2" t="s">
        <v>152</v>
      </c>
      <c r="L184" s="4">
        <v>32250448249.459461</v>
      </c>
      <c r="M184" s="2">
        <v>18</v>
      </c>
      <c r="N184" s="4">
        <v>5390000000</v>
      </c>
      <c r="O184" s="2">
        <v>1</v>
      </c>
      <c r="P184" s="4">
        <v>1450000000</v>
      </c>
      <c r="Q184" s="2">
        <v>19</v>
      </c>
      <c r="R184" s="4">
        <v>6840000000</v>
      </c>
      <c r="S184" s="5">
        <f t="shared" si="70"/>
        <v>0.16712945997860168</v>
      </c>
      <c r="T184" s="5">
        <f t="shared" si="71"/>
        <v>4.4960615393130322E-2</v>
      </c>
      <c r="U184" s="5">
        <f t="shared" si="72"/>
        <v>0.21209007537173202</v>
      </c>
      <c r="V184" s="26">
        <f t="shared" si="73"/>
        <v>4.0145088371330894E-3</v>
      </c>
      <c r="W184" s="26">
        <f t="shared" si="74"/>
        <v>1.8235782377946021E-3</v>
      </c>
      <c r="X184" s="26">
        <f t="shared" si="75"/>
        <v>3.1920404325121452E-3</v>
      </c>
      <c r="Y184" s="26">
        <f t="shared" si="76"/>
        <v>402352941.17647058</v>
      </c>
      <c r="Z184" s="26">
        <f t="shared" si="77"/>
        <v>1.2475886786572471E-2</v>
      </c>
      <c r="AA184" s="2">
        <v>2</v>
      </c>
      <c r="AB184" s="18">
        <v>0</v>
      </c>
      <c r="AC184" s="4">
        <v>0</v>
      </c>
      <c r="AD184" s="18">
        <v>0</v>
      </c>
      <c r="AE184" s="4">
        <v>0</v>
      </c>
      <c r="AF184" s="2">
        <v>0</v>
      </c>
      <c r="AG184" s="4">
        <v>0</v>
      </c>
      <c r="AH184" s="28">
        <f t="shared" si="78"/>
        <v>0</v>
      </c>
      <c r="AI184" s="4">
        <f t="shared" ref="AI184:AI199" si="106">IFERROR(AC184+AE184,"na")</f>
        <v>0</v>
      </c>
      <c r="AJ184" s="26">
        <f t="shared" si="90"/>
        <v>0</v>
      </c>
      <c r="AK184" s="26">
        <f t="shared" si="79"/>
        <v>0</v>
      </c>
      <c r="AL184" s="14">
        <v>2292123000</v>
      </c>
      <c r="AM184" s="14">
        <v>740420000</v>
      </c>
      <c r="AN184" s="12">
        <f t="shared" si="80"/>
        <v>-1551703000</v>
      </c>
      <c r="AO184" s="12">
        <f t="shared" si="81"/>
        <v>3032543000</v>
      </c>
      <c r="AP184" s="8">
        <v>8154317000</v>
      </c>
      <c r="AQ184" s="8">
        <v>4193398000</v>
      </c>
      <c r="AR184" s="13">
        <f t="shared" si="82"/>
        <v>-3960919000</v>
      </c>
      <c r="AS184" s="13">
        <f t="shared" si="83"/>
        <v>12347715000</v>
      </c>
      <c r="AT184" s="5">
        <f t="shared" si="101"/>
        <v>0.28109319272233346</v>
      </c>
      <c r="AU184" s="5">
        <f t="shared" si="102"/>
        <v>0.17656802430868712</v>
      </c>
      <c r="AV184" s="5">
        <f t="shared" si="84"/>
        <v>3.2635937505539419E-3</v>
      </c>
      <c r="AW184" s="5">
        <f t="shared" si="85"/>
        <v>2.0268239847071627E-3</v>
      </c>
      <c r="AX184" s="5">
        <f t="shared" si="103"/>
        <v>0.24559548062131334</v>
      </c>
      <c r="AY184" s="10">
        <f t="shared" si="104"/>
        <v>9.4031034128365248E-2</v>
      </c>
      <c r="AZ184" s="24">
        <v>285</v>
      </c>
      <c r="BA184" s="19">
        <v>20177493061.799458</v>
      </c>
      <c r="BB184" s="17">
        <v>210</v>
      </c>
      <c r="BC184" s="19">
        <v>3907103924.7161674</v>
      </c>
      <c r="BD184" s="17">
        <v>46</v>
      </c>
      <c r="BE184" s="19">
        <v>12873324230.182573</v>
      </c>
      <c r="BF184" s="17">
        <v>29</v>
      </c>
      <c r="BG184" s="19">
        <v>3397064906.9007163</v>
      </c>
      <c r="BH184" s="26">
        <f t="shared" si="86"/>
        <v>0.62565000355111799</v>
      </c>
      <c r="BI184" s="26">
        <f t="shared" si="87"/>
        <v>0.12114882542079561</v>
      </c>
      <c r="BJ184" s="26">
        <f t="shared" si="88"/>
        <v>0.39916729623745117</v>
      </c>
      <c r="BK184" s="26">
        <f t="shared" si="89"/>
        <v>0.10533388189287116</v>
      </c>
      <c r="BL184" s="34">
        <f t="shared" si="92"/>
        <v>1186911356.5764387</v>
      </c>
      <c r="BM184" s="35">
        <f t="shared" si="91"/>
        <v>3.6802941385359882E-2</v>
      </c>
    </row>
    <row r="185" spans="1:65" x14ac:dyDescent="0.35">
      <c r="A185" s="18">
        <v>184</v>
      </c>
      <c r="B185" t="s">
        <v>413</v>
      </c>
      <c r="C185" s="3" t="s">
        <v>110</v>
      </c>
      <c r="D185" s="17" t="s">
        <v>12</v>
      </c>
      <c r="E185" s="17" t="s">
        <v>5</v>
      </c>
      <c r="F185" s="2">
        <v>0</v>
      </c>
      <c r="G185" s="2">
        <v>0</v>
      </c>
      <c r="H185" s="2">
        <v>1</v>
      </c>
      <c r="I185" s="18">
        <v>2018</v>
      </c>
      <c r="J185" s="2">
        <v>0</v>
      </c>
      <c r="K185" s="2" t="s">
        <v>152</v>
      </c>
      <c r="L185" s="4">
        <v>4221373022.257978</v>
      </c>
      <c r="M185" s="2">
        <v>0</v>
      </c>
      <c r="N185" s="4">
        <v>0</v>
      </c>
      <c r="O185" s="2">
        <v>0</v>
      </c>
      <c r="P185" s="4">
        <v>0</v>
      </c>
      <c r="Q185" s="2">
        <v>0</v>
      </c>
      <c r="R185" s="4">
        <v>0</v>
      </c>
      <c r="S185" s="5">
        <f t="shared" si="70"/>
        <v>0</v>
      </c>
      <c r="T185" s="15">
        <f t="shared" si="71"/>
        <v>0</v>
      </c>
      <c r="U185" s="5">
        <f t="shared" si="72"/>
        <v>0</v>
      </c>
      <c r="V185" s="26">
        <f t="shared" si="73"/>
        <v>0</v>
      </c>
      <c r="W185" s="26">
        <f t="shared" si="74"/>
        <v>0</v>
      </c>
      <c r="X185" s="26">
        <f t="shared" si="75"/>
        <v>0</v>
      </c>
      <c r="Y185" s="26">
        <f t="shared" si="76"/>
        <v>0</v>
      </c>
      <c r="Z185" s="26">
        <f t="shared" si="77"/>
        <v>0</v>
      </c>
      <c r="AA185" s="2">
        <v>0</v>
      </c>
      <c r="AB185" s="18" t="s">
        <v>152</v>
      </c>
      <c r="AC185" s="4" t="s">
        <v>152</v>
      </c>
      <c r="AD185" s="18" t="s">
        <v>152</v>
      </c>
      <c r="AE185" s="4" t="s">
        <v>152</v>
      </c>
      <c r="AF185" s="2" t="s">
        <v>152</v>
      </c>
      <c r="AG185" s="4" t="s">
        <v>152</v>
      </c>
      <c r="AH185" s="28">
        <f t="shared" si="78"/>
        <v>0</v>
      </c>
      <c r="AI185" s="4" t="str">
        <f t="shared" si="106"/>
        <v>na</v>
      </c>
      <c r="AJ185" s="26" t="str">
        <f t="shared" si="90"/>
        <v>na</v>
      </c>
      <c r="AK185" s="26" t="str">
        <f t="shared" si="79"/>
        <v>na</v>
      </c>
      <c r="AL185" s="4">
        <v>127267000</v>
      </c>
      <c r="AM185" s="4">
        <v>24583000</v>
      </c>
      <c r="AN185" s="12">
        <f t="shared" si="80"/>
        <v>-102684000</v>
      </c>
      <c r="AO185" s="12">
        <f t="shared" si="81"/>
        <v>151850000</v>
      </c>
      <c r="AP185" s="8">
        <v>1711450000</v>
      </c>
      <c r="AQ185" s="8">
        <v>1460966000</v>
      </c>
      <c r="AR185" s="13">
        <f t="shared" si="82"/>
        <v>-250484000</v>
      </c>
      <c r="AS185" s="13">
        <f t="shared" si="83"/>
        <v>3172416000</v>
      </c>
      <c r="AT185" s="5">
        <f t="shared" si="101"/>
        <v>7.43620906249087E-2</v>
      </c>
      <c r="AU185" s="5">
        <f t="shared" si="102"/>
        <v>1.6826538057696072E-2</v>
      </c>
      <c r="AV185" s="5">
        <f t="shared" si="84"/>
        <v>6.8497184060731817E-4</v>
      </c>
      <c r="AW185" s="5">
        <f t="shared" si="85"/>
        <v>7.0613877567588012E-4</v>
      </c>
      <c r="AX185" s="5">
        <f t="shared" si="103"/>
        <v>4.7865727571667779E-2</v>
      </c>
      <c r="AY185" s="10">
        <f t="shared" si="104"/>
        <v>3.5971708541117427E-2</v>
      </c>
      <c r="AZ185" s="24">
        <v>63</v>
      </c>
      <c r="BA185" s="19">
        <v>1010006165.5037841</v>
      </c>
      <c r="BB185" s="17">
        <v>53</v>
      </c>
      <c r="BC185" s="19">
        <v>478905440.44215947</v>
      </c>
      <c r="BD185" s="17">
        <v>8</v>
      </c>
      <c r="BE185" s="19">
        <v>482517631.5506351</v>
      </c>
      <c r="BF185" s="17">
        <v>2</v>
      </c>
      <c r="BG185" s="19">
        <v>48583093.510989398</v>
      </c>
      <c r="BH185" s="26">
        <f t="shared" si="86"/>
        <v>0.23926010806871079</v>
      </c>
      <c r="BI185" s="26">
        <f t="shared" si="87"/>
        <v>0.11344779007139172</v>
      </c>
      <c r="BJ185" s="26">
        <f t="shared" si="88"/>
        <v>0.11430348112011678</v>
      </c>
      <c r="BK185" s="26">
        <f t="shared" si="89"/>
        <v>1.1508836877202265E-2</v>
      </c>
      <c r="BL185" s="34">
        <f t="shared" si="92"/>
        <v>59412127.382575534</v>
      </c>
      <c r="BM185" s="35">
        <f t="shared" si="91"/>
        <v>1.4074124004041811E-2</v>
      </c>
    </row>
    <row r="186" spans="1:65" x14ac:dyDescent="0.35">
      <c r="A186" s="18">
        <v>185</v>
      </c>
      <c r="B186" t="s">
        <v>415</v>
      </c>
      <c r="C186" s="3" t="s">
        <v>180</v>
      </c>
      <c r="D186" s="17" t="s">
        <v>4</v>
      </c>
      <c r="E186" s="17" t="s">
        <v>13</v>
      </c>
      <c r="F186" s="2">
        <v>0</v>
      </c>
      <c r="G186" s="2">
        <v>0</v>
      </c>
      <c r="H186" s="2">
        <v>0</v>
      </c>
      <c r="I186" s="3" t="s">
        <v>152</v>
      </c>
      <c r="J186" s="2">
        <v>0</v>
      </c>
      <c r="K186" s="2" t="s">
        <v>152</v>
      </c>
      <c r="L186" s="4">
        <v>533879529188.45374</v>
      </c>
      <c r="M186" s="2">
        <v>16</v>
      </c>
      <c r="N186" s="4">
        <v>15340000000</v>
      </c>
      <c r="O186" s="2">
        <v>0</v>
      </c>
      <c r="P186" s="4">
        <v>0</v>
      </c>
      <c r="Q186" s="2">
        <v>16</v>
      </c>
      <c r="R186" s="4">
        <v>15340000000</v>
      </c>
      <c r="S186" s="5">
        <f t="shared" si="70"/>
        <v>2.8733073963930062E-2</v>
      </c>
      <c r="T186" s="15">
        <f t="shared" si="71"/>
        <v>0</v>
      </c>
      <c r="U186" s="5">
        <f t="shared" si="72"/>
        <v>2.8733073963930062E-2</v>
      </c>
      <c r="V186" s="26">
        <f t="shared" si="73"/>
        <v>1.1425336838890833E-2</v>
      </c>
      <c r="W186" s="26">
        <f t="shared" si="74"/>
        <v>0</v>
      </c>
      <c r="X186" s="26">
        <f t="shared" si="75"/>
        <v>7.1587573442596936E-3</v>
      </c>
      <c r="Y186" s="26">
        <f t="shared" si="76"/>
        <v>902352941.17647064</v>
      </c>
      <c r="Z186" s="26">
        <f t="shared" si="77"/>
        <v>1.6901808214076508E-3</v>
      </c>
      <c r="AA186" s="2">
        <v>2</v>
      </c>
      <c r="AB186" s="2">
        <v>0</v>
      </c>
      <c r="AC186" s="4">
        <v>0</v>
      </c>
      <c r="AD186" s="2">
        <v>0</v>
      </c>
      <c r="AE186" s="4">
        <v>0</v>
      </c>
      <c r="AF186" s="2">
        <v>0</v>
      </c>
      <c r="AG186" s="4">
        <v>0</v>
      </c>
      <c r="AH186" s="28">
        <f t="shared" si="78"/>
        <v>0</v>
      </c>
      <c r="AI186" s="4">
        <f t="shared" si="106"/>
        <v>0</v>
      </c>
      <c r="AJ186" s="26">
        <f t="shared" si="90"/>
        <v>0</v>
      </c>
      <c r="AK186" s="26">
        <f t="shared" si="79"/>
        <v>0</v>
      </c>
      <c r="AL186" s="4">
        <v>9665818000</v>
      </c>
      <c r="AM186" s="4">
        <v>7538779000</v>
      </c>
      <c r="AN186" s="12">
        <f t="shared" si="80"/>
        <v>-2127039000</v>
      </c>
      <c r="AO186" s="12">
        <f t="shared" si="81"/>
        <v>17204597000</v>
      </c>
      <c r="AP186" s="8">
        <v>158959381000</v>
      </c>
      <c r="AQ186" s="8">
        <v>160567911000</v>
      </c>
      <c r="AR186" s="13">
        <f t="shared" si="82"/>
        <v>1608530000</v>
      </c>
      <c r="AS186" s="13">
        <f t="shared" si="83"/>
        <v>319527292000</v>
      </c>
      <c r="AT186" s="5">
        <f t="shared" si="101"/>
        <v>6.0806842220906737E-2</v>
      </c>
      <c r="AU186" s="5">
        <f t="shared" si="102"/>
        <v>4.6950719811008811E-2</v>
      </c>
      <c r="AV186" s="5">
        <f t="shared" si="84"/>
        <v>6.3620146533857225E-2</v>
      </c>
      <c r="AW186" s="5">
        <f t="shared" si="85"/>
        <v>7.7608396147736292E-2</v>
      </c>
      <c r="AX186" s="5">
        <f t="shared" si="103"/>
        <v>5.3843904513796587E-2</v>
      </c>
      <c r="AY186" s="10">
        <f t="shared" si="104"/>
        <v>3.2225616565880653E-2</v>
      </c>
      <c r="AZ186" s="24" t="s">
        <v>152</v>
      </c>
      <c r="BA186" s="29" t="s">
        <v>152</v>
      </c>
      <c r="BB186" s="24" t="s">
        <v>152</v>
      </c>
      <c r="BC186" s="29" t="s">
        <v>152</v>
      </c>
      <c r="BD186" s="24" t="s">
        <v>152</v>
      </c>
      <c r="BE186" s="29" t="s">
        <v>152</v>
      </c>
      <c r="BF186" s="24" t="s">
        <v>152</v>
      </c>
      <c r="BG186" s="29" t="s">
        <v>152</v>
      </c>
      <c r="BH186" s="26">
        <f t="shared" si="86"/>
        <v>0</v>
      </c>
      <c r="BI186" s="26">
        <f t="shared" si="87"/>
        <v>0</v>
      </c>
      <c r="BJ186" s="26">
        <f t="shared" si="88"/>
        <v>0</v>
      </c>
      <c r="BK186" s="26">
        <f t="shared" si="89"/>
        <v>0</v>
      </c>
      <c r="BL186" s="34">
        <f t="shared" si="92"/>
        <v>0</v>
      </c>
      <c r="BM186" s="35">
        <f t="shared" si="91"/>
        <v>0</v>
      </c>
    </row>
    <row r="187" spans="1:65" x14ac:dyDescent="0.35">
      <c r="A187" s="18">
        <v>186</v>
      </c>
      <c r="B187" t="s">
        <v>416</v>
      </c>
      <c r="C187" s="3" t="s">
        <v>171</v>
      </c>
      <c r="D187" s="17" t="s">
        <v>4</v>
      </c>
      <c r="E187" s="17" t="s">
        <v>13</v>
      </c>
      <c r="F187" s="2">
        <v>0</v>
      </c>
      <c r="G187" s="2">
        <v>1</v>
      </c>
      <c r="H187" s="2">
        <v>0</v>
      </c>
      <c r="I187" s="3" t="s">
        <v>152</v>
      </c>
      <c r="J187" s="2">
        <v>0</v>
      </c>
      <c r="K187" s="2" t="s">
        <v>152</v>
      </c>
      <c r="L187" s="4">
        <v>731767398052.87915</v>
      </c>
      <c r="M187" s="2">
        <v>18</v>
      </c>
      <c r="N187" s="4">
        <v>61210000000</v>
      </c>
      <c r="O187" s="2">
        <v>0</v>
      </c>
      <c r="P187" s="4">
        <v>0</v>
      </c>
      <c r="Q187" s="2">
        <v>18</v>
      </c>
      <c r="R187" s="4">
        <v>61210000000</v>
      </c>
      <c r="S187" s="5">
        <f t="shared" si="70"/>
        <v>8.3646798371819278E-2</v>
      </c>
      <c r="T187" s="15">
        <f t="shared" si="71"/>
        <v>0</v>
      </c>
      <c r="U187" s="5">
        <f t="shared" si="72"/>
        <v>8.3646798371819278E-2</v>
      </c>
      <c r="V187" s="26">
        <f t="shared" si="73"/>
        <v>4.5589626330411206E-2</v>
      </c>
      <c r="W187" s="26">
        <f t="shared" si="74"/>
        <v>0</v>
      </c>
      <c r="X187" s="26">
        <f t="shared" si="75"/>
        <v>2.856502849036088E-2</v>
      </c>
      <c r="Y187" s="26">
        <f t="shared" si="76"/>
        <v>3600588235.2941175</v>
      </c>
      <c r="Z187" s="26">
        <f t="shared" si="77"/>
        <v>4.9203999042246628E-3</v>
      </c>
      <c r="AA187" s="2">
        <v>2</v>
      </c>
      <c r="AB187" s="2">
        <v>0</v>
      </c>
      <c r="AC187" s="4">
        <v>0</v>
      </c>
      <c r="AD187" s="2">
        <v>0</v>
      </c>
      <c r="AE187" s="4">
        <v>0</v>
      </c>
      <c r="AF187" s="2">
        <v>0</v>
      </c>
      <c r="AG187" s="4">
        <v>0</v>
      </c>
      <c r="AH187" s="28">
        <f t="shared" si="78"/>
        <v>0</v>
      </c>
      <c r="AI187" s="4">
        <f t="shared" si="106"/>
        <v>0</v>
      </c>
      <c r="AJ187" s="26">
        <f t="shared" si="90"/>
        <v>0</v>
      </c>
      <c r="AK187" s="26">
        <f t="shared" si="79"/>
        <v>0</v>
      </c>
      <c r="AL187" s="4">
        <v>15152336000</v>
      </c>
      <c r="AM187" s="4">
        <v>21559003000</v>
      </c>
      <c r="AN187" s="12">
        <f t="shared" si="80"/>
        <v>6406667000</v>
      </c>
      <c r="AO187" s="12">
        <f t="shared" si="81"/>
        <v>36711339000</v>
      </c>
      <c r="AP187" s="8">
        <v>277207598000</v>
      </c>
      <c r="AQ187" s="8">
        <v>314145207000</v>
      </c>
      <c r="AR187" s="13">
        <f t="shared" si="82"/>
        <v>36937609000</v>
      </c>
      <c r="AS187" s="13">
        <f t="shared" si="83"/>
        <v>591352805000</v>
      </c>
      <c r="AT187" s="5">
        <f t="shared" si="101"/>
        <v>5.4660608545080355E-2</v>
      </c>
      <c r="AU187" s="5">
        <f t="shared" si="102"/>
        <v>6.8627508934108933E-2</v>
      </c>
      <c r="AV187" s="5">
        <f t="shared" si="84"/>
        <v>0.11094650654847847</v>
      </c>
      <c r="AW187" s="5">
        <f t="shared" si="85"/>
        <v>0.1518379701207461</v>
      </c>
      <c r="AX187" s="5">
        <f t="shared" si="103"/>
        <v>6.208026526567334E-2</v>
      </c>
      <c r="AY187" s="10">
        <f t="shared" si="104"/>
        <v>5.016804396818339E-2</v>
      </c>
      <c r="AZ187" s="24" t="s">
        <v>152</v>
      </c>
      <c r="BA187" s="29" t="s">
        <v>152</v>
      </c>
      <c r="BB187" s="24" t="s">
        <v>152</v>
      </c>
      <c r="BC187" s="29" t="s">
        <v>152</v>
      </c>
      <c r="BD187" s="24" t="s">
        <v>152</v>
      </c>
      <c r="BE187" s="29" t="s">
        <v>152</v>
      </c>
      <c r="BF187" s="24" t="s">
        <v>152</v>
      </c>
      <c r="BG187" s="29" t="s">
        <v>152</v>
      </c>
      <c r="BH187" s="26">
        <f t="shared" si="86"/>
        <v>0</v>
      </c>
      <c r="BI187" s="26">
        <f t="shared" si="87"/>
        <v>0</v>
      </c>
      <c r="BJ187" s="26">
        <f t="shared" si="88"/>
        <v>0</v>
      </c>
      <c r="BK187" s="26">
        <f t="shared" si="89"/>
        <v>0</v>
      </c>
      <c r="BL187" s="34">
        <f t="shared" si="92"/>
        <v>0</v>
      </c>
      <c r="BM187" s="35">
        <f t="shared" si="91"/>
        <v>0</v>
      </c>
    </row>
    <row r="188" spans="1:65" x14ac:dyDescent="0.35">
      <c r="A188" s="18">
        <v>187</v>
      </c>
      <c r="B188" t="s">
        <v>417</v>
      </c>
      <c r="C188" s="3" t="s">
        <v>182</v>
      </c>
      <c r="D188" s="17" t="s">
        <v>7</v>
      </c>
      <c r="E188" s="17" t="s">
        <v>2</v>
      </c>
      <c r="F188" s="2">
        <v>0</v>
      </c>
      <c r="G188" s="2">
        <v>0</v>
      </c>
      <c r="H188" s="2">
        <v>0</v>
      </c>
      <c r="I188" s="3" t="s">
        <v>152</v>
      </c>
      <c r="J188" s="2">
        <v>0</v>
      </c>
      <c r="K188" s="2" t="s">
        <v>152</v>
      </c>
      <c r="L188" s="4" t="s">
        <v>152</v>
      </c>
      <c r="M188" s="2">
        <v>4</v>
      </c>
      <c r="N188" s="4">
        <v>4060000000</v>
      </c>
      <c r="O188" s="2">
        <v>0</v>
      </c>
      <c r="P188" s="4">
        <v>0</v>
      </c>
      <c r="Q188" s="2">
        <v>4</v>
      </c>
      <c r="R188" s="4">
        <v>4060000000</v>
      </c>
      <c r="S188" s="5">
        <f t="shared" si="70"/>
        <v>0</v>
      </c>
      <c r="T188" s="15">
        <f t="shared" si="71"/>
        <v>0</v>
      </c>
      <c r="U188" s="5">
        <f t="shared" si="72"/>
        <v>0</v>
      </c>
      <c r="V188" s="26">
        <f t="shared" si="73"/>
        <v>3.0239157474508988E-3</v>
      </c>
      <c r="W188" s="26">
        <f t="shared" si="74"/>
        <v>0</v>
      </c>
      <c r="X188" s="26">
        <f t="shared" si="75"/>
        <v>1.8946906660817703E-3</v>
      </c>
      <c r="Y188" s="26">
        <f t="shared" si="76"/>
        <v>238823529.41176471</v>
      </c>
      <c r="Z188" s="26">
        <f t="shared" si="77"/>
        <v>0</v>
      </c>
      <c r="AA188" s="2">
        <v>0</v>
      </c>
      <c r="AB188" s="2" t="s">
        <v>152</v>
      </c>
      <c r="AC188" s="4" t="s">
        <v>152</v>
      </c>
      <c r="AD188" s="2" t="s">
        <v>152</v>
      </c>
      <c r="AE188" s="4" t="s">
        <v>152</v>
      </c>
      <c r="AF188" s="2" t="s">
        <v>152</v>
      </c>
      <c r="AG188" s="4" t="s">
        <v>152</v>
      </c>
      <c r="AH188" s="28">
        <f t="shared" si="78"/>
        <v>0</v>
      </c>
      <c r="AI188" s="4" t="str">
        <f t="shared" si="106"/>
        <v>na</v>
      </c>
      <c r="AJ188" s="26" t="str">
        <f t="shared" si="90"/>
        <v>na</v>
      </c>
      <c r="AK188" s="26" t="str">
        <f t="shared" si="79"/>
        <v>na</v>
      </c>
      <c r="AL188" s="14">
        <v>1315799000</v>
      </c>
      <c r="AM188" s="14">
        <v>1399000</v>
      </c>
      <c r="AN188" s="12">
        <f t="shared" si="80"/>
        <v>-1314400000</v>
      </c>
      <c r="AO188" s="12">
        <f t="shared" si="81"/>
        <v>1317198000</v>
      </c>
      <c r="AP188" s="8">
        <v>6283881000</v>
      </c>
      <c r="AQ188" s="8">
        <v>736769000</v>
      </c>
      <c r="AR188" s="13">
        <f t="shared" si="82"/>
        <v>-5547112000</v>
      </c>
      <c r="AS188" s="13">
        <f t="shared" si="83"/>
        <v>7020650000</v>
      </c>
      <c r="AT188" s="5">
        <f t="shared" si="101"/>
        <v>0.20939273038429596</v>
      </c>
      <c r="AU188" s="5">
        <f t="shared" si="102"/>
        <v>1.898831248328852E-3</v>
      </c>
      <c r="AV188" s="5">
        <f t="shared" si="84"/>
        <v>2.5149911097182825E-3</v>
      </c>
      <c r="AW188" s="5">
        <f t="shared" si="85"/>
        <v>3.561076435837265E-4</v>
      </c>
      <c r="AX188" s="5">
        <f t="shared" si="103"/>
        <v>0.18761767072849381</v>
      </c>
      <c r="AY188" s="10" t="str">
        <f t="shared" si="104"/>
        <v>na</v>
      </c>
      <c r="AZ188" s="24">
        <v>60</v>
      </c>
      <c r="BA188" s="19">
        <v>363754853.11969489</v>
      </c>
      <c r="BB188" s="17">
        <v>58</v>
      </c>
      <c r="BC188" s="19">
        <v>321470491.99145317</v>
      </c>
      <c r="BD188" s="17">
        <v>2</v>
      </c>
      <c r="BE188" s="19">
        <v>42284361.128241703</v>
      </c>
      <c r="BF188" s="17">
        <v>0</v>
      </c>
      <c r="BG188" s="19">
        <v>0</v>
      </c>
      <c r="BH188" s="26">
        <f t="shared" si="86"/>
        <v>0</v>
      </c>
      <c r="BI188" s="26">
        <f t="shared" si="87"/>
        <v>0</v>
      </c>
      <c r="BJ188" s="26">
        <f t="shared" si="88"/>
        <v>0</v>
      </c>
      <c r="BK188" s="26">
        <f t="shared" si="89"/>
        <v>0</v>
      </c>
      <c r="BL188" s="34">
        <f t="shared" si="92"/>
        <v>21397344.301158521</v>
      </c>
      <c r="BM188" s="35">
        <f t="shared" si="91"/>
        <v>0</v>
      </c>
    </row>
    <row r="189" spans="1:65" x14ac:dyDescent="0.35">
      <c r="A189" s="18">
        <v>188</v>
      </c>
      <c r="B189" t="s">
        <v>418</v>
      </c>
      <c r="C189" s="3" t="s">
        <v>208</v>
      </c>
      <c r="D189" s="18" t="s">
        <v>23</v>
      </c>
      <c r="E189" s="18" t="s">
        <v>152</v>
      </c>
      <c r="F189" s="2">
        <v>0</v>
      </c>
      <c r="G189" s="2">
        <v>0</v>
      </c>
      <c r="H189" s="2">
        <v>0</v>
      </c>
      <c r="I189" s="3" t="s">
        <v>152</v>
      </c>
      <c r="J189" s="2">
        <v>0</v>
      </c>
      <c r="K189" s="2" t="s">
        <v>152</v>
      </c>
      <c r="L189" s="4" t="s">
        <v>152</v>
      </c>
      <c r="M189" s="16">
        <v>3</v>
      </c>
      <c r="N189" s="4">
        <v>1220000000</v>
      </c>
      <c r="O189" s="16">
        <v>0</v>
      </c>
      <c r="P189" s="4">
        <v>0</v>
      </c>
      <c r="Q189" s="16">
        <v>3</v>
      </c>
      <c r="R189" s="4">
        <v>1220000000</v>
      </c>
      <c r="S189" s="5">
        <f t="shared" si="70"/>
        <v>0</v>
      </c>
      <c r="T189" s="15">
        <f t="shared" si="71"/>
        <v>0</v>
      </c>
      <c r="U189" s="5">
        <f t="shared" si="72"/>
        <v>0</v>
      </c>
      <c r="V189" s="26">
        <f t="shared" si="73"/>
        <v>9.0866433790396457E-4</v>
      </c>
      <c r="W189" s="26">
        <f t="shared" si="74"/>
        <v>0</v>
      </c>
      <c r="X189" s="26">
        <f t="shared" si="75"/>
        <v>5.6934054498023639E-4</v>
      </c>
      <c r="Y189" s="26">
        <f t="shared" si="76"/>
        <v>71764705.882352948</v>
      </c>
      <c r="Z189" s="26">
        <f t="shared" si="77"/>
        <v>0</v>
      </c>
      <c r="AA189" s="2">
        <v>0</v>
      </c>
      <c r="AB189" s="2" t="s">
        <v>152</v>
      </c>
      <c r="AC189" s="4" t="s">
        <v>152</v>
      </c>
      <c r="AD189" s="2" t="s">
        <v>152</v>
      </c>
      <c r="AE189" s="4" t="s">
        <v>152</v>
      </c>
      <c r="AF189" s="2" t="s">
        <v>152</v>
      </c>
      <c r="AG189" s="4" t="s">
        <v>152</v>
      </c>
      <c r="AH189" s="28">
        <f t="shared" si="78"/>
        <v>0</v>
      </c>
      <c r="AI189" s="4" t="str">
        <f t="shared" si="106"/>
        <v>na</v>
      </c>
      <c r="AJ189" s="26" t="str">
        <f t="shared" si="90"/>
        <v>na</v>
      </c>
      <c r="AK189" s="26" t="str">
        <f t="shared" si="79"/>
        <v>na</v>
      </c>
      <c r="AL189" s="4">
        <v>57432534000</v>
      </c>
      <c r="AM189" s="4">
        <v>91886693000</v>
      </c>
      <c r="AN189" s="12">
        <f t="shared" si="80"/>
        <v>34454159000</v>
      </c>
      <c r="AO189" s="12">
        <f t="shared" si="81"/>
        <v>149319227000</v>
      </c>
      <c r="AP189" s="8">
        <v>285906281000</v>
      </c>
      <c r="AQ189" s="8">
        <v>329512433000</v>
      </c>
      <c r="AR189" s="13">
        <f t="shared" si="82"/>
        <v>43606152000</v>
      </c>
      <c r="AS189" s="13">
        <f t="shared" si="83"/>
        <v>615418714000</v>
      </c>
      <c r="AT189" s="5">
        <f t="shared" si="101"/>
        <v>0.20087888170599513</v>
      </c>
      <c r="AU189" s="5">
        <f t="shared" si="102"/>
        <v>0.27885652800238953</v>
      </c>
      <c r="AV189" s="5">
        <f t="shared" si="84"/>
        <v>0.11442797133294171</v>
      </c>
      <c r="AW189" s="5">
        <f t="shared" si="85"/>
        <v>0.15926551747857273</v>
      </c>
      <c r="AX189" s="5">
        <f t="shared" si="103"/>
        <v>0.24263029966943775</v>
      </c>
      <c r="AY189" s="10" t="str">
        <f t="shared" si="104"/>
        <v>na</v>
      </c>
      <c r="AZ189" s="24" t="s">
        <v>152</v>
      </c>
      <c r="BA189" s="29" t="s">
        <v>152</v>
      </c>
      <c r="BB189" s="24" t="s">
        <v>152</v>
      </c>
      <c r="BC189" s="29" t="s">
        <v>152</v>
      </c>
      <c r="BD189" s="24" t="s">
        <v>152</v>
      </c>
      <c r="BE189" s="29" t="s">
        <v>152</v>
      </c>
      <c r="BF189" s="24" t="s">
        <v>152</v>
      </c>
      <c r="BG189" s="29" t="s">
        <v>152</v>
      </c>
      <c r="BH189" s="26">
        <f t="shared" si="86"/>
        <v>0</v>
      </c>
      <c r="BI189" s="26">
        <f t="shared" si="87"/>
        <v>0</v>
      </c>
      <c r="BJ189" s="26">
        <f t="shared" si="88"/>
        <v>0</v>
      </c>
      <c r="BK189" s="26">
        <f t="shared" si="89"/>
        <v>0</v>
      </c>
      <c r="BL189" s="34">
        <f t="shared" si="92"/>
        <v>0</v>
      </c>
      <c r="BM189" s="35">
        <f t="shared" si="91"/>
        <v>0</v>
      </c>
    </row>
    <row r="190" spans="1:65" x14ac:dyDescent="0.35">
      <c r="A190" s="18">
        <v>189</v>
      </c>
      <c r="B190" t="s">
        <v>419</v>
      </c>
      <c r="C190" s="3" t="s">
        <v>111</v>
      </c>
      <c r="D190" s="17" t="s">
        <v>4</v>
      </c>
      <c r="E190" s="17" t="s">
        <v>10</v>
      </c>
      <c r="F190" s="2">
        <v>2</v>
      </c>
      <c r="G190" s="2">
        <v>0</v>
      </c>
      <c r="H190" s="2">
        <v>1</v>
      </c>
      <c r="I190" s="18">
        <v>2018</v>
      </c>
      <c r="J190" s="2">
        <v>0</v>
      </c>
      <c r="K190" s="2" t="s">
        <v>152</v>
      </c>
      <c r="L190" s="4">
        <v>8300784856.8790398</v>
      </c>
      <c r="M190" s="2">
        <v>5</v>
      </c>
      <c r="N190" s="4">
        <v>1610000000</v>
      </c>
      <c r="O190" s="2">
        <v>2</v>
      </c>
      <c r="P190" s="4">
        <v>710000000</v>
      </c>
      <c r="Q190" s="2">
        <v>7</v>
      </c>
      <c r="R190" s="4">
        <v>2320000000</v>
      </c>
      <c r="S190" s="5">
        <f t="shared" si="70"/>
        <v>0.19395756277983259</v>
      </c>
      <c r="T190" s="5">
        <f t="shared" si="71"/>
        <v>8.5534080480547295E-2</v>
      </c>
      <c r="U190" s="5">
        <f t="shared" si="72"/>
        <v>0.2794916432603799</v>
      </c>
      <c r="V190" s="26">
        <f t="shared" si="73"/>
        <v>1.1991390032994942E-3</v>
      </c>
      <c r="W190" s="26">
        <f t="shared" si="74"/>
        <v>8.9292451643735698E-4</v>
      </c>
      <c r="X190" s="26">
        <f t="shared" si="75"/>
        <v>1.0826803806181545E-3</v>
      </c>
      <c r="Y190" s="26">
        <f t="shared" si="76"/>
        <v>136470588.2352941</v>
      </c>
      <c r="Z190" s="26">
        <f t="shared" si="77"/>
        <v>1.6440684897669401E-2</v>
      </c>
      <c r="AA190" s="2">
        <v>1</v>
      </c>
      <c r="AB190" s="11">
        <v>2</v>
      </c>
      <c r="AC190" s="27">
        <v>87500000</v>
      </c>
      <c r="AD190" s="11">
        <v>1</v>
      </c>
      <c r="AE190" s="27">
        <v>55000000</v>
      </c>
      <c r="AF190" s="2">
        <v>0</v>
      </c>
      <c r="AG190" s="4">
        <v>0</v>
      </c>
      <c r="AH190" s="28">
        <f t="shared" si="78"/>
        <v>3</v>
      </c>
      <c r="AI190" s="4">
        <f t="shared" si="106"/>
        <v>142500000</v>
      </c>
      <c r="AJ190" s="26">
        <f t="shared" si="90"/>
        <v>1.7167051364053505E-2</v>
      </c>
      <c r="AK190" s="26">
        <f t="shared" si="79"/>
        <v>3.5749919155007386E-3</v>
      </c>
      <c r="AL190" s="4">
        <v>605468000</v>
      </c>
      <c r="AM190" s="4">
        <v>55419000</v>
      </c>
      <c r="AN190" s="12">
        <f t="shared" si="80"/>
        <v>-550049000</v>
      </c>
      <c r="AO190" s="12">
        <f t="shared" si="81"/>
        <v>660887000</v>
      </c>
      <c r="AP190" s="8">
        <v>3327744000</v>
      </c>
      <c r="AQ190" s="8">
        <v>1115850000</v>
      </c>
      <c r="AR190" s="13">
        <f t="shared" si="82"/>
        <v>-2211894000</v>
      </c>
      <c r="AS190" s="13">
        <f t="shared" si="83"/>
        <v>4443594000</v>
      </c>
      <c r="AT190" s="5">
        <f t="shared" si="101"/>
        <v>0.18194548619124548</v>
      </c>
      <c r="AU190" s="5">
        <f t="shared" si="102"/>
        <v>4.9665277591074072E-2</v>
      </c>
      <c r="AV190" s="5">
        <f t="shared" si="84"/>
        <v>1.3318594950188197E-3</v>
      </c>
      <c r="AW190" s="5">
        <f t="shared" si="85"/>
        <v>5.3933147851348404E-4</v>
      </c>
      <c r="AX190" s="5">
        <f t="shared" si="103"/>
        <v>0.14872803410932681</v>
      </c>
      <c r="AY190" s="10">
        <f t="shared" si="104"/>
        <v>7.9617411051475295E-2</v>
      </c>
      <c r="AZ190" s="24">
        <v>110</v>
      </c>
      <c r="BA190" s="19">
        <v>4526207246.7776613</v>
      </c>
      <c r="BB190" s="17">
        <v>68</v>
      </c>
      <c r="BC190" s="19">
        <v>1220500441.5102644</v>
      </c>
      <c r="BD190" s="17">
        <v>33</v>
      </c>
      <c r="BE190" s="19">
        <v>2663613033.5387716</v>
      </c>
      <c r="BF190" s="17">
        <v>9</v>
      </c>
      <c r="BG190" s="19">
        <v>642093771.72862554</v>
      </c>
      <c r="BH190" s="26">
        <f t="shared" si="86"/>
        <v>0.54527461255988285</v>
      </c>
      <c r="BI190" s="26">
        <f t="shared" si="87"/>
        <v>0.14703434224039783</v>
      </c>
      <c r="BJ190" s="26">
        <f t="shared" si="88"/>
        <v>0.32088688954892958</v>
      </c>
      <c r="BK190" s="26">
        <f t="shared" si="89"/>
        <v>7.7353380770555522E-2</v>
      </c>
      <c r="BL190" s="34">
        <f t="shared" si="92"/>
        <v>266247485.1045683</v>
      </c>
      <c r="BM190" s="35">
        <f t="shared" si="91"/>
        <v>3.2074977209404873E-2</v>
      </c>
    </row>
    <row r="191" spans="1:65" x14ac:dyDescent="0.35">
      <c r="A191" s="18">
        <v>190</v>
      </c>
      <c r="B191" t="s">
        <v>420</v>
      </c>
      <c r="C191" s="3" t="s">
        <v>112</v>
      </c>
      <c r="D191" s="17" t="s">
        <v>9</v>
      </c>
      <c r="E191" s="17" t="s">
        <v>10</v>
      </c>
      <c r="F191" s="2">
        <v>1</v>
      </c>
      <c r="G191" s="2">
        <v>0</v>
      </c>
      <c r="H191" s="2">
        <v>1</v>
      </c>
      <c r="I191" s="18">
        <v>2018</v>
      </c>
      <c r="J191" s="2">
        <v>0</v>
      </c>
      <c r="K191" s="2" t="s">
        <v>152</v>
      </c>
      <c r="L191" s="4">
        <v>61136873747.332352</v>
      </c>
      <c r="M191" s="2">
        <v>6</v>
      </c>
      <c r="N191" s="4">
        <v>1400000000</v>
      </c>
      <c r="O191" s="2">
        <v>24</v>
      </c>
      <c r="P191" s="4">
        <v>13550000000</v>
      </c>
      <c r="Q191" s="2">
        <v>30</v>
      </c>
      <c r="R191" s="4">
        <v>14950000000</v>
      </c>
      <c r="S191" s="5">
        <f t="shared" si="70"/>
        <v>2.2899437183948053E-2</v>
      </c>
      <c r="T191" s="5">
        <f t="shared" si="71"/>
        <v>0.22163383845892579</v>
      </c>
      <c r="U191" s="5">
        <f t="shared" si="72"/>
        <v>0.24453327564287386</v>
      </c>
      <c r="V191" s="26">
        <f t="shared" si="73"/>
        <v>1.0427295680865167E-3</v>
      </c>
      <c r="W191" s="26">
        <f t="shared" si="74"/>
        <v>1.7041024222149558E-2</v>
      </c>
      <c r="X191" s="26">
        <f t="shared" si="75"/>
        <v>6.9767550388971592E-3</v>
      </c>
      <c r="Y191" s="26">
        <f t="shared" si="76"/>
        <v>879411764.70588231</v>
      </c>
      <c r="Z191" s="26">
        <f t="shared" si="77"/>
        <v>1.4384310331933756E-2</v>
      </c>
      <c r="AA191" s="2">
        <v>0</v>
      </c>
      <c r="AB191" s="2" t="s">
        <v>152</v>
      </c>
      <c r="AC191" s="4" t="s">
        <v>152</v>
      </c>
      <c r="AD191" s="2" t="s">
        <v>152</v>
      </c>
      <c r="AE191" s="4" t="s">
        <v>152</v>
      </c>
      <c r="AF191" s="2" t="s">
        <v>152</v>
      </c>
      <c r="AG191" s="4" t="s">
        <v>152</v>
      </c>
      <c r="AH191" s="28">
        <f t="shared" si="78"/>
        <v>0</v>
      </c>
      <c r="AI191" s="4" t="str">
        <f t="shared" si="106"/>
        <v>na</v>
      </c>
      <c r="AJ191" s="26" t="str">
        <f t="shared" si="90"/>
        <v>na</v>
      </c>
      <c r="AK191" s="26" t="str">
        <f t="shared" si="79"/>
        <v>na</v>
      </c>
      <c r="AL191" s="4">
        <v>1992547000</v>
      </c>
      <c r="AM191" s="4">
        <v>230712000</v>
      </c>
      <c r="AN191" s="12">
        <f t="shared" si="80"/>
        <v>-1761835000</v>
      </c>
      <c r="AO191" s="12">
        <f t="shared" si="81"/>
        <v>2223259000</v>
      </c>
      <c r="AP191" s="8">
        <v>9077091000</v>
      </c>
      <c r="AQ191" s="8">
        <v>4932713000</v>
      </c>
      <c r="AR191" s="13">
        <f t="shared" si="82"/>
        <v>-4144378000</v>
      </c>
      <c r="AS191" s="13">
        <f t="shared" si="83"/>
        <v>14009804000</v>
      </c>
      <c r="AT191" s="5">
        <f t="shared" si="101"/>
        <v>0.21951382882467521</v>
      </c>
      <c r="AU191" s="5">
        <f t="shared" si="102"/>
        <v>4.6771827187188877E-2</v>
      </c>
      <c r="AV191" s="5">
        <f t="shared" si="84"/>
        <v>3.632914621887944E-3</v>
      </c>
      <c r="AW191" s="5">
        <f t="shared" si="85"/>
        <v>2.3841622040352054E-3</v>
      </c>
      <c r="AX191" s="5">
        <f t="shared" si="103"/>
        <v>0.15869308378618288</v>
      </c>
      <c r="AY191" s="10">
        <f t="shared" si="104"/>
        <v>3.6365271295819401E-2</v>
      </c>
      <c r="AZ191" s="24">
        <v>204</v>
      </c>
      <c r="BA191" s="19">
        <v>14476993314.021706</v>
      </c>
      <c r="BB191" s="17">
        <v>174</v>
      </c>
      <c r="BC191" s="19">
        <v>10042915638.938545</v>
      </c>
      <c r="BD191" s="17">
        <v>22</v>
      </c>
      <c r="BE191" s="19">
        <v>2193990114.9791784</v>
      </c>
      <c r="BF191" s="17">
        <v>8</v>
      </c>
      <c r="BG191" s="19">
        <v>2240087560.1039782</v>
      </c>
      <c r="BH191" s="26">
        <f t="shared" si="86"/>
        <v>0.23679642786205429</v>
      </c>
      <c r="BI191" s="26">
        <f t="shared" si="87"/>
        <v>0.16426936844111625</v>
      </c>
      <c r="BJ191" s="26">
        <f t="shared" si="88"/>
        <v>3.58865277286919E-2</v>
      </c>
      <c r="BK191" s="26">
        <f t="shared" si="89"/>
        <v>3.6640531692246077E-2</v>
      </c>
      <c r="BL191" s="34">
        <f t="shared" si="92"/>
        <v>851587842.00127685</v>
      </c>
      <c r="BM191" s="35">
        <f t="shared" si="91"/>
        <v>1.392920163894437E-2</v>
      </c>
    </row>
    <row r="192" spans="1:65" x14ac:dyDescent="0.35">
      <c r="A192" s="18">
        <v>191</v>
      </c>
      <c r="B192" t="s">
        <v>421</v>
      </c>
      <c r="C192" s="3" t="s">
        <v>113</v>
      </c>
      <c r="D192" s="17" t="s">
        <v>23</v>
      </c>
      <c r="E192" s="17" t="s">
        <v>5</v>
      </c>
      <c r="F192" s="2">
        <v>4</v>
      </c>
      <c r="G192" s="2">
        <v>1</v>
      </c>
      <c r="H192" s="2">
        <v>1</v>
      </c>
      <c r="I192" s="18">
        <v>2014</v>
      </c>
      <c r="J192" s="2">
        <v>0</v>
      </c>
      <c r="K192" s="2" t="s">
        <v>152</v>
      </c>
      <c r="L192" s="4">
        <v>544263968873.60052</v>
      </c>
      <c r="M192" s="2">
        <v>8</v>
      </c>
      <c r="N192" s="4">
        <v>1780000000</v>
      </c>
      <c r="O192" s="2">
        <v>29</v>
      </c>
      <c r="P192" s="4">
        <v>8360000000</v>
      </c>
      <c r="Q192" s="2">
        <v>37</v>
      </c>
      <c r="R192" s="4">
        <v>10140000000</v>
      </c>
      <c r="S192" s="5">
        <f t="shared" si="70"/>
        <v>3.2704718698977221E-3</v>
      </c>
      <c r="T192" s="5">
        <f t="shared" si="71"/>
        <v>1.5360193726036492E-2</v>
      </c>
      <c r="U192" s="5">
        <f t="shared" si="72"/>
        <v>1.8630665595934216E-2</v>
      </c>
      <c r="V192" s="26">
        <f t="shared" si="73"/>
        <v>1.3257561651385712E-3</v>
      </c>
      <c r="W192" s="26">
        <f t="shared" si="74"/>
        <v>1.0513871771008879E-2</v>
      </c>
      <c r="X192" s="26">
        <f t="shared" si="75"/>
        <v>4.7320599394258993E-3</v>
      </c>
      <c r="Y192" s="26">
        <f t="shared" si="76"/>
        <v>596470588.2352941</v>
      </c>
      <c r="Z192" s="26">
        <f t="shared" si="77"/>
        <v>1.0959215056431891E-3</v>
      </c>
      <c r="AA192" s="2">
        <v>1</v>
      </c>
      <c r="AB192" s="18">
        <v>0</v>
      </c>
      <c r="AC192" s="4">
        <v>0</v>
      </c>
      <c r="AD192" s="11">
        <v>1</v>
      </c>
      <c r="AE192" s="27">
        <v>500000000</v>
      </c>
      <c r="AF192" s="2">
        <v>0</v>
      </c>
      <c r="AG192" s="4">
        <v>0</v>
      </c>
      <c r="AH192" s="28">
        <f t="shared" si="78"/>
        <v>1</v>
      </c>
      <c r="AI192" s="4">
        <f t="shared" si="106"/>
        <v>500000000</v>
      </c>
      <c r="AJ192" s="26">
        <f t="shared" si="90"/>
        <v>9.1867187356677591E-4</v>
      </c>
      <c r="AK192" s="26">
        <f t="shared" si="79"/>
        <v>1.2543831282458732E-2</v>
      </c>
      <c r="AL192" s="4">
        <v>50953351000</v>
      </c>
      <c r="AM192" s="4">
        <v>29002027000</v>
      </c>
      <c r="AN192" s="12">
        <f t="shared" si="80"/>
        <v>-21951324000</v>
      </c>
      <c r="AO192" s="12">
        <f t="shared" si="81"/>
        <v>79955378000</v>
      </c>
      <c r="AP192" s="8">
        <v>240139196000</v>
      </c>
      <c r="AQ192" s="8">
        <v>245380465000</v>
      </c>
      <c r="AR192" s="13">
        <f t="shared" si="82"/>
        <v>5241269000</v>
      </c>
      <c r="AS192" s="13">
        <f t="shared" si="83"/>
        <v>485519661000</v>
      </c>
      <c r="AT192" s="5">
        <f t="shared" si="101"/>
        <v>0.21218256681429049</v>
      </c>
      <c r="AU192" s="5">
        <f t="shared" si="102"/>
        <v>0.11819207775973528</v>
      </c>
      <c r="AV192" s="5">
        <f t="shared" si="84"/>
        <v>9.6110658848392594E-2</v>
      </c>
      <c r="AW192" s="5">
        <f t="shared" si="85"/>
        <v>0.11860143297645404</v>
      </c>
      <c r="AX192" s="5">
        <f t="shared" si="103"/>
        <v>0.16468000046655165</v>
      </c>
      <c r="AY192" s="10">
        <f t="shared" si="104"/>
        <v>0.14690551381799954</v>
      </c>
      <c r="AZ192" s="24">
        <v>55</v>
      </c>
      <c r="BA192" s="19">
        <v>2707817429.782577</v>
      </c>
      <c r="BB192" s="17">
        <v>23</v>
      </c>
      <c r="BC192" s="19">
        <v>17890173.653132062</v>
      </c>
      <c r="BD192" s="17">
        <v>27</v>
      </c>
      <c r="BE192" s="19">
        <v>2677493910.3410997</v>
      </c>
      <c r="BF192" s="17">
        <v>5</v>
      </c>
      <c r="BG192" s="19">
        <v>12433345.7883453</v>
      </c>
      <c r="BH192" s="26">
        <f t="shared" si="86"/>
        <v>4.9751914229902638E-3</v>
      </c>
      <c r="BI192" s="26">
        <f t="shared" si="87"/>
        <v>3.2870398696715605E-5</v>
      </c>
      <c r="BJ192" s="26">
        <f t="shared" si="88"/>
        <v>4.9194766941533822E-3</v>
      </c>
      <c r="BK192" s="26">
        <f t="shared" si="89"/>
        <v>2.2844330140165517E-5</v>
      </c>
      <c r="BL192" s="34">
        <f t="shared" si="92"/>
        <v>159283378.22250453</v>
      </c>
      <c r="BM192" s="35">
        <f t="shared" si="91"/>
        <v>2.9265831899942724E-4</v>
      </c>
    </row>
    <row r="193" spans="1:65" x14ac:dyDescent="0.35">
      <c r="A193" s="18">
        <v>192</v>
      </c>
      <c r="B193" t="s">
        <v>294</v>
      </c>
      <c r="C193" s="3" t="s">
        <v>209</v>
      </c>
      <c r="D193" s="17" t="s">
        <v>23</v>
      </c>
      <c r="E193" s="17" t="s">
        <v>10</v>
      </c>
      <c r="F193" s="2">
        <v>0</v>
      </c>
      <c r="G193" s="2">
        <v>0</v>
      </c>
      <c r="H193" s="2">
        <v>1</v>
      </c>
      <c r="I193" s="18">
        <v>2017</v>
      </c>
      <c r="J193" s="2">
        <v>0</v>
      </c>
      <c r="K193" s="2" t="s">
        <v>152</v>
      </c>
      <c r="L193" s="4">
        <v>2017924900</v>
      </c>
      <c r="M193" s="2">
        <v>0</v>
      </c>
      <c r="N193" s="4">
        <v>0</v>
      </c>
      <c r="O193" s="2">
        <v>2</v>
      </c>
      <c r="P193" s="4">
        <v>780000000</v>
      </c>
      <c r="Q193" s="2">
        <v>2</v>
      </c>
      <c r="R193" s="4">
        <v>780000000</v>
      </c>
      <c r="S193" s="5">
        <f t="shared" si="70"/>
        <v>0</v>
      </c>
      <c r="T193" s="5">
        <f t="shared" si="71"/>
        <v>0.38653569317668857</v>
      </c>
      <c r="U193" s="5">
        <f t="shared" si="72"/>
        <v>0.38653569317668857</v>
      </c>
      <c r="V193" s="26">
        <f t="shared" si="73"/>
        <v>0</v>
      </c>
      <c r="W193" s="26">
        <f t="shared" si="74"/>
        <v>9.8095932791709625E-4</v>
      </c>
      <c r="X193" s="26">
        <f t="shared" si="75"/>
        <v>3.6400461072506917E-4</v>
      </c>
      <c r="Y193" s="26">
        <f t="shared" si="76"/>
        <v>45882352.941176474</v>
      </c>
      <c r="Z193" s="26">
        <f t="shared" si="77"/>
        <v>2.2737393716275801E-2</v>
      </c>
      <c r="AA193" s="2">
        <v>1</v>
      </c>
      <c r="AB193" s="2">
        <v>0</v>
      </c>
      <c r="AC193" s="4">
        <v>0</v>
      </c>
      <c r="AD193" s="2">
        <v>0</v>
      </c>
      <c r="AE193" s="4">
        <v>0</v>
      </c>
      <c r="AF193" s="2">
        <v>0</v>
      </c>
      <c r="AG193" s="4">
        <v>0</v>
      </c>
      <c r="AH193" s="28">
        <f t="shared" si="78"/>
        <v>0</v>
      </c>
      <c r="AI193" s="4">
        <f t="shared" si="106"/>
        <v>0</v>
      </c>
      <c r="AJ193" s="26">
        <f t="shared" si="90"/>
        <v>0</v>
      </c>
      <c r="AK193" s="26">
        <f t="shared" si="79"/>
        <v>0</v>
      </c>
      <c r="AL193" s="14">
        <v>143579000</v>
      </c>
      <c r="AM193" s="14">
        <v>24561000</v>
      </c>
      <c r="AN193" s="12">
        <f t="shared" si="80"/>
        <v>-119018000</v>
      </c>
      <c r="AO193" s="12">
        <f t="shared" si="81"/>
        <v>168140000</v>
      </c>
      <c r="AP193" s="8">
        <v>547133000</v>
      </c>
      <c r="AQ193" s="8">
        <v>123273000</v>
      </c>
      <c r="AR193" s="13">
        <f t="shared" si="82"/>
        <v>-423860000</v>
      </c>
      <c r="AS193" s="13">
        <f t="shared" si="83"/>
        <v>670406000</v>
      </c>
      <c r="AT193" s="5">
        <f t="shared" si="101"/>
        <v>0.2624206545757613</v>
      </c>
      <c r="AU193" s="5">
        <f t="shared" si="102"/>
        <v>0.19924070964444768</v>
      </c>
      <c r="AV193" s="5">
        <f t="shared" si="84"/>
        <v>2.1897846742061043E-4</v>
      </c>
      <c r="AW193" s="5">
        <f t="shared" si="85"/>
        <v>5.9582389524391928E-5</v>
      </c>
      <c r="AX193" s="5">
        <f t="shared" si="103"/>
        <v>0.25080324460103282</v>
      </c>
      <c r="AY193" s="10">
        <f t="shared" si="104"/>
        <v>8.3323219808626184E-2</v>
      </c>
      <c r="AZ193" s="24">
        <v>75</v>
      </c>
      <c r="BA193" s="19">
        <v>248960207.85690689</v>
      </c>
      <c r="BB193" s="17">
        <v>72</v>
      </c>
      <c r="BC193" s="19">
        <v>199802597.25105408</v>
      </c>
      <c r="BD193" s="17">
        <v>1</v>
      </c>
      <c r="BE193" s="19">
        <v>49157610.605852798</v>
      </c>
      <c r="BF193" s="17">
        <v>2</v>
      </c>
      <c r="BG193" s="19">
        <v>0</v>
      </c>
      <c r="BH193" s="26">
        <f t="shared" si="86"/>
        <v>0.12337436732997689</v>
      </c>
      <c r="BI193" s="26">
        <f t="shared" si="87"/>
        <v>9.9013891572998614E-2</v>
      </c>
      <c r="BJ193" s="26">
        <f t="shared" si="88"/>
        <v>2.4360475756978268E-2</v>
      </c>
      <c r="BK193" s="26">
        <f t="shared" si="89"/>
        <v>0</v>
      </c>
      <c r="BL193" s="34">
        <f t="shared" si="92"/>
        <v>14644718.109229818</v>
      </c>
      <c r="BM193" s="35">
        <f t="shared" si="91"/>
        <v>7.2573157252927593E-3</v>
      </c>
    </row>
    <row r="194" spans="1:65" x14ac:dyDescent="0.35">
      <c r="A194" s="18">
        <v>193</v>
      </c>
      <c r="B194" t="s">
        <v>422</v>
      </c>
      <c r="C194" s="3" t="s">
        <v>114</v>
      </c>
      <c r="D194" s="17" t="s">
        <v>9</v>
      </c>
      <c r="E194" s="17" t="s">
        <v>2</v>
      </c>
      <c r="F194" s="2">
        <v>0</v>
      </c>
      <c r="G194" s="2">
        <v>0</v>
      </c>
      <c r="H194" s="2">
        <v>1</v>
      </c>
      <c r="I194" s="18">
        <v>2018</v>
      </c>
      <c r="J194" s="2">
        <v>0</v>
      </c>
      <c r="K194" s="2" t="s">
        <v>152</v>
      </c>
      <c r="L194" s="4">
        <v>7220395247.7424049</v>
      </c>
      <c r="M194" s="2">
        <v>3</v>
      </c>
      <c r="N194" s="4">
        <v>730000000</v>
      </c>
      <c r="O194" s="2">
        <v>0</v>
      </c>
      <c r="P194" s="4">
        <v>0</v>
      </c>
      <c r="Q194" s="2">
        <v>3</v>
      </c>
      <c r="R194" s="4">
        <v>730000000</v>
      </c>
      <c r="S194" s="5">
        <f t="shared" ref="S194:S217" si="107">IFERROR(N194/L194,0)</f>
        <v>0.10110249854095571</v>
      </c>
      <c r="T194" s="15">
        <f t="shared" ref="T194:T217" si="108">IFERROR(P194/L194,0)</f>
        <v>0</v>
      </c>
      <c r="U194" s="5">
        <f t="shared" ref="U194:U217" si="109">IFERROR(R194/L194,0)</f>
        <v>0.10110249854095571</v>
      </c>
      <c r="V194" s="26">
        <f t="shared" ref="V194:V217" si="110">IFERROR(N194/SUM($N$2:$N$217),0)</f>
        <v>5.4370898907368369E-4</v>
      </c>
      <c r="W194" s="26">
        <f t="shared" ref="W194:W217" si="111">IFERROR(P194/SUM($P$2:$P$217),0)</f>
        <v>0</v>
      </c>
      <c r="X194" s="26">
        <f t="shared" ref="X194:X217" si="112">IFERROR(R194/SUM($R$2:$R$217),0)</f>
        <v>3.4067098183243654E-4</v>
      </c>
      <c r="Y194" s="26">
        <f t="shared" ref="Y194:Y217" si="113">R194/17</f>
        <v>42941176.470588237</v>
      </c>
      <c r="Z194" s="26">
        <f t="shared" ref="Z194:Z257" si="114">IFERROR(Y194/L194,0)</f>
        <v>5.947205796526806E-3</v>
      </c>
      <c r="AA194" s="2">
        <v>3</v>
      </c>
      <c r="AB194" s="2">
        <v>0</v>
      </c>
      <c r="AC194" s="4">
        <v>0</v>
      </c>
      <c r="AD194" s="2">
        <v>0</v>
      </c>
      <c r="AE194" s="4">
        <v>0</v>
      </c>
      <c r="AF194" s="2">
        <v>0</v>
      </c>
      <c r="AG194" s="4">
        <v>0</v>
      </c>
      <c r="AH194" s="28">
        <f t="shared" ref="AH194:AH217" si="115">IFERROR(AB194+AD194+AF194,0)</f>
        <v>0</v>
      </c>
      <c r="AI194" s="4">
        <f t="shared" si="106"/>
        <v>0</v>
      </c>
      <c r="AJ194" s="26">
        <f t="shared" si="90"/>
        <v>0</v>
      </c>
      <c r="AK194" s="26">
        <f t="shared" ref="AK194:AK217" si="116">IFERROR(AI194/SUM($AI$2:$AI$217),"na")</f>
        <v>0</v>
      </c>
      <c r="AL194" s="4">
        <v>403066000</v>
      </c>
      <c r="AM194" s="4">
        <v>9334000</v>
      </c>
      <c r="AN194" s="12">
        <f t="shared" ref="AN194:AN257" si="117">IFERROR(AM194-AL194,"na")</f>
        <v>-393732000</v>
      </c>
      <c r="AO194" s="12">
        <f t="shared" ref="AO194:AO217" si="118">IFERROR(AL194+AM194,"na")</f>
        <v>412400000</v>
      </c>
      <c r="AP194" s="8">
        <v>1964438000</v>
      </c>
      <c r="AQ194" s="8">
        <v>1025312000</v>
      </c>
      <c r="AR194" s="13">
        <f t="shared" ref="AR194:AR257" si="119">IFERROR(AQ194-AP194,"na")</f>
        <v>-939126000</v>
      </c>
      <c r="AS194" s="13">
        <f t="shared" ref="AS194:AS217" si="120">IFERROR(AP194+AQ194,"na")</f>
        <v>2989750000</v>
      </c>
      <c r="AT194" s="5">
        <f t="shared" si="101"/>
        <v>0.20518132921476778</v>
      </c>
      <c r="AU194" s="5">
        <f t="shared" si="102"/>
        <v>9.1035704253924661E-3</v>
      </c>
      <c r="AV194" s="5">
        <f t="shared" ref="AV194:AV217" si="121">IFERROR((AL194/2498569866000)/AT194,"na")</f>
        <v>7.8622496282039131E-4</v>
      </c>
      <c r="AW194" s="5">
        <f t="shared" ref="AW194:AW217" si="122">IFERROR((AM194/2068950255000)/AU194,"na")</f>
        <v>4.9557112237094366E-4</v>
      </c>
      <c r="AX194" s="5">
        <f t="shared" si="103"/>
        <v>0.13793795467848483</v>
      </c>
      <c r="AY194" s="10">
        <f t="shared" si="104"/>
        <v>5.7115986846972784E-2</v>
      </c>
      <c r="AZ194" s="24">
        <v>120</v>
      </c>
      <c r="BA194" s="19">
        <v>1801457587.2364957</v>
      </c>
      <c r="BB194" s="17">
        <v>102</v>
      </c>
      <c r="BC194" s="19">
        <v>946408470.0451287</v>
      </c>
      <c r="BD194" s="17">
        <v>11</v>
      </c>
      <c r="BE194" s="19">
        <v>660375004.64250684</v>
      </c>
      <c r="BF194" s="17">
        <v>7</v>
      </c>
      <c r="BG194" s="19">
        <v>194674112.54886019</v>
      </c>
      <c r="BH194" s="26">
        <f t="shared" ref="BH194:BH217" si="123">IFERROR(BA194/L194,0)</f>
        <v>0.24949570285639916</v>
      </c>
      <c r="BI194" s="26">
        <f t="shared" ref="BI194:BI217" si="124">IFERROR(BC194/L194,0)</f>
        <v>0.13107433008477498</v>
      </c>
      <c r="BJ194" s="26">
        <f t="shared" ref="BJ194:BJ217" si="125">IFERROR(BE194/L194,0)</f>
        <v>9.1459675264866661E-2</v>
      </c>
      <c r="BK194" s="26">
        <f t="shared" ref="BK194:BK217" si="126">IFERROR(BG194/L194,0)</f>
        <v>2.6961697506757514E-2</v>
      </c>
      <c r="BL194" s="34">
        <f t="shared" si="92"/>
        <v>105968093.36685269</v>
      </c>
      <c r="BM194" s="35">
        <f t="shared" si="91"/>
        <v>1.4676217815082304E-2</v>
      </c>
    </row>
    <row r="195" spans="1:65" x14ac:dyDescent="0.35">
      <c r="A195" s="18">
        <v>194</v>
      </c>
      <c r="B195" t="s">
        <v>423</v>
      </c>
      <c r="C195" s="3" t="s">
        <v>115</v>
      </c>
      <c r="D195" s="17" t="s">
        <v>23</v>
      </c>
      <c r="E195" s="17" t="s">
        <v>5</v>
      </c>
      <c r="F195" s="2">
        <v>0</v>
      </c>
      <c r="G195" s="2">
        <v>0</v>
      </c>
      <c r="H195" s="2">
        <v>1</v>
      </c>
      <c r="I195" s="18">
        <v>2018</v>
      </c>
      <c r="J195" s="2">
        <v>0</v>
      </c>
      <c r="K195" s="2" t="s">
        <v>152</v>
      </c>
      <c r="L195" s="4">
        <v>512350059.42162949</v>
      </c>
      <c r="M195" s="2">
        <v>0</v>
      </c>
      <c r="N195" s="4">
        <v>0</v>
      </c>
      <c r="O195" s="2">
        <v>0</v>
      </c>
      <c r="P195" s="4">
        <v>0</v>
      </c>
      <c r="Q195" s="2">
        <v>0</v>
      </c>
      <c r="R195" s="4">
        <v>0</v>
      </c>
      <c r="S195" s="5">
        <f t="shared" si="107"/>
        <v>0</v>
      </c>
      <c r="T195" s="15">
        <f t="shared" si="108"/>
        <v>0</v>
      </c>
      <c r="U195" s="5">
        <f t="shared" si="109"/>
        <v>0</v>
      </c>
      <c r="V195" s="26">
        <f t="shared" si="110"/>
        <v>0</v>
      </c>
      <c r="W195" s="26">
        <f t="shared" si="111"/>
        <v>0</v>
      </c>
      <c r="X195" s="26">
        <f t="shared" si="112"/>
        <v>0</v>
      </c>
      <c r="Y195" s="26">
        <f t="shared" si="113"/>
        <v>0</v>
      </c>
      <c r="Z195" s="26">
        <f t="shared" si="114"/>
        <v>0</v>
      </c>
      <c r="AA195" s="2">
        <v>1</v>
      </c>
      <c r="AB195" s="18">
        <v>0</v>
      </c>
      <c r="AC195" s="4">
        <v>0</v>
      </c>
      <c r="AD195" s="18">
        <v>0</v>
      </c>
      <c r="AE195" s="4">
        <v>0</v>
      </c>
      <c r="AF195" s="2">
        <v>0</v>
      </c>
      <c r="AG195" s="4">
        <v>0</v>
      </c>
      <c r="AH195" s="28">
        <f t="shared" si="115"/>
        <v>0</v>
      </c>
      <c r="AI195" s="4">
        <f t="shared" si="106"/>
        <v>0</v>
      </c>
      <c r="AJ195" s="26">
        <f t="shared" ref="AJ195:AJ258" si="127">IFERROR(AI195/L195,"na")</f>
        <v>0</v>
      </c>
      <c r="AK195" s="26">
        <f t="shared" si="116"/>
        <v>0</v>
      </c>
      <c r="AL195" s="14">
        <v>29475000</v>
      </c>
      <c r="AM195" s="14">
        <v>130000</v>
      </c>
      <c r="AN195" s="12">
        <f t="shared" si="117"/>
        <v>-29345000</v>
      </c>
      <c r="AO195" s="12">
        <f t="shared" si="118"/>
        <v>29605000</v>
      </c>
      <c r="AP195" s="8">
        <v>212354000</v>
      </c>
      <c r="AQ195" s="8">
        <v>16206000</v>
      </c>
      <c r="AR195" s="13">
        <f t="shared" si="119"/>
        <v>-196148000</v>
      </c>
      <c r="AS195" s="13">
        <f t="shared" si="120"/>
        <v>228560000</v>
      </c>
      <c r="AT195" s="5">
        <f t="shared" si="101"/>
        <v>0.13880124697439181</v>
      </c>
      <c r="AU195" s="5">
        <f t="shared" si="102"/>
        <v>8.0217203504874737E-3</v>
      </c>
      <c r="AV195" s="5">
        <f t="shared" si="121"/>
        <v>8.499021896072127E-5</v>
      </c>
      <c r="AW195" s="5">
        <f t="shared" si="122"/>
        <v>7.832957781771317E-6</v>
      </c>
      <c r="AX195" s="5">
        <f t="shared" si="103"/>
        <v>0.12952835141757088</v>
      </c>
      <c r="AY195" s="10">
        <f t="shared" si="104"/>
        <v>5.7782758985955508E-2</v>
      </c>
      <c r="AZ195" s="24">
        <v>110</v>
      </c>
      <c r="BA195" s="19">
        <v>450695785.95466006</v>
      </c>
      <c r="BB195" s="17">
        <v>102</v>
      </c>
      <c r="BC195" s="19">
        <v>374120372.21634734</v>
      </c>
      <c r="BD195" s="17">
        <v>6</v>
      </c>
      <c r="BE195" s="19">
        <v>76575413.738312721</v>
      </c>
      <c r="BF195" s="17">
        <v>2</v>
      </c>
      <c r="BG195" s="19">
        <v>0</v>
      </c>
      <c r="BH195" s="26">
        <f t="shared" si="123"/>
        <v>0.87966377219401837</v>
      </c>
      <c r="BI195" s="26">
        <f t="shared" si="124"/>
        <v>0.73020460393559072</v>
      </c>
      <c r="BJ195" s="26">
        <f t="shared" si="125"/>
        <v>0.14945916825842764</v>
      </c>
      <c r="BK195" s="26">
        <f t="shared" si="126"/>
        <v>0</v>
      </c>
      <c r="BL195" s="34">
        <f t="shared" si="92"/>
        <v>26511516.820862357</v>
      </c>
      <c r="BM195" s="35">
        <f t="shared" ref="BM195:BM217" si="128">IFERROR(BL195/L195,0)</f>
        <v>5.1744927776118728E-2</v>
      </c>
    </row>
    <row r="196" spans="1:65" x14ac:dyDescent="0.35">
      <c r="A196" s="18">
        <v>195</v>
      </c>
      <c r="B196" t="s">
        <v>424</v>
      </c>
      <c r="C196" s="3" t="s">
        <v>116</v>
      </c>
      <c r="D196" s="17" t="s">
        <v>12</v>
      </c>
      <c r="E196" s="17" t="s">
        <v>13</v>
      </c>
      <c r="F196" s="2">
        <v>0</v>
      </c>
      <c r="G196" s="2">
        <v>0</v>
      </c>
      <c r="H196" s="2">
        <v>1</v>
      </c>
      <c r="I196" s="18">
        <v>2018</v>
      </c>
      <c r="J196" s="2">
        <v>0</v>
      </c>
      <c r="K196" s="2" t="s">
        <v>152</v>
      </c>
      <c r="L196" s="4">
        <v>23208326547.532684</v>
      </c>
      <c r="M196" s="2">
        <v>3</v>
      </c>
      <c r="N196" s="4">
        <v>1350000000</v>
      </c>
      <c r="O196" s="2">
        <v>6</v>
      </c>
      <c r="P196" s="4">
        <v>930000000</v>
      </c>
      <c r="Q196" s="2">
        <v>9</v>
      </c>
      <c r="R196" s="4">
        <v>2280000000</v>
      </c>
      <c r="S196" s="5">
        <f t="shared" si="107"/>
        <v>5.8168778228584551E-2</v>
      </c>
      <c r="T196" s="5">
        <f t="shared" si="108"/>
        <v>4.0071825001913801E-2</v>
      </c>
      <c r="U196" s="5">
        <f t="shared" si="109"/>
        <v>9.8240603230498352E-2</v>
      </c>
      <c r="V196" s="26">
        <f t="shared" si="110"/>
        <v>1.0054892263691411E-3</v>
      </c>
      <c r="W196" s="26">
        <f t="shared" si="111"/>
        <v>1.1696053525165379E-3</v>
      </c>
      <c r="X196" s="26">
        <f t="shared" si="112"/>
        <v>1.0640134775040484E-3</v>
      </c>
      <c r="Y196" s="26">
        <f t="shared" si="113"/>
        <v>134117647.05882353</v>
      </c>
      <c r="Z196" s="26">
        <f t="shared" si="114"/>
        <v>5.7788590135587261E-3</v>
      </c>
      <c r="AA196" s="2">
        <v>0</v>
      </c>
      <c r="AB196" s="2" t="s">
        <v>152</v>
      </c>
      <c r="AC196" s="4" t="s">
        <v>152</v>
      </c>
      <c r="AD196" s="2" t="s">
        <v>152</v>
      </c>
      <c r="AE196" s="4" t="s">
        <v>152</v>
      </c>
      <c r="AF196" s="2" t="s">
        <v>152</v>
      </c>
      <c r="AG196" s="4" t="s">
        <v>152</v>
      </c>
      <c r="AH196" s="28">
        <f t="shared" si="115"/>
        <v>0</v>
      </c>
      <c r="AI196" s="4" t="str">
        <f t="shared" si="106"/>
        <v>na</v>
      </c>
      <c r="AJ196" s="26" t="str">
        <f t="shared" si="127"/>
        <v>na</v>
      </c>
      <c r="AK196" s="26" t="str">
        <f t="shared" si="116"/>
        <v>na</v>
      </c>
      <c r="AL196" s="14">
        <v>363467000</v>
      </c>
      <c r="AM196" s="14">
        <v>682025000</v>
      </c>
      <c r="AN196" s="12">
        <f t="shared" si="117"/>
        <v>318558000</v>
      </c>
      <c r="AO196" s="12">
        <f t="shared" si="118"/>
        <v>1045492000</v>
      </c>
      <c r="AP196" s="8">
        <v>7163292000</v>
      </c>
      <c r="AQ196" s="8">
        <v>11137532000</v>
      </c>
      <c r="AR196" s="13">
        <f t="shared" si="119"/>
        <v>3974240000</v>
      </c>
      <c r="AS196" s="13">
        <f t="shared" si="120"/>
        <v>18300824000</v>
      </c>
      <c r="AT196" s="5">
        <f t="shared" si="101"/>
        <v>5.0740218324200663E-2</v>
      </c>
      <c r="AU196" s="5">
        <f t="shared" si="102"/>
        <v>6.1236636626498579E-2</v>
      </c>
      <c r="AV196" s="5">
        <f t="shared" si="121"/>
        <v>2.8669568529887971E-3</v>
      </c>
      <c r="AW196" s="5">
        <f t="shared" si="122"/>
        <v>5.3831801770410385E-3</v>
      </c>
      <c r="AX196" s="5">
        <f t="shared" si="103"/>
        <v>5.7128138055423078E-2</v>
      </c>
      <c r="AY196" s="10">
        <f t="shared" si="104"/>
        <v>4.5048142435377268E-2</v>
      </c>
      <c r="AZ196" s="24">
        <v>29</v>
      </c>
      <c r="BA196" s="19">
        <v>1142178893.3632855</v>
      </c>
      <c r="BB196" s="17">
        <v>9</v>
      </c>
      <c r="BC196" s="19">
        <v>329665259.88211739</v>
      </c>
      <c r="BD196" s="17">
        <v>20</v>
      </c>
      <c r="BE196" s="19">
        <v>812513633.48116803</v>
      </c>
      <c r="BF196" s="17">
        <v>0</v>
      </c>
      <c r="BG196" s="19">
        <v>0</v>
      </c>
      <c r="BH196" s="26">
        <f t="shared" si="123"/>
        <v>4.9214185737347461E-2</v>
      </c>
      <c r="BI196" s="26">
        <f t="shared" si="124"/>
        <v>1.4204611401297465E-2</v>
      </c>
      <c r="BJ196" s="26">
        <f t="shared" si="125"/>
        <v>3.5009574336049995E-2</v>
      </c>
      <c r="BK196" s="26">
        <f t="shared" si="126"/>
        <v>0</v>
      </c>
      <c r="BL196" s="34">
        <f t="shared" si="92"/>
        <v>67186993.727252096</v>
      </c>
      <c r="BM196" s="35">
        <f t="shared" si="128"/>
        <v>2.8949521021969099E-3</v>
      </c>
    </row>
    <row r="197" spans="1:65" x14ac:dyDescent="0.35">
      <c r="A197" s="18">
        <v>196</v>
      </c>
      <c r="B197" t="s">
        <v>425</v>
      </c>
      <c r="C197" s="3" t="s">
        <v>117</v>
      </c>
      <c r="D197" s="17" t="s">
        <v>7</v>
      </c>
      <c r="E197" s="17" t="s">
        <v>10</v>
      </c>
      <c r="F197" s="2">
        <v>0</v>
      </c>
      <c r="G197" s="2">
        <v>0</v>
      </c>
      <c r="H197" s="2">
        <v>1</v>
      </c>
      <c r="I197" s="18">
        <v>2018</v>
      </c>
      <c r="J197" s="2">
        <v>0</v>
      </c>
      <c r="K197" s="2" t="s">
        <v>152</v>
      </c>
      <c r="L197" s="4">
        <v>39195716330.425301</v>
      </c>
      <c r="M197" s="2">
        <v>1</v>
      </c>
      <c r="N197" s="4">
        <v>110000000</v>
      </c>
      <c r="O197" s="2">
        <v>0</v>
      </c>
      <c r="P197" s="4">
        <v>0</v>
      </c>
      <c r="Q197" s="2">
        <v>1</v>
      </c>
      <c r="R197" s="4">
        <v>110000000</v>
      </c>
      <c r="S197" s="5">
        <f t="shared" si="107"/>
        <v>2.806429127935431E-3</v>
      </c>
      <c r="T197" s="15">
        <f t="shared" si="108"/>
        <v>0</v>
      </c>
      <c r="U197" s="5">
        <f t="shared" si="109"/>
        <v>2.806429127935431E-3</v>
      </c>
      <c r="V197" s="26">
        <f t="shared" si="110"/>
        <v>8.192875177822632E-5</v>
      </c>
      <c r="W197" s="26">
        <f t="shared" si="111"/>
        <v>0</v>
      </c>
      <c r="X197" s="26">
        <f t="shared" si="112"/>
        <v>5.1333983563791811E-5</v>
      </c>
      <c r="Y197" s="26">
        <f t="shared" si="113"/>
        <v>6470588.2352941176</v>
      </c>
      <c r="Z197" s="26">
        <f t="shared" si="114"/>
        <v>1.65084066349143E-4</v>
      </c>
      <c r="AA197" s="2">
        <v>3</v>
      </c>
      <c r="AB197" s="2">
        <v>0</v>
      </c>
      <c r="AC197" s="4">
        <v>0</v>
      </c>
      <c r="AD197" s="2">
        <v>0</v>
      </c>
      <c r="AE197" s="4">
        <v>0</v>
      </c>
      <c r="AF197" s="2">
        <v>0</v>
      </c>
      <c r="AG197" s="4">
        <v>0</v>
      </c>
      <c r="AH197" s="28">
        <f t="shared" si="115"/>
        <v>0</v>
      </c>
      <c r="AI197" s="4">
        <f t="shared" si="106"/>
        <v>0</v>
      </c>
      <c r="AJ197" s="26">
        <f t="shared" si="127"/>
        <v>0</v>
      </c>
      <c r="AK197" s="26">
        <f t="shared" si="116"/>
        <v>0</v>
      </c>
      <c r="AL197" s="4">
        <v>2041662</v>
      </c>
      <c r="AM197" s="4">
        <v>46647</v>
      </c>
      <c r="AN197" s="12">
        <f t="shared" si="117"/>
        <v>-1995015</v>
      </c>
      <c r="AO197" s="12">
        <f t="shared" si="118"/>
        <v>2088309</v>
      </c>
      <c r="AP197" s="8">
        <v>21573847000</v>
      </c>
      <c r="AQ197" s="8">
        <v>14944087000</v>
      </c>
      <c r="AR197" s="13">
        <f t="shared" si="119"/>
        <v>-6629760000</v>
      </c>
      <c r="AS197" s="13">
        <f t="shared" si="120"/>
        <v>36517934000</v>
      </c>
      <c r="AT197" s="5">
        <f t="shared" si="101"/>
        <v>9.4635972898111307E-5</v>
      </c>
      <c r="AU197" s="5">
        <f t="shared" si="102"/>
        <v>3.1214352539569666E-6</v>
      </c>
      <c r="AV197" s="5">
        <f t="shared" si="121"/>
        <v>8.6344781843294676E-3</v>
      </c>
      <c r="AW197" s="5">
        <f t="shared" si="122"/>
        <v>7.2230286658100428E-3</v>
      </c>
      <c r="AX197" s="5">
        <f t="shared" si="103"/>
        <v>5.7185847370226364E-5</v>
      </c>
      <c r="AY197" s="10">
        <f t="shared" si="104"/>
        <v>5.3279010961179199E-5</v>
      </c>
      <c r="AZ197" s="24">
        <v>75</v>
      </c>
      <c r="BA197" s="19">
        <v>645134398.36919057</v>
      </c>
      <c r="BB197" s="17">
        <v>65</v>
      </c>
      <c r="BC197" s="19">
        <v>475514196.77719218</v>
      </c>
      <c r="BD197" s="17">
        <v>8</v>
      </c>
      <c r="BE197" s="19">
        <v>104491056.645374</v>
      </c>
      <c r="BF197" s="17">
        <v>2</v>
      </c>
      <c r="BG197" s="19">
        <v>65129144.946624398</v>
      </c>
      <c r="BH197" s="26">
        <f t="shared" si="123"/>
        <v>1.6459308791058148E-2</v>
      </c>
      <c r="BI197" s="26">
        <f t="shared" si="124"/>
        <v>1.2131789932566656E-2</v>
      </c>
      <c r="BJ197" s="26">
        <f t="shared" si="125"/>
        <v>2.665879499802988E-3</v>
      </c>
      <c r="BK197" s="26">
        <f t="shared" si="126"/>
        <v>1.6616393586885035E-3</v>
      </c>
      <c r="BL197" s="34">
        <f t="shared" si="92"/>
        <v>37949082.257011212</v>
      </c>
      <c r="BM197" s="35">
        <f t="shared" si="128"/>
        <v>9.6819463476812643E-4</v>
      </c>
    </row>
    <row r="198" spans="1:65" x14ac:dyDescent="0.35">
      <c r="A198" s="18">
        <v>197</v>
      </c>
      <c r="B198" t="s">
        <v>426</v>
      </c>
      <c r="C198" s="3" t="s">
        <v>118</v>
      </c>
      <c r="D198" s="17" t="s">
        <v>4</v>
      </c>
      <c r="E198" s="17" t="s">
        <v>5</v>
      </c>
      <c r="F198" s="2">
        <v>2</v>
      </c>
      <c r="G198" s="2">
        <v>0</v>
      </c>
      <c r="H198" s="2">
        <v>1</v>
      </c>
      <c r="I198" s="18">
        <v>2015</v>
      </c>
      <c r="J198" s="2">
        <v>0</v>
      </c>
      <c r="K198" s="2" t="s">
        <v>152</v>
      </c>
      <c r="L198" s="4">
        <v>761428183369.17065</v>
      </c>
      <c r="M198" s="2">
        <v>15</v>
      </c>
      <c r="N198" s="4">
        <v>10000000000</v>
      </c>
      <c r="O198" s="2">
        <v>13</v>
      </c>
      <c r="P198" s="4">
        <v>6310000000</v>
      </c>
      <c r="Q198" s="2">
        <v>28</v>
      </c>
      <c r="R198" s="4">
        <v>16310000000</v>
      </c>
      <c r="S198" s="5">
        <f t="shared" si="107"/>
        <v>1.313321494845641E-2</v>
      </c>
      <c r="T198" s="5">
        <f t="shared" si="108"/>
        <v>8.2870586324759951E-3</v>
      </c>
      <c r="U198" s="5">
        <f t="shared" si="109"/>
        <v>2.1420273580932403E-2</v>
      </c>
      <c r="V198" s="26">
        <f t="shared" si="110"/>
        <v>7.4480683434751194E-3</v>
      </c>
      <c r="W198" s="26">
        <f t="shared" si="111"/>
        <v>7.93570943481651E-3</v>
      </c>
      <c r="X198" s="26">
        <f t="shared" si="112"/>
        <v>7.6114297447767675E-3</v>
      </c>
      <c r="Y198" s="26">
        <f t="shared" si="113"/>
        <v>959411764.70588231</v>
      </c>
      <c r="Z198" s="26">
        <f t="shared" si="114"/>
        <v>1.2600160929960237E-3</v>
      </c>
      <c r="AA198" s="2">
        <v>1</v>
      </c>
      <c r="AB198" s="11">
        <v>12</v>
      </c>
      <c r="AC198" s="27">
        <v>2704600000</v>
      </c>
      <c r="AD198" s="11">
        <v>3</v>
      </c>
      <c r="AE198" s="27">
        <v>567000000</v>
      </c>
      <c r="AF198" s="2">
        <v>0</v>
      </c>
      <c r="AG198" s="4">
        <v>0</v>
      </c>
      <c r="AH198" s="28">
        <f t="shared" si="115"/>
        <v>15</v>
      </c>
      <c r="AI198" s="4">
        <f t="shared" si="106"/>
        <v>3271600000</v>
      </c>
      <c r="AJ198" s="26">
        <f t="shared" si="127"/>
        <v>4.2966626025369992E-3</v>
      </c>
      <c r="AK198" s="26">
        <f t="shared" si="116"/>
        <v>8.2076796847383976E-2</v>
      </c>
      <c r="AL198" s="4">
        <v>19127972000</v>
      </c>
      <c r="AM198" s="4">
        <v>2726571000</v>
      </c>
      <c r="AN198" s="12">
        <f t="shared" si="117"/>
        <v>-16401401000</v>
      </c>
      <c r="AO198" s="12">
        <f t="shared" si="118"/>
        <v>21854543000</v>
      </c>
      <c r="AP198" s="8">
        <v>210346890000</v>
      </c>
      <c r="AQ198" s="8">
        <v>180870841000</v>
      </c>
      <c r="AR198" s="13">
        <f t="shared" si="119"/>
        <v>-29476049000</v>
      </c>
      <c r="AS198" s="13">
        <f t="shared" si="120"/>
        <v>391217731000</v>
      </c>
      <c r="AT198" s="5">
        <f t="shared" si="101"/>
        <v>9.0935368714032336E-2</v>
      </c>
      <c r="AU198" s="5">
        <f t="shared" si="102"/>
        <v>1.5074685255651574E-2</v>
      </c>
      <c r="AV198" s="5">
        <f t="shared" si="121"/>
        <v>8.4186915428043504E-2</v>
      </c>
      <c r="AW198" s="5">
        <f t="shared" si="122"/>
        <v>8.742155137026239E-2</v>
      </c>
      <c r="AX198" s="5">
        <f t="shared" si="103"/>
        <v>5.5862864252438499E-2</v>
      </c>
      <c r="AY198" s="10">
        <f t="shared" si="104"/>
        <v>2.8702041081928337E-2</v>
      </c>
      <c r="AZ198" s="24">
        <v>59</v>
      </c>
      <c r="BA198" s="19">
        <v>9626239800.4556942</v>
      </c>
      <c r="BB198" s="17">
        <v>9</v>
      </c>
      <c r="BC198" s="19">
        <v>2263951.8206853508</v>
      </c>
      <c r="BD198" s="17">
        <v>37</v>
      </c>
      <c r="BE198" s="19">
        <v>6908789199.9155893</v>
      </c>
      <c r="BF198" s="17">
        <v>13</v>
      </c>
      <c r="BG198" s="19">
        <v>2715186648.719419</v>
      </c>
      <c r="BH198" s="26">
        <f t="shared" si="123"/>
        <v>1.2642347644477076E-2</v>
      </c>
      <c r="BI198" s="26">
        <f t="shared" si="124"/>
        <v>2.9732965894009953E-6</v>
      </c>
      <c r="BJ198" s="26">
        <f t="shared" si="125"/>
        <v>9.0734613596065612E-3</v>
      </c>
      <c r="BK198" s="26">
        <f t="shared" si="126"/>
        <v>3.5659129882811137E-3</v>
      </c>
      <c r="BL198" s="34">
        <f t="shared" ref="BL198:BL217" si="129">IFERROR(BA198/17,0)</f>
        <v>566249400.02680552</v>
      </c>
      <c r="BM198" s="35">
        <f t="shared" si="128"/>
        <v>7.4366750849865155E-4</v>
      </c>
    </row>
    <row r="199" spans="1:65" x14ac:dyDescent="0.35">
      <c r="A199" s="18">
        <v>198</v>
      </c>
      <c r="B199" t="s">
        <v>427</v>
      </c>
      <c r="C199" s="3" t="s">
        <v>173</v>
      </c>
      <c r="D199" s="17" t="s">
        <v>4</v>
      </c>
      <c r="E199" s="17" t="s">
        <v>5</v>
      </c>
      <c r="F199" s="2">
        <v>2</v>
      </c>
      <c r="G199" s="2">
        <v>0</v>
      </c>
      <c r="H199" s="2">
        <v>0</v>
      </c>
      <c r="I199" s="3" t="s">
        <v>152</v>
      </c>
      <c r="J199" s="2">
        <v>0</v>
      </c>
      <c r="K199" s="2" t="s">
        <v>152</v>
      </c>
      <c r="L199" s="4">
        <v>45231428571.428574</v>
      </c>
      <c r="M199" s="2">
        <v>3</v>
      </c>
      <c r="N199" s="4">
        <v>6200000000</v>
      </c>
      <c r="O199" s="2">
        <v>1</v>
      </c>
      <c r="P199" s="4">
        <v>600000000</v>
      </c>
      <c r="Q199" s="2">
        <v>4</v>
      </c>
      <c r="R199" s="4">
        <v>6800000000</v>
      </c>
      <c r="S199" s="5">
        <f t="shared" si="107"/>
        <v>0.13707283178573684</v>
      </c>
      <c r="T199" s="5">
        <f t="shared" si="108"/>
        <v>1.3265112753458404E-2</v>
      </c>
      <c r="U199" s="5">
        <f t="shared" si="109"/>
        <v>0.15033794453919525</v>
      </c>
      <c r="V199" s="26">
        <f t="shared" si="110"/>
        <v>4.6178023729545742E-3</v>
      </c>
      <c r="W199" s="26">
        <f t="shared" si="111"/>
        <v>7.5458409839776648E-4</v>
      </c>
      <c r="X199" s="26">
        <f t="shared" si="112"/>
        <v>3.173373529398039E-3</v>
      </c>
      <c r="Y199" s="26">
        <f t="shared" si="113"/>
        <v>400000000</v>
      </c>
      <c r="Z199" s="26">
        <f t="shared" si="114"/>
        <v>8.8434085023056021E-3</v>
      </c>
      <c r="AA199" s="2">
        <v>0</v>
      </c>
      <c r="AB199" s="2" t="s">
        <v>152</v>
      </c>
      <c r="AC199" s="4" t="s">
        <v>152</v>
      </c>
      <c r="AD199" s="2" t="s">
        <v>152</v>
      </c>
      <c r="AE199" s="4" t="s">
        <v>152</v>
      </c>
      <c r="AF199" s="2" t="s">
        <v>152</v>
      </c>
      <c r="AG199" s="4" t="s">
        <v>152</v>
      </c>
      <c r="AH199" s="28">
        <f t="shared" si="115"/>
        <v>0</v>
      </c>
      <c r="AI199" s="4" t="str">
        <f t="shared" si="106"/>
        <v>na</v>
      </c>
      <c r="AJ199" s="26" t="str">
        <f t="shared" si="127"/>
        <v>na</v>
      </c>
      <c r="AK199" s="26" t="str">
        <f t="shared" si="116"/>
        <v>na</v>
      </c>
      <c r="AL199" s="14">
        <v>431024000</v>
      </c>
      <c r="AM199" s="14">
        <v>8685698000</v>
      </c>
      <c r="AN199" s="12">
        <f t="shared" si="117"/>
        <v>8254674000</v>
      </c>
      <c r="AO199" s="12">
        <f t="shared" si="118"/>
        <v>9116722000</v>
      </c>
      <c r="AP199" s="8">
        <v>3078798000</v>
      </c>
      <c r="AQ199" s="8">
        <v>10962729000</v>
      </c>
      <c r="AR199" s="13">
        <f t="shared" si="119"/>
        <v>7883931000</v>
      </c>
      <c r="AS199" s="13">
        <f t="shared" si="120"/>
        <v>14041527000</v>
      </c>
      <c r="AT199" s="5">
        <f t="shared" si="101"/>
        <v>0.13999749252792812</v>
      </c>
      <c r="AU199" s="5">
        <f t="shared" si="102"/>
        <v>0.7922934152618385</v>
      </c>
      <c r="AV199" s="5">
        <f t="shared" si="121"/>
        <v>1.2322240982313999E-3</v>
      </c>
      <c r="AW199" s="5">
        <f t="shared" si="122"/>
        <v>5.2986914371220594E-3</v>
      </c>
      <c r="AX199" s="5">
        <f t="shared" si="103"/>
        <v>0.64926855889676383</v>
      </c>
      <c r="AY199" s="10">
        <f t="shared" si="104"/>
        <v>0.20155724211989134</v>
      </c>
      <c r="AZ199" s="24">
        <v>38</v>
      </c>
      <c r="BA199" s="19">
        <v>9634636425.0091076</v>
      </c>
      <c r="BB199" s="17">
        <v>27</v>
      </c>
      <c r="BC199" s="19">
        <v>375606001.45091975</v>
      </c>
      <c r="BD199" s="17">
        <v>8</v>
      </c>
      <c r="BE199" s="19">
        <v>8985435792.6473618</v>
      </c>
      <c r="BF199" s="17">
        <v>3</v>
      </c>
      <c r="BG199" s="19">
        <v>273594630.91082501</v>
      </c>
      <c r="BH199" s="26">
        <f t="shared" si="123"/>
        <v>0.21300756419387198</v>
      </c>
      <c r="BI199" s="26">
        <f t="shared" si="124"/>
        <v>8.3040932668701859E-3</v>
      </c>
      <c r="BJ199" s="26">
        <f t="shared" si="125"/>
        <v>0.19865469821404691</v>
      </c>
      <c r="BK199" s="26">
        <f t="shared" si="126"/>
        <v>6.0487727129548826E-3</v>
      </c>
      <c r="BL199" s="34">
        <f t="shared" si="129"/>
        <v>566743319.11818278</v>
      </c>
      <c r="BM199" s="35">
        <f t="shared" si="128"/>
        <v>1.2529856717286587E-2</v>
      </c>
    </row>
    <row r="200" spans="1:65" x14ac:dyDescent="0.35">
      <c r="A200" s="18">
        <v>199</v>
      </c>
      <c r="B200" s="17" t="s">
        <v>463</v>
      </c>
      <c r="C200" s="3" t="s">
        <v>478</v>
      </c>
      <c r="D200" s="17" t="s">
        <v>12</v>
      </c>
      <c r="E200" s="17" t="s">
        <v>13</v>
      </c>
      <c r="F200" s="18">
        <v>0</v>
      </c>
      <c r="G200" s="18">
        <v>0</v>
      </c>
      <c r="H200" s="18">
        <v>0</v>
      </c>
      <c r="I200" s="18" t="s">
        <v>152</v>
      </c>
      <c r="J200" s="18">
        <v>0</v>
      </c>
      <c r="K200" s="18" t="s">
        <v>152</v>
      </c>
      <c r="L200" s="19">
        <v>1197415000</v>
      </c>
      <c r="M200" s="18">
        <v>0</v>
      </c>
      <c r="N200" s="4">
        <v>0</v>
      </c>
      <c r="O200" s="18">
        <v>0</v>
      </c>
      <c r="P200" s="4">
        <v>0</v>
      </c>
      <c r="Q200" s="18">
        <v>0</v>
      </c>
      <c r="R200" s="4">
        <v>0</v>
      </c>
      <c r="S200" s="5">
        <f t="shared" si="107"/>
        <v>0</v>
      </c>
      <c r="T200" s="15">
        <f t="shared" si="108"/>
        <v>0</v>
      </c>
      <c r="U200" s="5">
        <f t="shared" si="109"/>
        <v>0</v>
      </c>
      <c r="V200" s="26">
        <f t="shared" si="110"/>
        <v>0</v>
      </c>
      <c r="W200" s="26">
        <f t="shared" si="111"/>
        <v>0</v>
      </c>
      <c r="X200" s="26">
        <f t="shared" si="112"/>
        <v>0</v>
      </c>
      <c r="Y200" s="26">
        <f t="shared" si="113"/>
        <v>0</v>
      </c>
      <c r="Z200" s="26">
        <f t="shared" si="114"/>
        <v>0</v>
      </c>
      <c r="AA200" s="18">
        <v>0</v>
      </c>
      <c r="AB200" s="18" t="s">
        <v>152</v>
      </c>
      <c r="AC200" s="4" t="s">
        <v>152</v>
      </c>
      <c r="AD200" s="18" t="s">
        <v>152</v>
      </c>
      <c r="AE200" s="4" t="s">
        <v>152</v>
      </c>
      <c r="AF200" s="18" t="s">
        <v>152</v>
      </c>
      <c r="AG200" s="4" t="s">
        <v>152</v>
      </c>
      <c r="AH200" s="28">
        <f t="shared" si="115"/>
        <v>0</v>
      </c>
      <c r="AI200" s="4" t="s">
        <v>152</v>
      </c>
      <c r="AJ200" s="26" t="str">
        <f t="shared" si="127"/>
        <v>na</v>
      </c>
      <c r="AK200" s="26" t="str">
        <f t="shared" si="116"/>
        <v>na</v>
      </c>
      <c r="AL200" s="21">
        <v>3023000</v>
      </c>
      <c r="AM200" s="21">
        <v>5000</v>
      </c>
      <c r="AN200" s="12">
        <f t="shared" si="117"/>
        <v>-3018000</v>
      </c>
      <c r="AO200" s="12">
        <f t="shared" si="118"/>
        <v>3028000</v>
      </c>
      <c r="AP200" s="19">
        <v>425717000</v>
      </c>
      <c r="AQ200" s="19">
        <v>172506000</v>
      </c>
      <c r="AR200" s="13">
        <f t="shared" si="119"/>
        <v>-253211000</v>
      </c>
      <c r="AS200" s="13">
        <f t="shared" si="120"/>
        <v>598223000</v>
      </c>
      <c r="AT200" s="5">
        <f t="shared" si="101"/>
        <v>7.1009614368230537E-3</v>
      </c>
      <c r="AU200" s="5">
        <f t="shared" si="102"/>
        <v>2.8984499089886727E-5</v>
      </c>
      <c r="AV200" s="5">
        <f t="shared" si="121"/>
        <v>1.7038426893442729E-4</v>
      </c>
      <c r="AW200" s="5">
        <f t="shared" si="122"/>
        <v>8.3378515062460998E-5</v>
      </c>
      <c r="AX200" s="5">
        <f t="shared" si="103"/>
        <v>5.061657609286169E-3</v>
      </c>
      <c r="AY200" s="10">
        <f t="shared" si="104"/>
        <v>2.5287807485291232E-3</v>
      </c>
      <c r="AZ200" s="24">
        <v>0</v>
      </c>
      <c r="BA200" s="4" t="s">
        <v>152</v>
      </c>
      <c r="BB200" s="18" t="s">
        <v>152</v>
      </c>
      <c r="BC200" s="4" t="s">
        <v>152</v>
      </c>
      <c r="BD200" s="18" t="s">
        <v>152</v>
      </c>
      <c r="BE200" s="4" t="s">
        <v>152</v>
      </c>
      <c r="BF200" s="18" t="s">
        <v>152</v>
      </c>
      <c r="BG200" s="4" t="s">
        <v>152</v>
      </c>
      <c r="BH200" s="26">
        <f t="shared" si="123"/>
        <v>0</v>
      </c>
      <c r="BI200" s="26">
        <f t="shared" si="124"/>
        <v>0</v>
      </c>
      <c r="BJ200" s="26">
        <f t="shared" si="125"/>
        <v>0</v>
      </c>
      <c r="BK200" s="26">
        <f t="shared" si="126"/>
        <v>0</v>
      </c>
      <c r="BL200" s="34">
        <f t="shared" si="129"/>
        <v>0</v>
      </c>
      <c r="BM200" s="35">
        <f t="shared" si="128"/>
        <v>0</v>
      </c>
    </row>
    <row r="201" spans="1:65" x14ac:dyDescent="0.35">
      <c r="A201" s="18">
        <v>200</v>
      </c>
      <c r="B201" s="17" t="s">
        <v>464</v>
      </c>
      <c r="C201" s="3" t="s">
        <v>428</v>
      </c>
      <c r="D201" s="17" t="s">
        <v>23</v>
      </c>
      <c r="E201" s="17" t="s">
        <v>5</v>
      </c>
      <c r="F201" s="18">
        <v>0</v>
      </c>
      <c r="G201" s="18">
        <v>0</v>
      </c>
      <c r="H201" s="18">
        <v>0</v>
      </c>
      <c r="I201" s="18" t="s">
        <v>152</v>
      </c>
      <c r="J201" s="18">
        <v>2</v>
      </c>
      <c r="K201" s="18" t="s">
        <v>152</v>
      </c>
      <c r="L201" s="19">
        <v>47271463.329857491</v>
      </c>
      <c r="M201" s="18">
        <v>0</v>
      </c>
      <c r="N201" s="4">
        <v>0</v>
      </c>
      <c r="O201" s="18">
        <v>0</v>
      </c>
      <c r="P201" s="4">
        <v>0</v>
      </c>
      <c r="Q201" s="18">
        <v>0</v>
      </c>
      <c r="R201" s="4">
        <v>0</v>
      </c>
      <c r="S201" s="5">
        <f t="shared" si="107"/>
        <v>0</v>
      </c>
      <c r="T201" s="15">
        <f t="shared" si="108"/>
        <v>0</v>
      </c>
      <c r="U201" s="5">
        <f t="shared" si="109"/>
        <v>0</v>
      </c>
      <c r="V201" s="26">
        <f t="shared" si="110"/>
        <v>0</v>
      </c>
      <c r="W201" s="26">
        <f t="shared" si="111"/>
        <v>0</v>
      </c>
      <c r="X201" s="26">
        <f t="shared" si="112"/>
        <v>0</v>
      </c>
      <c r="Y201" s="26">
        <f t="shared" si="113"/>
        <v>0</v>
      </c>
      <c r="Z201" s="26">
        <f t="shared" si="114"/>
        <v>0</v>
      </c>
      <c r="AA201" s="18">
        <v>0</v>
      </c>
      <c r="AB201" s="18" t="s">
        <v>152</v>
      </c>
      <c r="AC201" s="4" t="s">
        <v>152</v>
      </c>
      <c r="AD201" s="18" t="s">
        <v>152</v>
      </c>
      <c r="AE201" s="4" t="s">
        <v>152</v>
      </c>
      <c r="AF201" s="18" t="s">
        <v>152</v>
      </c>
      <c r="AG201" s="4" t="s">
        <v>152</v>
      </c>
      <c r="AH201" s="28">
        <f t="shared" si="115"/>
        <v>0</v>
      </c>
      <c r="AI201" s="4" t="s">
        <v>152</v>
      </c>
      <c r="AJ201" s="26" t="str">
        <f t="shared" si="127"/>
        <v>na</v>
      </c>
      <c r="AK201" s="26" t="str">
        <f t="shared" si="116"/>
        <v>na</v>
      </c>
      <c r="AL201" s="21">
        <v>21737000</v>
      </c>
      <c r="AM201" s="21">
        <v>26000</v>
      </c>
      <c r="AN201" s="12">
        <f t="shared" si="117"/>
        <v>-21711000</v>
      </c>
      <c r="AO201" s="12">
        <f t="shared" si="118"/>
        <v>21763000</v>
      </c>
      <c r="AP201" s="19">
        <v>90616000</v>
      </c>
      <c r="AQ201" s="19">
        <v>20368000</v>
      </c>
      <c r="AR201" s="13">
        <f t="shared" si="119"/>
        <v>-70248000</v>
      </c>
      <c r="AS201" s="13">
        <f t="shared" si="120"/>
        <v>110984000</v>
      </c>
      <c r="AT201" s="5">
        <f t="shared" si="101"/>
        <v>0.23988037432682971</v>
      </c>
      <c r="AU201" s="5">
        <f t="shared" si="102"/>
        <v>1.2765121759622938E-3</v>
      </c>
      <c r="AV201" s="5">
        <f t="shared" si="121"/>
        <v>3.6267146751861128E-5</v>
      </c>
      <c r="AW201" s="5">
        <f t="shared" si="122"/>
        <v>9.8446059545303095E-6</v>
      </c>
      <c r="AX201" s="5">
        <f t="shared" si="103"/>
        <v>0.19609132847978086</v>
      </c>
      <c r="AY201" s="10">
        <f t="shared" si="104"/>
        <v>0.46038346323529411</v>
      </c>
      <c r="AZ201" s="24">
        <v>0</v>
      </c>
      <c r="BA201" s="4" t="s">
        <v>152</v>
      </c>
      <c r="BB201" s="18" t="s">
        <v>152</v>
      </c>
      <c r="BC201" s="4" t="s">
        <v>152</v>
      </c>
      <c r="BD201" s="18" t="s">
        <v>152</v>
      </c>
      <c r="BE201" s="4" t="s">
        <v>152</v>
      </c>
      <c r="BF201" s="18" t="s">
        <v>152</v>
      </c>
      <c r="BG201" s="4" t="s">
        <v>152</v>
      </c>
      <c r="BH201" s="26">
        <f t="shared" si="123"/>
        <v>0</v>
      </c>
      <c r="BI201" s="26">
        <f t="shared" si="124"/>
        <v>0</v>
      </c>
      <c r="BJ201" s="26">
        <f t="shared" si="125"/>
        <v>0</v>
      </c>
      <c r="BK201" s="26">
        <f t="shared" si="126"/>
        <v>0</v>
      </c>
      <c r="BL201" s="34">
        <f t="shared" si="129"/>
        <v>0</v>
      </c>
      <c r="BM201" s="35">
        <f t="shared" si="128"/>
        <v>0</v>
      </c>
    </row>
    <row r="202" spans="1:65" x14ac:dyDescent="0.35">
      <c r="A202" s="18">
        <v>201</v>
      </c>
      <c r="B202" s="17" t="s">
        <v>429</v>
      </c>
      <c r="C202" s="3" t="s">
        <v>119</v>
      </c>
      <c r="D202" s="17" t="s">
        <v>9</v>
      </c>
      <c r="E202" s="17" t="s">
        <v>2</v>
      </c>
      <c r="F202" s="18">
        <v>0</v>
      </c>
      <c r="G202" s="18">
        <v>0</v>
      </c>
      <c r="H202" s="18">
        <v>1</v>
      </c>
      <c r="I202" s="18">
        <v>2018</v>
      </c>
      <c r="J202" s="18">
        <v>0</v>
      </c>
      <c r="K202" s="18" t="s">
        <v>152</v>
      </c>
      <c r="L202" s="4">
        <v>35170037380.862961</v>
      </c>
      <c r="M202" s="18">
        <v>7</v>
      </c>
      <c r="N202" s="4">
        <v>5150000000</v>
      </c>
      <c r="O202" s="18">
        <v>10</v>
      </c>
      <c r="P202" s="4">
        <v>2640000000</v>
      </c>
      <c r="Q202" s="18">
        <v>17</v>
      </c>
      <c r="R202" s="4">
        <v>7790000000</v>
      </c>
      <c r="S202" s="5">
        <f t="shared" si="107"/>
        <v>0.14643146221966385</v>
      </c>
      <c r="T202" s="5">
        <f t="shared" si="108"/>
        <v>7.5063895196099531E-2</v>
      </c>
      <c r="U202" s="5">
        <f t="shared" si="109"/>
        <v>0.22149535741576337</v>
      </c>
      <c r="V202" s="26">
        <f t="shared" si="110"/>
        <v>3.8357551968896866E-3</v>
      </c>
      <c r="W202" s="26">
        <f t="shared" si="111"/>
        <v>3.3201700329501724E-3</v>
      </c>
      <c r="X202" s="26">
        <f t="shared" si="112"/>
        <v>3.6353793814721653E-3</v>
      </c>
      <c r="Y202" s="26">
        <f t="shared" si="113"/>
        <v>458235294.11764705</v>
      </c>
      <c r="Z202" s="26">
        <f t="shared" si="114"/>
        <v>1.3029138671515493E-2</v>
      </c>
      <c r="AA202" s="18">
        <v>0</v>
      </c>
      <c r="AB202" s="18" t="s">
        <v>152</v>
      </c>
      <c r="AC202" s="4" t="s">
        <v>152</v>
      </c>
      <c r="AD202" s="18" t="s">
        <v>152</v>
      </c>
      <c r="AE202" s="4" t="s">
        <v>152</v>
      </c>
      <c r="AF202" s="18" t="s">
        <v>152</v>
      </c>
      <c r="AG202" s="4" t="s">
        <v>152</v>
      </c>
      <c r="AH202" s="28">
        <f t="shared" si="115"/>
        <v>0</v>
      </c>
      <c r="AI202" s="4" t="str">
        <f t="shared" ref="AI202:AI209" si="130">IFERROR(AC202+AE202,"na")</f>
        <v>na</v>
      </c>
      <c r="AJ202" s="26" t="str">
        <f t="shared" si="127"/>
        <v>na</v>
      </c>
      <c r="AK202" s="26" t="str">
        <f t="shared" si="116"/>
        <v>na</v>
      </c>
      <c r="AL202" s="4">
        <v>1256568000</v>
      </c>
      <c r="AM202" s="4">
        <v>40627000</v>
      </c>
      <c r="AN202" s="12">
        <f t="shared" si="117"/>
        <v>-1215941000</v>
      </c>
      <c r="AO202" s="12">
        <f t="shared" si="118"/>
        <v>1297195000</v>
      </c>
      <c r="AP202" s="8">
        <v>7696029000</v>
      </c>
      <c r="AQ202" s="8">
        <v>3563785000</v>
      </c>
      <c r="AR202" s="13">
        <f t="shared" si="119"/>
        <v>-4132244000</v>
      </c>
      <c r="AS202" s="13">
        <f t="shared" si="120"/>
        <v>11259814000</v>
      </c>
      <c r="AT202" s="5">
        <f t="shared" ref="AT202:AT217" si="131">IFERROR(AL202/AP202,"na")</f>
        <v>0.16327485252459417</v>
      </c>
      <c r="AU202" s="5">
        <f t="shared" ref="AU202:AU217" si="132">IFERROR(AM202/AQ202,"na")</f>
        <v>1.139995819051935E-2</v>
      </c>
      <c r="AV202" s="5">
        <f t="shared" si="121"/>
        <v>3.0801736244104689E-3</v>
      </c>
      <c r="AW202" s="5">
        <f t="shared" si="122"/>
        <v>1.7225087898500488E-3</v>
      </c>
      <c r="AX202" s="5">
        <f t="shared" ref="AX202:AX217" si="133">IFERROR(AO202/AS202,"na")</f>
        <v>0.11520572187071651</v>
      </c>
      <c r="AY202" s="10">
        <f t="shared" ref="AY202:AY217" si="134">IFERROR(AO202/L202,"na")</f>
        <v>3.6883526336706184E-2</v>
      </c>
      <c r="AZ202" s="24">
        <v>144</v>
      </c>
      <c r="BA202" s="19">
        <v>3764362664.242372</v>
      </c>
      <c r="BB202" s="17">
        <v>128</v>
      </c>
      <c r="BC202" s="19">
        <v>928849483.01561439</v>
      </c>
      <c r="BD202" s="17">
        <v>11</v>
      </c>
      <c r="BE202" s="19">
        <v>2465643586.7059298</v>
      </c>
      <c r="BF202" s="17">
        <v>5</v>
      </c>
      <c r="BG202" s="19">
        <v>369869594.52082771</v>
      </c>
      <c r="BH202" s="26">
        <f t="shared" si="123"/>
        <v>0.10703322898060584</v>
      </c>
      <c r="BI202" s="26">
        <f t="shared" si="124"/>
        <v>2.6410250093195191E-2</v>
      </c>
      <c r="BJ202" s="26">
        <f t="shared" si="125"/>
        <v>7.0106368099783656E-2</v>
      </c>
      <c r="BK202" s="26">
        <f t="shared" si="126"/>
        <v>1.0516610787626985E-2</v>
      </c>
      <c r="BL202" s="34">
        <f t="shared" si="129"/>
        <v>221433097.89661011</v>
      </c>
      <c r="BM202" s="35">
        <f t="shared" si="128"/>
        <v>6.2960722929768136E-3</v>
      </c>
    </row>
    <row r="203" spans="1:65" x14ac:dyDescent="0.35">
      <c r="A203" s="18">
        <v>202</v>
      </c>
      <c r="B203" s="17" t="s">
        <v>430</v>
      </c>
      <c r="C203" s="3" t="s">
        <v>120</v>
      </c>
      <c r="D203" s="17" t="s">
        <v>4</v>
      </c>
      <c r="E203" s="17" t="s">
        <v>10</v>
      </c>
      <c r="F203" s="18">
        <v>2</v>
      </c>
      <c r="G203" s="18">
        <v>0</v>
      </c>
      <c r="H203" s="18">
        <v>1</v>
      </c>
      <c r="I203" s="18">
        <v>2017</v>
      </c>
      <c r="J203" s="18">
        <v>0</v>
      </c>
      <c r="K203" s="18" t="s">
        <v>152</v>
      </c>
      <c r="L203" s="4">
        <v>153929501862.34137</v>
      </c>
      <c r="M203" s="18">
        <v>6</v>
      </c>
      <c r="N203" s="4">
        <v>6020000000</v>
      </c>
      <c r="O203" s="18">
        <v>9</v>
      </c>
      <c r="P203" s="4">
        <v>3130000000</v>
      </c>
      <c r="Q203" s="18">
        <v>15</v>
      </c>
      <c r="R203" s="4">
        <v>9150000000</v>
      </c>
      <c r="S203" s="5">
        <f t="shared" si="107"/>
        <v>3.9108812327500846E-2</v>
      </c>
      <c r="T203" s="5">
        <f t="shared" si="108"/>
        <v>2.0333983818119208E-2</v>
      </c>
      <c r="U203" s="5">
        <f t="shared" si="109"/>
        <v>5.944279614562005E-2</v>
      </c>
      <c r="V203" s="26">
        <f t="shared" si="110"/>
        <v>4.4837371427720223E-3</v>
      </c>
      <c r="W203" s="26">
        <f t="shared" si="111"/>
        <v>3.9364137133083479E-3</v>
      </c>
      <c r="X203" s="26">
        <f t="shared" si="112"/>
        <v>4.2700540873517731E-3</v>
      </c>
      <c r="Y203" s="26">
        <f t="shared" si="113"/>
        <v>538235294.11764705</v>
      </c>
      <c r="Z203" s="26">
        <f t="shared" si="114"/>
        <v>3.4966350673894149E-3</v>
      </c>
      <c r="AA203" s="18">
        <v>0</v>
      </c>
      <c r="AB203" s="18" t="s">
        <v>152</v>
      </c>
      <c r="AC203" s="4" t="s">
        <v>152</v>
      </c>
      <c r="AD203" s="18" t="s">
        <v>152</v>
      </c>
      <c r="AE203" s="4" t="s">
        <v>152</v>
      </c>
      <c r="AF203" s="18" t="s">
        <v>152</v>
      </c>
      <c r="AG203" s="4" t="s">
        <v>152</v>
      </c>
      <c r="AH203" s="28">
        <f t="shared" si="115"/>
        <v>0</v>
      </c>
      <c r="AI203" s="4" t="str">
        <f t="shared" si="130"/>
        <v>na</v>
      </c>
      <c r="AJ203" s="26" t="str">
        <f t="shared" si="127"/>
        <v>na</v>
      </c>
      <c r="AK203" s="26" t="str">
        <f t="shared" si="116"/>
        <v>na</v>
      </c>
      <c r="AL203" s="4">
        <v>9203749000</v>
      </c>
      <c r="AM203" s="4">
        <v>3590068000</v>
      </c>
      <c r="AN203" s="12">
        <f t="shared" si="117"/>
        <v>-5613681000</v>
      </c>
      <c r="AO203" s="12">
        <f t="shared" si="118"/>
        <v>12793817000</v>
      </c>
      <c r="AP203" s="8">
        <v>60684881000</v>
      </c>
      <c r="AQ203" s="8">
        <v>49853049000</v>
      </c>
      <c r="AR203" s="13">
        <f t="shared" si="119"/>
        <v>-10831832000</v>
      </c>
      <c r="AS203" s="13">
        <f t="shared" si="120"/>
        <v>110537930000</v>
      </c>
      <c r="AT203" s="5">
        <f t="shared" si="131"/>
        <v>0.15166461313485974</v>
      </c>
      <c r="AU203" s="5">
        <f t="shared" si="132"/>
        <v>7.2013007669801704E-2</v>
      </c>
      <c r="AV203" s="5">
        <f t="shared" si="121"/>
        <v>2.4287846349940731E-2</v>
      </c>
      <c r="AW203" s="5">
        <f t="shared" si="122"/>
        <v>2.4095818098826157E-2</v>
      </c>
      <c r="AX203" s="5">
        <f t="shared" si="133"/>
        <v>0.1157414201622918</v>
      </c>
      <c r="AY203" s="10">
        <f t="shared" si="134"/>
        <v>8.3114782060695988E-2</v>
      </c>
      <c r="AZ203" s="24">
        <v>70</v>
      </c>
      <c r="BA203" s="19">
        <v>31397707013.803066</v>
      </c>
      <c r="BB203" s="17">
        <v>32</v>
      </c>
      <c r="BC203" s="19">
        <v>1843879105.019238</v>
      </c>
      <c r="BD203" s="17">
        <v>29</v>
      </c>
      <c r="BE203" s="19">
        <v>6769559487.0643797</v>
      </c>
      <c r="BF203" s="17">
        <v>9</v>
      </c>
      <c r="BG203" s="19">
        <v>22784268421.719448</v>
      </c>
      <c r="BH203" s="26">
        <f t="shared" si="123"/>
        <v>0.20397458988649186</v>
      </c>
      <c r="BI203" s="26">
        <f t="shared" si="124"/>
        <v>1.197872456358764E-2</v>
      </c>
      <c r="BJ203" s="26">
        <f t="shared" si="125"/>
        <v>4.3978310883630183E-2</v>
      </c>
      <c r="BK203" s="26">
        <f t="shared" si="126"/>
        <v>0.14801755443927403</v>
      </c>
      <c r="BL203" s="34">
        <f t="shared" si="129"/>
        <v>1846923941.9884157</v>
      </c>
      <c r="BM203" s="35">
        <f t="shared" si="128"/>
        <v>1.1998505287440698E-2</v>
      </c>
    </row>
    <row r="204" spans="1:65" x14ac:dyDescent="0.35">
      <c r="A204" s="18">
        <v>203</v>
      </c>
      <c r="B204" s="17" t="s">
        <v>431</v>
      </c>
      <c r="C204" s="3" t="s">
        <v>121</v>
      </c>
      <c r="D204" s="17" t="s">
        <v>7</v>
      </c>
      <c r="E204" s="17" t="s">
        <v>13</v>
      </c>
      <c r="F204" s="18">
        <v>2</v>
      </c>
      <c r="G204" s="18">
        <v>0</v>
      </c>
      <c r="H204" s="18">
        <v>1</v>
      </c>
      <c r="I204" s="18">
        <v>2018</v>
      </c>
      <c r="J204" s="18">
        <v>0</v>
      </c>
      <c r="K204" s="18" t="s">
        <v>152</v>
      </c>
      <c r="L204" s="4">
        <v>421142267937.37238</v>
      </c>
      <c r="M204" s="18">
        <v>15</v>
      </c>
      <c r="N204" s="4">
        <v>7630000000</v>
      </c>
      <c r="O204" s="18">
        <v>58</v>
      </c>
      <c r="P204" s="4">
        <v>28530000000</v>
      </c>
      <c r="Q204" s="18">
        <v>73</v>
      </c>
      <c r="R204" s="4">
        <v>36160000000</v>
      </c>
      <c r="S204" s="5">
        <f t="shared" si="107"/>
        <v>1.8117393054298339E-2</v>
      </c>
      <c r="T204" s="5">
        <f t="shared" si="108"/>
        <v>6.7744328157160097E-2</v>
      </c>
      <c r="U204" s="5">
        <f t="shared" si="109"/>
        <v>8.5861721211458436E-2</v>
      </c>
      <c r="V204" s="26">
        <f t="shared" si="110"/>
        <v>5.6828761460715168E-3</v>
      </c>
      <c r="W204" s="26">
        <f t="shared" si="111"/>
        <v>3.5880473878813796E-2</v>
      </c>
      <c r="X204" s="26">
        <f t="shared" si="112"/>
        <v>1.6874880415151925E-2</v>
      </c>
      <c r="Y204" s="26">
        <f t="shared" si="113"/>
        <v>2127058823.5294118</v>
      </c>
      <c r="Z204" s="26">
        <f t="shared" si="114"/>
        <v>5.0506894830269671E-3</v>
      </c>
      <c r="AA204" s="18">
        <v>1</v>
      </c>
      <c r="AB204" s="18">
        <v>0</v>
      </c>
      <c r="AC204" s="4">
        <v>0</v>
      </c>
      <c r="AD204" s="18">
        <v>0</v>
      </c>
      <c r="AE204" s="4">
        <v>0</v>
      </c>
      <c r="AF204" s="18">
        <v>0</v>
      </c>
      <c r="AG204" s="4">
        <v>0</v>
      </c>
      <c r="AH204" s="28">
        <f t="shared" si="115"/>
        <v>0</v>
      </c>
      <c r="AI204" s="4">
        <f t="shared" si="130"/>
        <v>0</v>
      </c>
      <c r="AJ204" s="26">
        <f t="shared" si="127"/>
        <v>0</v>
      </c>
      <c r="AK204" s="26">
        <f t="shared" si="116"/>
        <v>0</v>
      </c>
      <c r="AL204" s="4">
        <v>40777643</v>
      </c>
      <c r="AM204" s="4">
        <v>9367965</v>
      </c>
      <c r="AN204" s="12">
        <f t="shared" si="117"/>
        <v>-31409678</v>
      </c>
      <c r="AO204" s="12">
        <f t="shared" si="118"/>
        <v>50145608</v>
      </c>
      <c r="AP204" s="8">
        <v>267937296000</v>
      </c>
      <c r="AQ204" s="8">
        <v>315942728000</v>
      </c>
      <c r="AR204" s="13">
        <f t="shared" si="119"/>
        <v>48005432000</v>
      </c>
      <c r="AS204" s="13">
        <f t="shared" si="120"/>
        <v>583880024000</v>
      </c>
      <c r="AT204" s="5">
        <f t="shared" si="131"/>
        <v>1.5219099247758326E-4</v>
      </c>
      <c r="AU204" s="5">
        <f t="shared" si="132"/>
        <v>2.9650832792707925E-5</v>
      </c>
      <c r="AV204" s="5">
        <f t="shared" si="121"/>
        <v>0.10723626329046587</v>
      </c>
      <c r="AW204" s="5">
        <f t="shared" si="122"/>
        <v>0.15270677834639385</v>
      </c>
      <c r="AX204" s="5">
        <f t="shared" si="133"/>
        <v>8.5883410870038598E-5</v>
      </c>
      <c r="AY204" s="10">
        <f t="shared" si="134"/>
        <v>1.1907047052198784E-4</v>
      </c>
      <c r="AZ204" s="24" t="s">
        <v>152</v>
      </c>
      <c r="BA204" s="29" t="s">
        <v>152</v>
      </c>
      <c r="BB204" s="24" t="s">
        <v>152</v>
      </c>
      <c r="BC204" s="29" t="s">
        <v>152</v>
      </c>
      <c r="BD204" s="24" t="s">
        <v>152</v>
      </c>
      <c r="BE204" s="29" t="s">
        <v>152</v>
      </c>
      <c r="BF204" s="24" t="s">
        <v>152</v>
      </c>
      <c r="BG204" s="29" t="s">
        <v>152</v>
      </c>
      <c r="BH204" s="26">
        <f t="shared" si="123"/>
        <v>0</v>
      </c>
      <c r="BI204" s="26">
        <f t="shared" si="124"/>
        <v>0</v>
      </c>
      <c r="BJ204" s="26">
        <f t="shared" si="125"/>
        <v>0</v>
      </c>
      <c r="BK204" s="26">
        <f t="shared" si="126"/>
        <v>0</v>
      </c>
      <c r="BL204" s="34">
        <f t="shared" si="129"/>
        <v>0</v>
      </c>
      <c r="BM204" s="35">
        <f t="shared" si="128"/>
        <v>0</v>
      </c>
    </row>
    <row r="205" spans="1:65" x14ac:dyDescent="0.35">
      <c r="A205" s="18">
        <v>204</v>
      </c>
      <c r="B205" s="17" t="s">
        <v>432</v>
      </c>
      <c r="C205" s="3" t="s">
        <v>169</v>
      </c>
      <c r="D205" s="17" t="s">
        <v>4</v>
      </c>
      <c r="E205" s="17" t="s">
        <v>13</v>
      </c>
      <c r="F205" s="18">
        <v>3</v>
      </c>
      <c r="G205" s="18">
        <v>0</v>
      </c>
      <c r="H205" s="18">
        <v>0</v>
      </c>
      <c r="I205" s="3" t="s">
        <v>152</v>
      </c>
      <c r="J205" s="18">
        <v>0</v>
      </c>
      <c r="K205" s="18" t="s">
        <v>152</v>
      </c>
      <c r="L205" s="4">
        <v>2830813507746.8687</v>
      </c>
      <c r="M205" s="18">
        <v>128</v>
      </c>
      <c r="N205" s="4">
        <v>99510000000</v>
      </c>
      <c r="O205" s="18">
        <v>0</v>
      </c>
      <c r="P205" s="4">
        <v>0</v>
      </c>
      <c r="Q205" s="18">
        <v>128</v>
      </c>
      <c r="R205" s="4">
        <v>99510000000</v>
      </c>
      <c r="S205" s="5">
        <f t="shared" si="107"/>
        <v>3.5152439299755589E-2</v>
      </c>
      <c r="T205" s="15">
        <f t="shared" si="108"/>
        <v>0</v>
      </c>
      <c r="U205" s="5">
        <f t="shared" si="109"/>
        <v>3.5152439299755589E-2</v>
      </c>
      <c r="V205" s="26">
        <f t="shared" si="110"/>
        <v>7.4115728085920915E-2</v>
      </c>
      <c r="W205" s="26">
        <f t="shared" si="111"/>
        <v>0</v>
      </c>
      <c r="X205" s="26">
        <f t="shared" si="112"/>
        <v>4.643858822211748E-2</v>
      </c>
      <c r="Y205" s="26">
        <f t="shared" si="113"/>
        <v>5853529411.7647057</v>
      </c>
      <c r="Z205" s="26">
        <f t="shared" si="114"/>
        <v>2.0677905470444465E-3</v>
      </c>
      <c r="AA205" s="18">
        <v>2</v>
      </c>
      <c r="AB205" s="18">
        <v>0</v>
      </c>
      <c r="AC205" s="4">
        <v>0</v>
      </c>
      <c r="AD205" s="18">
        <v>0</v>
      </c>
      <c r="AE205" s="4">
        <v>0</v>
      </c>
      <c r="AF205" s="18">
        <v>0</v>
      </c>
      <c r="AG205" s="4">
        <v>0</v>
      </c>
      <c r="AH205" s="28">
        <f t="shared" si="115"/>
        <v>0</v>
      </c>
      <c r="AI205" s="4">
        <f t="shared" si="130"/>
        <v>0</v>
      </c>
      <c r="AJ205" s="26">
        <f t="shared" si="127"/>
        <v>0</v>
      </c>
      <c r="AK205" s="26">
        <f t="shared" si="116"/>
        <v>0</v>
      </c>
      <c r="AL205" s="4">
        <v>65529528000</v>
      </c>
      <c r="AM205" s="4">
        <v>30154261000</v>
      </c>
      <c r="AN205" s="12">
        <f t="shared" si="117"/>
        <v>-35375267000</v>
      </c>
      <c r="AO205" s="12">
        <f t="shared" si="118"/>
        <v>95683789000</v>
      </c>
      <c r="AP205" s="8">
        <v>692494170000</v>
      </c>
      <c r="AQ205" s="8">
        <v>468322416000</v>
      </c>
      <c r="AR205" s="13">
        <f t="shared" si="119"/>
        <v>-224171754000</v>
      </c>
      <c r="AS205" s="13">
        <f t="shared" si="120"/>
        <v>1160816586000</v>
      </c>
      <c r="AT205" s="5">
        <f t="shared" si="131"/>
        <v>9.462827391023379E-2</v>
      </c>
      <c r="AU205" s="5">
        <f t="shared" si="132"/>
        <v>6.4387823366541572E-2</v>
      </c>
      <c r="AV205" s="5">
        <f t="shared" si="121"/>
        <v>0.27715621621124603</v>
      </c>
      <c r="AW205" s="5">
        <f t="shared" si="122"/>
        <v>0.22635750418271894</v>
      </c>
      <c r="AX205" s="5">
        <f t="shared" si="133"/>
        <v>8.2427999525499548E-2</v>
      </c>
      <c r="AY205" s="10">
        <f t="shared" si="134"/>
        <v>3.3800809816029759E-2</v>
      </c>
      <c r="AZ205" s="24" t="s">
        <v>152</v>
      </c>
      <c r="BA205" s="29" t="s">
        <v>152</v>
      </c>
      <c r="BB205" s="24" t="s">
        <v>152</v>
      </c>
      <c r="BC205" s="29" t="s">
        <v>152</v>
      </c>
      <c r="BD205" s="24" t="s">
        <v>152</v>
      </c>
      <c r="BE205" s="29" t="s">
        <v>152</v>
      </c>
      <c r="BF205" s="24" t="s">
        <v>152</v>
      </c>
      <c r="BG205" s="29" t="s">
        <v>152</v>
      </c>
      <c r="BH205" s="26">
        <f t="shared" si="123"/>
        <v>0</v>
      </c>
      <c r="BI205" s="26">
        <f t="shared" si="124"/>
        <v>0</v>
      </c>
      <c r="BJ205" s="26">
        <f t="shared" si="125"/>
        <v>0</v>
      </c>
      <c r="BK205" s="26">
        <f t="shared" si="126"/>
        <v>0</v>
      </c>
      <c r="BL205" s="34">
        <f t="shared" si="129"/>
        <v>0</v>
      </c>
      <c r="BM205" s="35">
        <f t="shared" si="128"/>
        <v>0</v>
      </c>
    </row>
    <row r="206" spans="1:65" x14ac:dyDescent="0.35">
      <c r="A206" s="18">
        <v>205</v>
      </c>
      <c r="B206" s="17" t="s">
        <v>433</v>
      </c>
      <c r="C206" s="3" t="s">
        <v>185</v>
      </c>
      <c r="D206" s="17" t="s">
        <v>215</v>
      </c>
      <c r="E206" s="17" t="s">
        <v>13</v>
      </c>
      <c r="F206" s="18">
        <v>1</v>
      </c>
      <c r="G206" s="18">
        <v>0</v>
      </c>
      <c r="H206" s="18">
        <v>0</v>
      </c>
      <c r="I206" s="3" t="s">
        <v>152</v>
      </c>
      <c r="J206" s="18">
        <v>0</v>
      </c>
      <c r="K206" s="18" t="s">
        <v>152</v>
      </c>
      <c r="L206" s="4">
        <v>21433224697000</v>
      </c>
      <c r="M206" s="18">
        <v>298</v>
      </c>
      <c r="N206" s="4">
        <v>191370000000</v>
      </c>
      <c r="O206" s="18">
        <v>0</v>
      </c>
      <c r="P206" s="4">
        <v>0</v>
      </c>
      <c r="Q206" s="18">
        <v>298</v>
      </c>
      <c r="R206" s="4">
        <v>191370000000</v>
      </c>
      <c r="S206" s="5">
        <f t="shared" si="107"/>
        <v>8.9286611186783285E-3</v>
      </c>
      <c r="T206" s="15">
        <f t="shared" si="108"/>
        <v>0</v>
      </c>
      <c r="U206" s="5">
        <f t="shared" si="109"/>
        <v>8.9286611186783285E-3</v>
      </c>
      <c r="V206" s="26">
        <f t="shared" si="110"/>
        <v>0.14253368388908336</v>
      </c>
      <c r="W206" s="26">
        <f t="shared" si="111"/>
        <v>0</v>
      </c>
      <c r="X206" s="26">
        <f t="shared" si="112"/>
        <v>8.930713122366217E-2</v>
      </c>
      <c r="Y206" s="26">
        <f t="shared" si="113"/>
        <v>11257058823.529411</v>
      </c>
      <c r="Z206" s="26">
        <f t="shared" si="114"/>
        <v>5.2521535992225464E-4</v>
      </c>
      <c r="AA206" s="18">
        <v>0</v>
      </c>
      <c r="AB206" s="18" t="s">
        <v>152</v>
      </c>
      <c r="AC206" s="4" t="s">
        <v>152</v>
      </c>
      <c r="AD206" s="18" t="s">
        <v>152</v>
      </c>
      <c r="AE206" s="4" t="s">
        <v>152</v>
      </c>
      <c r="AF206" s="18" t="s">
        <v>152</v>
      </c>
      <c r="AG206" s="4" t="s">
        <v>152</v>
      </c>
      <c r="AH206" s="28">
        <f t="shared" si="115"/>
        <v>0</v>
      </c>
      <c r="AI206" s="4" t="str">
        <f t="shared" si="130"/>
        <v>na</v>
      </c>
      <c r="AJ206" s="26" t="str">
        <f t="shared" si="127"/>
        <v>na</v>
      </c>
      <c r="AK206" s="26" t="str">
        <f t="shared" si="116"/>
        <v>na</v>
      </c>
      <c r="AL206" s="4">
        <v>470950852000</v>
      </c>
      <c r="AM206" s="4">
        <v>106448372000</v>
      </c>
      <c r="AN206" s="12">
        <f t="shared" si="117"/>
        <v>-364502480000</v>
      </c>
      <c r="AO206" s="12">
        <f t="shared" si="118"/>
        <v>577399224000</v>
      </c>
      <c r="AP206" s="8">
        <v>2563536173000</v>
      </c>
      <c r="AQ206" s="8">
        <v>1642820352000</v>
      </c>
      <c r="AR206" s="13">
        <f t="shared" si="119"/>
        <v>-920715821000</v>
      </c>
      <c r="AS206" s="13">
        <f t="shared" si="120"/>
        <v>4206356525000</v>
      </c>
      <c r="AT206" s="5">
        <f t="shared" si="131"/>
        <v>0.18371141275875416</v>
      </c>
      <c r="AU206" s="5">
        <f t="shared" si="132"/>
        <v>6.479611228970214E-2</v>
      </c>
      <c r="AV206" s="5">
        <f t="shared" si="121"/>
        <v>1.0260013969927548</v>
      </c>
      <c r="AW206" s="5">
        <f t="shared" si="122"/>
        <v>0.79403569420280717</v>
      </c>
      <c r="AX206" s="5">
        <f t="shared" si="133"/>
        <v>0.13726825592844868</v>
      </c>
      <c r="AY206" s="10">
        <f t="shared" si="134"/>
        <v>2.6939447150984161E-2</v>
      </c>
      <c r="AZ206" s="24" t="s">
        <v>152</v>
      </c>
      <c r="BA206" s="29" t="s">
        <v>152</v>
      </c>
      <c r="BB206" s="24" t="s">
        <v>152</v>
      </c>
      <c r="BC206" s="29" t="s">
        <v>152</v>
      </c>
      <c r="BD206" s="24" t="s">
        <v>152</v>
      </c>
      <c r="BE206" s="29" t="s">
        <v>152</v>
      </c>
      <c r="BF206" s="24" t="s">
        <v>152</v>
      </c>
      <c r="BG206" s="29" t="s">
        <v>152</v>
      </c>
      <c r="BH206" s="26">
        <f t="shared" si="123"/>
        <v>0</v>
      </c>
      <c r="BI206" s="26">
        <f t="shared" si="124"/>
        <v>0</v>
      </c>
      <c r="BJ206" s="26">
        <f t="shared" si="125"/>
        <v>0</v>
      </c>
      <c r="BK206" s="26">
        <f t="shared" si="126"/>
        <v>0</v>
      </c>
      <c r="BL206" s="34">
        <f t="shared" si="129"/>
        <v>0</v>
      </c>
      <c r="BM206" s="35">
        <f t="shared" si="128"/>
        <v>0</v>
      </c>
    </row>
    <row r="207" spans="1:65" x14ac:dyDescent="0.35">
      <c r="A207" s="18">
        <v>206</v>
      </c>
      <c r="B207" s="17" t="s">
        <v>434</v>
      </c>
      <c r="C207" s="3" t="s">
        <v>122</v>
      </c>
      <c r="D207" s="17" t="s">
        <v>12</v>
      </c>
      <c r="E207" s="17" t="s">
        <v>13</v>
      </c>
      <c r="F207" s="18">
        <v>2</v>
      </c>
      <c r="G207" s="18">
        <v>0</v>
      </c>
      <c r="H207" s="18">
        <v>1</v>
      </c>
      <c r="I207" s="18">
        <v>2018</v>
      </c>
      <c r="J207" s="18">
        <v>0</v>
      </c>
      <c r="K207" s="18" t="s">
        <v>152</v>
      </c>
      <c r="L207" s="4">
        <v>61231149880.585663</v>
      </c>
      <c r="M207" s="18">
        <v>0</v>
      </c>
      <c r="N207" s="4">
        <v>0</v>
      </c>
      <c r="O207" s="18">
        <v>1</v>
      </c>
      <c r="P207" s="4">
        <v>180000000</v>
      </c>
      <c r="Q207" s="18">
        <v>1</v>
      </c>
      <c r="R207" s="4">
        <v>180000000</v>
      </c>
      <c r="S207" s="5">
        <f t="shared" si="107"/>
        <v>0</v>
      </c>
      <c r="T207" s="5">
        <f t="shared" si="108"/>
        <v>2.9396802175206569E-3</v>
      </c>
      <c r="U207" s="5">
        <f t="shared" si="109"/>
        <v>2.9396802175206569E-3</v>
      </c>
      <c r="V207" s="26">
        <f t="shared" si="110"/>
        <v>0</v>
      </c>
      <c r="W207" s="26">
        <f t="shared" si="111"/>
        <v>2.2637522951932993E-4</v>
      </c>
      <c r="X207" s="26">
        <f t="shared" si="112"/>
        <v>8.40010640134775E-5</v>
      </c>
      <c r="Y207" s="26">
        <f t="shared" si="113"/>
        <v>10588235.294117646</v>
      </c>
      <c r="Z207" s="26">
        <f t="shared" si="114"/>
        <v>1.7292236573650922E-4</v>
      </c>
      <c r="AA207" s="18">
        <v>2</v>
      </c>
      <c r="AB207" s="18">
        <v>0</v>
      </c>
      <c r="AC207" s="4">
        <v>0</v>
      </c>
      <c r="AD207" s="18">
        <v>0</v>
      </c>
      <c r="AE207" s="4">
        <v>0</v>
      </c>
      <c r="AF207" s="18">
        <v>0</v>
      </c>
      <c r="AG207" s="4">
        <v>0</v>
      </c>
      <c r="AH207" s="28">
        <f t="shared" si="115"/>
        <v>0</v>
      </c>
      <c r="AI207" s="4">
        <f t="shared" si="130"/>
        <v>0</v>
      </c>
      <c r="AJ207" s="26">
        <f t="shared" si="127"/>
        <v>0</v>
      </c>
      <c r="AK207" s="26">
        <f t="shared" si="116"/>
        <v>0</v>
      </c>
      <c r="AL207" s="4">
        <v>1309557000</v>
      </c>
      <c r="AM207" s="4">
        <v>2147303000</v>
      </c>
      <c r="AN207" s="12">
        <f t="shared" si="117"/>
        <v>837746000</v>
      </c>
      <c r="AO207" s="12">
        <f t="shared" si="118"/>
        <v>3456860000</v>
      </c>
      <c r="AP207" s="8">
        <v>8313649000</v>
      </c>
      <c r="AQ207" s="8">
        <v>7816028000</v>
      </c>
      <c r="AR207" s="13">
        <f t="shared" si="119"/>
        <v>-497621000</v>
      </c>
      <c r="AS207" s="13">
        <f t="shared" si="120"/>
        <v>16129677000</v>
      </c>
      <c r="AT207" s="5">
        <f t="shared" si="131"/>
        <v>0.15751891858797504</v>
      </c>
      <c r="AU207" s="5">
        <f t="shared" si="132"/>
        <v>0.2747307200025384</v>
      </c>
      <c r="AV207" s="5">
        <f t="shared" si="121"/>
        <v>3.327363029999818E-3</v>
      </c>
      <c r="AW207" s="5">
        <f t="shared" si="122"/>
        <v>3.7777747343664381E-3</v>
      </c>
      <c r="AX207" s="5">
        <f t="shared" si="133"/>
        <v>0.21431675290211949</v>
      </c>
      <c r="AY207" s="10">
        <f t="shared" si="134"/>
        <v>5.6455905315213654E-2</v>
      </c>
      <c r="AZ207" s="24">
        <v>49</v>
      </c>
      <c r="BA207" s="19">
        <v>330738828.02498108</v>
      </c>
      <c r="BB207" s="17">
        <v>39</v>
      </c>
      <c r="BC207" s="19">
        <v>153223378.70386729</v>
      </c>
      <c r="BD207" s="17">
        <v>3</v>
      </c>
      <c r="BE207" s="19">
        <v>13795146.479344809</v>
      </c>
      <c r="BF207" s="17">
        <v>7</v>
      </c>
      <c r="BG207" s="19">
        <v>163720302.84176901</v>
      </c>
      <c r="BH207" s="26">
        <f t="shared" si="123"/>
        <v>5.4014799439500195E-3</v>
      </c>
      <c r="BI207" s="26">
        <f t="shared" si="124"/>
        <v>2.5023763068746365E-3</v>
      </c>
      <c r="BJ207" s="26">
        <f t="shared" si="125"/>
        <v>2.2529621779516484E-4</v>
      </c>
      <c r="BK207" s="26">
        <f t="shared" si="126"/>
        <v>2.6738074192802185E-3</v>
      </c>
      <c r="BL207" s="34">
        <f t="shared" si="129"/>
        <v>19455225.177940063</v>
      </c>
      <c r="BM207" s="35">
        <f t="shared" si="128"/>
        <v>3.1773411435000111E-4</v>
      </c>
    </row>
    <row r="208" spans="1:65" x14ac:dyDescent="0.35">
      <c r="A208" s="18">
        <v>207</v>
      </c>
      <c r="B208" s="17" t="s">
        <v>435</v>
      </c>
      <c r="C208" s="3" t="s">
        <v>123</v>
      </c>
      <c r="D208" s="17" t="s">
        <v>4</v>
      </c>
      <c r="E208" s="17" t="s">
        <v>10</v>
      </c>
      <c r="F208" s="18">
        <v>2</v>
      </c>
      <c r="G208" s="18">
        <v>0</v>
      </c>
      <c r="H208" s="18">
        <v>1</v>
      </c>
      <c r="I208" s="18">
        <v>2015</v>
      </c>
      <c r="J208" s="18">
        <v>0</v>
      </c>
      <c r="K208" s="18" t="s">
        <v>152</v>
      </c>
      <c r="L208" s="4">
        <v>57726542784.920425</v>
      </c>
      <c r="M208" s="18">
        <v>7</v>
      </c>
      <c r="N208" s="4">
        <v>4010000000</v>
      </c>
      <c r="O208" s="18">
        <v>16</v>
      </c>
      <c r="P208" s="4">
        <v>3690000000</v>
      </c>
      <c r="Q208" s="18">
        <v>23</v>
      </c>
      <c r="R208" s="4">
        <v>7700000000</v>
      </c>
      <c r="S208" s="5">
        <f t="shared" si="107"/>
        <v>6.9465445296812561E-2</v>
      </c>
      <c r="T208" s="5">
        <f t="shared" si="108"/>
        <v>6.392206811601954E-2</v>
      </c>
      <c r="U208" s="5">
        <f t="shared" si="109"/>
        <v>0.13338751341283211</v>
      </c>
      <c r="V208" s="26">
        <f t="shared" si="110"/>
        <v>2.986675405733523E-3</v>
      </c>
      <c r="W208" s="26">
        <f t="shared" si="111"/>
        <v>4.6406922051462638E-3</v>
      </c>
      <c r="X208" s="26">
        <f t="shared" si="112"/>
        <v>3.5933788494654268E-3</v>
      </c>
      <c r="Y208" s="26">
        <f t="shared" si="113"/>
        <v>452941176.47058821</v>
      </c>
      <c r="Z208" s="26">
        <f t="shared" si="114"/>
        <v>7.8463243184018882E-3</v>
      </c>
      <c r="AA208" s="18">
        <v>1</v>
      </c>
      <c r="AB208" s="11">
        <v>7</v>
      </c>
      <c r="AC208" s="27">
        <v>1132600000</v>
      </c>
      <c r="AD208" s="11">
        <v>3</v>
      </c>
      <c r="AE208" s="27">
        <v>801300000</v>
      </c>
      <c r="AF208" s="18">
        <v>0</v>
      </c>
      <c r="AG208" s="4">
        <v>0</v>
      </c>
      <c r="AH208" s="28">
        <f t="shared" si="115"/>
        <v>10</v>
      </c>
      <c r="AI208" s="4">
        <f t="shared" si="130"/>
        <v>1933900000</v>
      </c>
      <c r="AJ208" s="26">
        <f t="shared" si="127"/>
        <v>3.3501053531048833E-2</v>
      </c>
      <c r="AK208" s="26">
        <f t="shared" si="116"/>
        <v>4.8517030634293884E-2</v>
      </c>
      <c r="AL208" s="4">
        <v>5052269000</v>
      </c>
      <c r="AM208" s="4">
        <v>1767642000</v>
      </c>
      <c r="AN208" s="12">
        <f t="shared" si="117"/>
        <v>-3284627000</v>
      </c>
      <c r="AO208" s="12">
        <f t="shared" si="118"/>
        <v>6819911000</v>
      </c>
      <c r="AP208" s="8">
        <v>21855139000</v>
      </c>
      <c r="AQ208" s="8">
        <v>14344696000</v>
      </c>
      <c r="AR208" s="13">
        <f t="shared" si="119"/>
        <v>-7510443000</v>
      </c>
      <c r="AS208" s="13">
        <f t="shared" si="120"/>
        <v>36199835000</v>
      </c>
      <c r="AT208" s="5">
        <f t="shared" si="131"/>
        <v>0.23117075576595508</v>
      </c>
      <c r="AU208" s="5">
        <f t="shared" si="132"/>
        <v>0.12322617363240043</v>
      </c>
      <c r="AV208" s="5">
        <f t="shared" si="121"/>
        <v>8.7470593868116397E-3</v>
      </c>
      <c r="AW208" s="5">
        <f t="shared" si="122"/>
        <v>6.9333208787081251E-3</v>
      </c>
      <c r="AX208" s="5">
        <f t="shared" si="133"/>
        <v>0.18839619020362938</v>
      </c>
      <c r="AY208" s="10">
        <f t="shared" si="134"/>
        <v>0.11814168441387289</v>
      </c>
      <c r="AZ208" s="24">
        <v>149</v>
      </c>
      <c r="BA208" s="19">
        <v>12695736545.016287</v>
      </c>
      <c r="BB208" s="17">
        <v>64</v>
      </c>
      <c r="BC208" s="19">
        <v>2542801902.4255037</v>
      </c>
      <c r="BD208" s="17">
        <v>56</v>
      </c>
      <c r="BE208" s="19">
        <v>8886742719.4394569</v>
      </c>
      <c r="BF208" s="17">
        <v>29</v>
      </c>
      <c r="BG208" s="19">
        <v>1266191923.151324</v>
      </c>
      <c r="BH208" s="26">
        <f t="shared" si="123"/>
        <v>0.21992892580313542</v>
      </c>
      <c r="BI208" s="26">
        <f t="shared" si="124"/>
        <v>4.4049093878695697E-2</v>
      </c>
      <c r="BJ208" s="26">
        <f t="shared" si="125"/>
        <v>0.15394552125787256</v>
      </c>
      <c r="BK208" s="26">
        <f t="shared" si="126"/>
        <v>2.1934310666567133E-2</v>
      </c>
      <c r="BL208" s="34">
        <f t="shared" si="129"/>
        <v>746808032.05978155</v>
      </c>
      <c r="BM208" s="35">
        <f t="shared" si="128"/>
        <v>1.2936995635478553E-2</v>
      </c>
    </row>
    <row r="209" spans="1:65" x14ac:dyDescent="0.35">
      <c r="A209" s="18">
        <v>208</v>
      </c>
      <c r="B209" s="17" t="s">
        <v>436</v>
      </c>
      <c r="C209" s="3" t="s">
        <v>124</v>
      </c>
      <c r="D209" s="17" t="s">
        <v>23</v>
      </c>
      <c r="E209" s="17" t="s">
        <v>10</v>
      </c>
      <c r="F209" s="18">
        <v>0</v>
      </c>
      <c r="G209" s="18">
        <v>0</v>
      </c>
      <c r="H209" s="18">
        <v>1</v>
      </c>
      <c r="I209" s="18">
        <v>2018</v>
      </c>
      <c r="J209" s="18">
        <v>1</v>
      </c>
      <c r="K209" s="18">
        <v>2004</v>
      </c>
      <c r="L209" s="4">
        <v>930337960.03747845</v>
      </c>
      <c r="M209" s="18">
        <v>0</v>
      </c>
      <c r="N209" s="4">
        <v>0</v>
      </c>
      <c r="O209" s="18">
        <v>0</v>
      </c>
      <c r="P209" s="4">
        <v>0</v>
      </c>
      <c r="Q209" s="18">
        <v>0</v>
      </c>
      <c r="R209" s="4">
        <v>0</v>
      </c>
      <c r="S209" s="5">
        <f t="shared" si="107"/>
        <v>0</v>
      </c>
      <c r="T209" s="15">
        <f t="shared" si="108"/>
        <v>0</v>
      </c>
      <c r="U209" s="5">
        <f t="shared" si="109"/>
        <v>0</v>
      </c>
      <c r="V209" s="26">
        <f t="shared" si="110"/>
        <v>0</v>
      </c>
      <c r="W209" s="26">
        <f t="shared" si="111"/>
        <v>0</v>
      </c>
      <c r="X209" s="26">
        <f t="shared" si="112"/>
        <v>0</v>
      </c>
      <c r="Y209" s="26">
        <f t="shared" si="113"/>
        <v>0</v>
      </c>
      <c r="Z209" s="26">
        <f t="shared" si="114"/>
        <v>0</v>
      </c>
      <c r="AA209" s="18">
        <v>1</v>
      </c>
      <c r="AB209" s="18">
        <v>0</v>
      </c>
      <c r="AC209" s="4">
        <v>0</v>
      </c>
      <c r="AD209" s="18">
        <v>0</v>
      </c>
      <c r="AE209" s="4">
        <v>0</v>
      </c>
      <c r="AF209" s="18">
        <v>0</v>
      </c>
      <c r="AG209" s="4">
        <v>0</v>
      </c>
      <c r="AH209" s="28">
        <f t="shared" si="115"/>
        <v>0</v>
      </c>
      <c r="AI209" s="4">
        <f t="shared" si="130"/>
        <v>0</v>
      </c>
      <c r="AJ209" s="26">
        <f t="shared" si="127"/>
        <v>0</v>
      </c>
      <c r="AK209" s="26">
        <f t="shared" si="116"/>
        <v>0</v>
      </c>
      <c r="AL209" s="14">
        <v>76761000</v>
      </c>
      <c r="AM209" s="14">
        <v>14655000</v>
      </c>
      <c r="AN209" s="12">
        <f t="shared" si="117"/>
        <v>-62106000</v>
      </c>
      <c r="AO209" s="12">
        <f t="shared" si="118"/>
        <v>91416000</v>
      </c>
      <c r="AP209" s="8">
        <v>286016000</v>
      </c>
      <c r="AQ209" s="8">
        <v>173228000</v>
      </c>
      <c r="AR209" s="13">
        <f t="shared" si="119"/>
        <v>-112788000</v>
      </c>
      <c r="AS209" s="13">
        <f t="shared" si="120"/>
        <v>459244000</v>
      </c>
      <c r="AT209" s="5">
        <f t="shared" si="131"/>
        <v>0.26838009062430074</v>
      </c>
      <c r="AU209" s="5">
        <f t="shared" si="132"/>
        <v>8.459948738079294E-2</v>
      </c>
      <c r="AV209" s="5">
        <f t="shared" si="121"/>
        <v>1.1447188405337152E-4</v>
      </c>
      <c r="AW209" s="5">
        <f t="shared" si="122"/>
        <v>8.3727484303386504E-5</v>
      </c>
      <c r="AX209" s="5">
        <f t="shared" si="133"/>
        <v>0.19905758159061415</v>
      </c>
      <c r="AY209" s="10">
        <f t="shared" si="134"/>
        <v>9.8261066329398544E-2</v>
      </c>
      <c r="AZ209" s="24">
        <v>120</v>
      </c>
      <c r="BA209" s="19">
        <v>555617259.93362021</v>
      </c>
      <c r="BB209" s="17">
        <v>108</v>
      </c>
      <c r="BC209" s="19">
        <v>390590587.29028279</v>
      </c>
      <c r="BD209" s="17">
        <v>9</v>
      </c>
      <c r="BE209" s="19">
        <v>78704.611487802802</v>
      </c>
      <c r="BF209" s="17">
        <v>3</v>
      </c>
      <c r="BG209" s="19">
        <v>164947968.03184959</v>
      </c>
      <c r="BH209" s="26">
        <f t="shared" si="123"/>
        <v>0.59722088509775229</v>
      </c>
      <c r="BI209" s="26">
        <f t="shared" si="124"/>
        <v>0.41983731081396264</v>
      </c>
      <c r="BJ209" s="26">
        <f t="shared" si="125"/>
        <v>8.4597871814917882E-5</v>
      </c>
      <c r="BK209" s="26">
        <f t="shared" si="126"/>
        <v>0.17729897641197476</v>
      </c>
      <c r="BL209" s="34">
        <f t="shared" si="129"/>
        <v>32683368.231389426</v>
      </c>
      <c r="BM209" s="35">
        <f t="shared" si="128"/>
        <v>3.5130640299867788E-2</v>
      </c>
    </row>
    <row r="210" spans="1:65" x14ac:dyDescent="0.35">
      <c r="A210" s="18">
        <v>209</v>
      </c>
      <c r="B210" s="17" t="s">
        <v>468</v>
      </c>
      <c r="C210" s="3" t="s">
        <v>467</v>
      </c>
      <c r="D210" s="17" t="s">
        <v>4</v>
      </c>
      <c r="E210" s="18" t="s">
        <v>152</v>
      </c>
      <c r="F210" s="18">
        <v>0</v>
      </c>
      <c r="G210" s="18">
        <v>0</v>
      </c>
      <c r="H210" s="18">
        <v>0</v>
      </c>
      <c r="I210" s="18" t="s">
        <v>152</v>
      </c>
      <c r="J210" s="18">
        <v>2</v>
      </c>
      <c r="K210" s="18" t="s">
        <v>152</v>
      </c>
      <c r="L210" s="4" t="s">
        <v>152</v>
      </c>
      <c r="M210" s="18">
        <v>0</v>
      </c>
      <c r="N210" s="4">
        <v>0</v>
      </c>
      <c r="O210" s="18">
        <v>0</v>
      </c>
      <c r="P210" s="4">
        <v>0</v>
      </c>
      <c r="Q210" s="18">
        <v>0</v>
      </c>
      <c r="R210" s="4">
        <v>0</v>
      </c>
      <c r="S210" s="5">
        <f t="shared" si="107"/>
        <v>0</v>
      </c>
      <c r="T210" s="15">
        <f t="shared" si="108"/>
        <v>0</v>
      </c>
      <c r="U210" s="5">
        <f t="shared" si="109"/>
        <v>0</v>
      </c>
      <c r="V210" s="26">
        <f t="shared" si="110"/>
        <v>0</v>
      </c>
      <c r="W210" s="26">
        <f t="shared" si="111"/>
        <v>0</v>
      </c>
      <c r="X210" s="26">
        <f t="shared" si="112"/>
        <v>0</v>
      </c>
      <c r="Y210" s="26">
        <f t="shared" si="113"/>
        <v>0</v>
      </c>
      <c r="Z210" s="26">
        <f t="shared" si="114"/>
        <v>0</v>
      </c>
      <c r="AA210" s="18">
        <v>0</v>
      </c>
      <c r="AB210" s="18" t="s">
        <v>152</v>
      </c>
      <c r="AC210" s="4" t="s">
        <v>152</v>
      </c>
      <c r="AD210" s="18" t="s">
        <v>152</v>
      </c>
      <c r="AE210" s="4" t="s">
        <v>152</v>
      </c>
      <c r="AF210" s="18" t="s">
        <v>152</v>
      </c>
      <c r="AG210" s="4" t="s">
        <v>152</v>
      </c>
      <c r="AH210" s="28">
        <f t="shared" si="115"/>
        <v>0</v>
      </c>
      <c r="AI210" s="4" t="s">
        <v>152</v>
      </c>
      <c r="AJ210" s="26" t="str">
        <f t="shared" si="127"/>
        <v>na</v>
      </c>
      <c r="AK210" s="26" t="str">
        <f t="shared" si="116"/>
        <v>na</v>
      </c>
      <c r="AL210" s="18" t="s">
        <v>152</v>
      </c>
      <c r="AM210" s="18" t="s">
        <v>152</v>
      </c>
      <c r="AN210" s="12" t="str">
        <f t="shared" si="117"/>
        <v>na</v>
      </c>
      <c r="AO210" s="12" t="str">
        <f t="shared" si="118"/>
        <v>na</v>
      </c>
      <c r="AP210" s="18" t="s">
        <v>152</v>
      </c>
      <c r="AQ210" s="18" t="s">
        <v>152</v>
      </c>
      <c r="AR210" s="13" t="str">
        <f t="shared" si="119"/>
        <v>na</v>
      </c>
      <c r="AS210" s="13" t="str">
        <f t="shared" si="120"/>
        <v>na</v>
      </c>
      <c r="AT210" s="5" t="str">
        <f t="shared" si="131"/>
        <v>na</v>
      </c>
      <c r="AU210" s="5" t="str">
        <f t="shared" si="132"/>
        <v>na</v>
      </c>
      <c r="AV210" s="5" t="str">
        <f t="shared" si="121"/>
        <v>na</v>
      </c>
      <c r="AW210" s="5" t="str">
        <f t="shared" si="122"/>
        <v>na</v>
      </c>
      <c r="AX210" s="5" t="str">
        <f t="shared" si="133"/>
        <v>na</v>
      </c>
      <c r="AY210" s="10" t="str">
        <f t="shared" si="134"/>
        <v>na</v>
      </c>
      <c r="AZ210" s="24" t="s">
        <v>152</v>
      </c>
      <c r="BA210" s="29" t="s">
        <v>152</v>
      </c>
      <c r="BB210" s="24" t="s">
        <v>152</v>
      </c>
      <c r="BC210" s="29" t="s">
        <v>152</v>
      </c>
      <c r="BD210" s="24" t="s">
        <v>152</v>
      </c>
      <c r="BE210" s="29" t="s">
        <v>152</v>
      </c>
      <c r="BF210" s="24" t="s">
        <v>152</v>
      </c>
      <c r="BG210" s="29" t="s">
        <v>152</v>
      </c>
      <c r="BH210" s="26">
        <f t="shared" si="123"/>
        <v>0</v>
      </c>
      <c r="BI210" s="26">
        <f t="shared" si="124"/>
        <v>0</v>
      </c>
      <c r="BJ210" s="26">
        <f t="shared" si="125"/>
        <v>0</v>
      </c>
      <c r="BK210" s="26">
        <f t="shared" si="126"/>
        <v>0</v>
      </c>
      <c r="BL210" s="34">
        <f t="shared" si="129"/>
        <v>0</v>
      </c>
      <c r="BM210" s="35">
        <f t="shared" si="128"/>
        <v>0</v>
      </c>
    </row>
    <row r="211" spans="1:65" x14ac:dyDescent="0.35">
      <c r="A211" s="18">
        <v>210</v>
      </c>
      <c r="B211" s="17" t="s">
        <v>437</v>
      </c>
      <c r="C211" s="3" t="s">
        <v>148</v>
      </c>
      <c r="D211" s="17" t="s">
        <v>12</v>
      </c>
      <c r="E211" s="17" t="s">
        <v>152</v>
      </c>
      <c r="F211" s="18">
        <v>3</v>
      </c>
      <c r="G211" s="18">
        <v>0</v>
      </c>
      <c r="H211" s="18">
        <v>1</v>
      </c>
      <c r="I211" s="18">
        <v>2018</v>
      </c>
      <c r="J211" s="18">
        <v>0</v>
      </c>
      <c r="K211" s="18" t="s">
        <v>152</v>
      </c>
      <c r="L211" s="4" t="s">
        <v>152</v>
      </c>
      <c r="M211" s="18">
        <v>18</v>
      </c>
      <c r="N211" s="4">
        <v>11630000000</v>
      </c>
      <c r="O211" s="18">
        <v>10</v>
      </c>
      <c r="P211" s="4">
        <v>8140000000</v>
      </c>
      <c r="Q211" s="18">
        <v>28</v>
      </c>
      <c r="R211" s="4">
        <v>19770000000</v>
      </c>
      <c r="S211" s="5">
        <f t="shared" si="107"/>
        <v>0</v>
      </c>
      <c r="T211" s="15">
        <f t="shared" si="108"/>
        <v>0</v>
      </c>
      <c r="U211" s="5">
        <f t="shared" si="109"/>
        <v>0</v>
      </c>
      <c r="V211" s="26">
        <f t="shared" si="110"/>
        <v>8.662103483461565E-3</v>
      </c>
      <c r="W211" s="26">
        <f t="shared" si="111"/>
        <v>1.0237190934929698E-2</v>
      </c>
      <c r="X211" s="26">
        <f t="shared" si="112"/>
        <v>9.2261168641469462E-3</v>
      </c>
      <c r="Y211" s="26">
        <f t="shared" si="113"/>
        <v>1162941176.4705882</v>
      </c>
      <c r="Z211" s="26">
        <f t="shared" si="114"/>
        <v>0</v>
      </c>
      <c r="AA211" s="18">
        <v>3</v>
      </c>
      <c r="AB211" s="18">
        <v>0</v>
      </c>
      <c r="AC211" s="4">
        <v>0</v>
      </c>
      <c r="AD211" s="18">
        <v>0</v>
      </c>
      <c r="AE211" s="4">
        <v>0</v>
      </c>
      <c r="AF211" s="18">
        <v>0</v>
      </c>
      <c r="AG211" s="4">
        <v>0</v>
      </c>
      <c r="AH211" s="28">
        <f t="shared" si="115"/>
        <v>0</v>
      </c>
      <c r="AI211" s="4">
        <f>IFERROR(AC211+AE211,"na")</f>
        <v>0</v>
      </c>
      <c r="AJ211" s="26" t="str">
        <f t="shared" si="127"/>
        <v>na</v>
      </c>
      <c r="AK211" s="26">
        <f t="shared" si="116"/>
        <v>0</v>
      </c>
      <c r="AL211" s="14">
        <v>1539866000</v>
      </c>
      <c r="AM211" s="14">
        <v>4788365000</v>
      </c>
      <c r="AN211" s="12">
        <f t="shared" si="117"/>
        <v>3248499000</v>
      </c>
      <c r="AO211" s="12">
        <f t="shared" si="118"/>
        <v>6328231000</v>
      </c>
      <c r="AP211" s="8">
        <v>6177724000</v>
      </c>
      <c r="AQ211" s="8">
        <v>17015898000</v>
      </c>
      <c r="AR211" s="13">
        <f t="shared" si="119"/>
        <v>10838174000</v>
      </c>
      <c r="AS211" s="13">
        <f t="shared" si="120"/>
        <v>23193622000</v>
      </c>
      <c r="AT211" s="5">
        <f t="shared" si="131"/>
        <v>0.24926105471853388</v>
      </c>
      <c r="AU211" s="5">
        <f t="shared" si="132"/>
        <v>0.28140536573503205</v>
      </c>
      <c r="AV211" s="5">
        <f t="shared" si="121"/>
        <v>2.4725040048169701E-3</v>
      </c>
      <c r="AW211" s="5">
        <f t="shared" si="122"/>
        <v>8.2244113694265684E-3</v>
      </c>
      <c r="AX211" s="5">
        <f t="shared" si="133"/>
        <v>0.27284358605137221</v>
      </c>
      <c r="AY211" s="10" t="str">
        <f t="shared" si="134"/>
        <v>na</v>
      </c>
      <c r="AZ211" s="24">
        <v>84</v>
      </c>
      <c r="BA211" s="19">
        <v>173012228093.00427</v>
      </c>
      <c r="BB211" s="17">
        <v>9</v>
      </c>
      <c r="BC211" s="19">
        <v>92644565.738441646</v>
      </c>
      <c r="BD211" s="17">
        <v>63</v>
      </c>
      <c r="BE211" s="19">
        <v>166305580599.91101</v>
      </c>
      <c r="BF211" s="17">
        <v>12</v>
      </c>
      <c r="BG211" s="19">
        <v>6614002927.354825</v>
      </c>
      <c r="BH211" s="26">
        <f t="shared" si="123"/>
        <v>0</v>
      </c>
      <c r="BI211" s="26">
        <f t="shared" si="124"/>
        <v>0</v>
      </c>
      <c r="BJ211" s="26">
        <f t="shared" si="125"/>
        <v>0</v>
      </c>
      <c r="BK211" s="26">
        <f t="shared" si="126"/>
        <v>0</v>
      </c>
      <c r="BL211" s="34">
        <f t="shared" si="129"/>
        <v>10177189887.82378</v>
      </c>
      <c r="BM211" s="35">
        <f t="shared" si="128"/>
        <v>0</v>
      </c>
    </row>
    <row r="212" spans="1:65" x14ac:dyDescent="0.35">
      <c r="A212" s="18">
        <v>211</v>
      </c>
      <c r="B212" s="17" t="s">
        <v>438</v>
      </c>
      <c r="C212" s="3" t="s">
        <v>125</v>
      </c>
      <c r="D212" s="17" t="s">
        <v>23</v>
      </c>
      <c r="E212" s="17" t="s">
        <v>10</v>
      </c>
      <c r="F212" s="18">
        <v>4</v>
      </c>
      <c r="G212" s="18">
        <v>1</v>
      </c>
      <c r="H212" s="18">
        <v>1</v>
      </c>
      <c r="I212" s="18">
        <v>2017</v>
      </c>
      <c r="J212" s="18">
        <v>0</v>
      </c>
      <c r="K212" s="18" t="s">
        <v>152</v>
      </c>
      <c r="L212" s="4">
        <v>261921244843.1723</v>
      </c>
      <c r="M212" s="18">
        <v>28</v>
      </c>
      <c r="N212" s="4">
        <v>15620000000</v>
      </c>
      <c r="O212" s="18">
        <v>30</v>
      </c>
      <c r="P212" s="4">
        <v>13290000000</v>
      </c>
      <c r="Q212" s="18">
        <v>58</v>
      </c>
      <c r="R212" s="4">
        <v>28910000000</v>
      </c>
      <c r="S212" s="5">
        <f t="shared" si="107"/>
        <v>5.9636246801410157E-2</v>
      </c>
      <c r="T212" s="5">
        <f t="shared" si="108"/>
        <v>5.0740443021174197E-2</v>
      </c>
      <c r="U212" s="5">
        <f t="shared" si="109"/>
        <v>0.11037668982258435</v>
      </c>
      <c r="V212" s="26">
        <f t="shared" si="110"/>
        <v>1.1633882752508137E-2</v>
      </c>
      <c r="W212" s="26">
        <f t="shared" si="111"/>
        <v>1.6714037779510527E-2</v>
      </c>
      <c r="X212" s="26">
        <f t="shared" si="112"/>
        <v>1.3491504225720192E-2</v>
      </c>
      <c r="Y212" s="26">
        <f t="shared" si="113"/>
        <v>1700588235.2941177</v>
      </c>
      <c r="Z212" s="26">
        <f t="shared" si="114"/>
        <v>6.4927464601520204E-3</v>
      </c>
      <c r="AA212" s="18">
        <v>1</v>
      </c>
      <c r="AB212" s="11">
        <v>1</v>
      </c>
      <c r="AC212" s="27">
        <v>100000000</v>
      </c>
      <c r="AD212" s="11">
        <v>1</v>
      </c>
      <c r="AE212" s="27">
        <v>47500000</v>
      </c>
      <c r="AF212" s="18">
        <v>0</v>
      </c>
      <c r="AG212" s="4">
        <v>0</v>
      </c>
      <c r="AH212" s="28">
        <f t="shared" si="115"/>
        <v>2</v>
      </c>
      <c r="AI212" s="4">
        <f>IFERROR(AC212+AE212,"na")</f>
        <v>147500000</v>
      </c>
      <c r="AJ212" s="26">
        <f t="shared" si="127"/>
        <v>5.6314637664583848E-4</v>
      </c>
      <c r="AK212" s="26">
        <f t="shared" si="116"/>
        <v>3.7004302283253259E-3</v>
      </c>
      <c r="AL212" s="4">
        <v>75586138000</v>
      </c>
      <c r="AM212" s="4">
        <v>41434238000</v>
      </c>
      <c r="AN212" s="12">
        <f t="shared" si="117"/>
        <v>-34151900000</v>
      </c>
      <c r="AO212" s="12">
        <f t="shared" si="118"/>
        <v>117020376000</v>
      </c>
      <c r="AP212" s="8">
        <v>253442016000</v>
      </c>
      <c r="AQ212" s="8">
        <v>264610323000</v>
      </c>
      <c r="AR212" s="13">
        <f t="shared" si="119"/>
        <v>11168307000</v>
      </c>
      <c r="AS212" s="13">
        <f t="shared" si="120"/>
        <v>518052339000</v>
      </c>
      <c r="AT212" s="5">
        <f t="shared" si="131"/>
        <v>0.29823838680323628</v>
      </c>
      <c r="AU212" s="5">
        <f t="shared" si="132"/>
        <v>0.15658587136829125</v>
      </c>
      <c r="AV212" s="5">
        <f t="shared" si="121"/>
        <v>0.101434832561132</v>
      </c>
      <c r="AW212" s="5">
        <f t="shared" si="122"/>
        <v>0.12789593290632309</v>
      </c>
      <c r="AX212" s="5">
        <f t="shared" si="133"/>
        <v>0.22588523820949297</v>
      </c>
      <c r="AY212" s="10">
        <f t="shared" si="134"/>
        <v>0.44677695415683827</v>
      </c>
      <c r="AZ212" s="24">
        <v>111</v>
      </c>
      <c r="BA212" s="19">
        <v>20984102031.97514</v>
      </c>
      <c r="BB212" s="17">
        <v>54</v>
      </c>
      <c r="BC212" s="19">
        <v>1423612922.7701159</v>
      </c>
      <c r="BD212" s="17">
        <v>44</v>
      </c>
      <c r="BE212" s="19">
        <v>16354113571.873787</v>
      </c>
      <c r="BF212" s="17">
        <v>13</v>
      </c>
      <c r="BG212" s="19">
        <v>3206375537.3312359</v>
      </c>
      <c r="BH212" s="26">
        <f t="shared" si="123"/>
        <v>8.0116074755751707E-2</v>
      </c>
      <c r="BI212" s="26">
        <f t="shared" si="124"/>
        <v>5.4352709098588661E-3</v>
      </c>
      <c r="BJ212" s="26">
        <f t="shared" si="125"/>
        <v>6.2439049500035627E-2</v>
      </c>
      <c r="BK212" s="26">
        <f t="shared" si="126"/>
        <v>1.2241754345857213E-2</v>
      </c>
      <c r="BL212" s="34">
        <f t="shared" si="129"/>
        <v>1234358943.0573611</v>
      </c>
      <c r="BM212" s="35">
        <f t="shared" si="128"/>
        <v>4.7127102797501009E-3</v>
      </c>
    </row>
    <row r="213" spans="1:65" x14ac:dyDescent="0.35">
      <c r="A213" s="18">
        <v>212</v>
      </c>
      <c r="B213" s="17" t="s">
        <v>465</v>
      </c>
      <c r="C213" s="3" t="s">
        <v>479</v>
      </c>
      <c r="D213" s="17" t="s">
        <v>12</v>
      </c>
      <c r="E213" s="17" t="s">
        <v>13</v>
      </c>
      <c r="F213" s="18">
        <v>0</v>
      </c>
      <c r="G213" s="18">
        <v>0</v>
      </c>
      <c r="H213" s="18">
        <v>0</v>
      </c>
      <c r="I213" s="18" t="s">
        <v>152</v>
      </c>
      <c r="J213" s="18">
        <v>0</v>
      </c>
      <c r="K213" s="18" t="s">
        <v>152</v>
      </c>
      <c r="L213" s="20">
        <v>3984000000</v>
      </c>
      <c r="M213" s="18">
        <v>0</v>
      </c>
      <c r="N213" s="4">
        <v>0</v>
      </c>
      <c r="O213" s="18">
        <v>0</v>
      </c>
      <c r="P213" s="4">
        <v>0</v>
      </c>
      <c r="Q213" s="18">
        <v>0</v>
      </c>
      <c r="R213" s="4">
        <v>0</v>
      </c>
      <c r="S213" s="5">
        <f t="shared" si="107"/>
        <v>0</v>
      </c>
      <c r="T213" s="15">
        <f t="shared" si="108"/>
        <v>0</v>
      </c>
      <c r="U213" s="5">
        <f t="shared" si="109"/>
        <v>0</v>
      </c>
      <c r="V213" s="26">
        <f t="shared" si="110"/>
        <v>0</v>
      </c>
      <c r="W213" s="26">
        <f t="shared" si="111"/>
        <v>0</v>
      </c>
      <c r="X213" s="26">
        <f t="shared" si="112"/>
        <v>0</v>
      </c>
      <c r="Y213" s="26">
        <f t="shared" si="113"/>
        <v>0</v>
      </c>
      <c r="Z213" s="26">
        <f t="shared" si="114"/>
        <v>0</v>
      </c>
      <c r="AA213" s="18">
        <v>0</v>
      </c>
      <c r="AB213" s="18" t="s">
        <v>152</v>
      </c>
      <c r="AC213" s="4" t="s">
        <v>152</v>
      </c>
      <c r="AD213" s="18" t="s">
        <v>152</v>
      </c>
      <c r="AE213" s="4" t="s">
        <v>152</v>
      </c>
      <c r="AF213" s="18" t="s">
        <v>152</v>
      </c>
      <c r="AG213" s="4" t="s">
        <v>152</v>
      </c>
      <c r="AH213" s="28">
        <f t="shared" si="115"/>
        <v>0</v>
      </c>
      <c r="AI213" s="4" t="s">
        <v>152</v>
      </c>
      <c r="AJ213" s="26" t="str">
        <f t="shared" si="127"/>
        <v>na</v>
      </c>
      <c r="AK213" s="26" t="str">
        <f t="shared" si="116"/>
        <v>na</v>
      </c>
      <c r="AL213" s="18" t="s">
        <v>152</v>
      </c>
      <c r="AM213" s="18" t="s">
        <v>152</v>
      </c>
      <c r="AN213" s="12" t="str">
        <f t="shared" si="117"/>
        <v>na</v>
      </c>
      <c r="AO213" s="12" t="str">
        <f t="shared" si="118"/>
        <v>na</v>
      </c>
      <c r="AP213" s="18" t="s">
        <v>152</v>
      </c>
      <c r="AQ213" s="18" t="s">
        <v>152</v>
      </c>
      <c r="AR213" s="13" t="str">
        <f t="shared" si="119"/>
        <v>na</v>
      </c>
      <c r="AS213" s="13" t="str">
        <f t="shared" si="120"/>
        <v>na</v>
      </c>
      <c r="AT213" s="5" t="str">
        <f t="shared" si="131"/>
        <v>na</v>
      </c>
      <c r="AU213" s="5" t="str">
        <f t="shared" si="132"/>
        <v>na</v>
      </c>
      <c r="AV213" s="5" t="str">
        <f t="shared" si="121"/>
        <v>na</v>
      </c>
      <c r="AW213" s="5" t="str">
        <f t="shared" si="122"/>
        <v>na</v>
      </c>
      <c r="AX213" s="5" t="str">
        <f t="shared" si="133"/>
        <v>na</v>
      </c>
      <c r="AY213" s="10" t="str">
        <f t="shared" si="134"/>
        <v>na</v>
      </c>
      <c r="AZ213" s="24">
        <v>0</v>
      </c>
      <c r="BA213" s="4" t="s">
        <v>152</v>
      </c>
      <c r="BB213" s="18" t="s">
        <v>152</v>
      </c>
      <c r="BC213" s="4" t="s">
        <v>152</v>
      </c>
      <c r="BD213" s="18" t="s">
        <v>152</v>
      </c>
      <c r="BE213" s="4" t="s">
        <v>152</v>
      </c>
      <c r="BF213" s="18" t="s">
        <v>152</v>
      </c>
      <c r="BG213" s="4" t="s">
        <v>152</v>
      </c>
      <c r="BH213" s="26">
        <f t="shared" si="123"/>
        <v>0</v>
      </c>
      <c r="BI213" s="26">
        <f t="shared" si="124"/>
        <v>0</v>
      </c>
      <c r="BJ213" s="26">
        <f t="shared" si="125"/>
        <v>0</v>
      </c>
      <c r="BK213" s="26">
        <f t="shared" si="126"/>
        <v>0</v>
      </c>
      <c r="BL213" s="34">
        <f t="shared" si="129"/>
        <v>0</v>
      </c>
      <c r="BM213" s="35">
        <f t="shared" si="128"/>
        <v>0</v>
      </c>
    </row>
    <row r="214" spans="1:65" x14ac:dyDescent="0.35">
      <c r="A214" s="18">
        <v>213</v>
      </c>
      <c r="B214" s="17" t="s">
        <v>439</v>
      </c>
      <c r="C214" s="3" t="s">
        <v>213</v>
      </c>
      <c r="D214" s="18" t="s">
        <v>7</v>
      </c>
      <c r="E214" s="18" t="s">
        <v>152</v>
      </c>
      <c r="F214" s="18">
        <v>0</v>
      </c>
      <c r="G214" s="18">
        <v>0</v>
      </c>
      <c r="H214" s="18">
        <v>0</v>
      </c>
      <c r="I214" s="3" t="s">
        <v>152</v>
      </c>
      <c r="J214" s="18">
        <v>0</v>
      </c>
      <c r="K214" s="18" t="s">
        <v>152</v>
      </c>
      <c r="L214" s="4" t="s">
        <v>152</v>
      </c>
      <c r="M214" s="18">
        <v>0</v>
      </c>
      <c r="N214" s="4">
        <v>0</v>
      </c>
      <c r="O214" s="18">
        <v>0</v>
      </c>
      <c r="P214" s="4">
        <v>0</v>
      </c>
      <c r="Q214" s="18">
        <v>0</v>
      </c>
      <c r="R214" s="4">
        <v>0</v>
      </c>
      <c r="S214" s="5">
        <f t="shared" si="107"/>
        <v>0</v>
      </c>
      <c r="T214" s="15">
        <f t="shared" si="108"/>
        <v>0</v>
      </c>
      <c r="U214" s="5">
        <f t="shared" si="109"/>
        <v>0</v>
      </c>
      <c r="V214" s="26">
        <f t="shared" si="110"/>
        <v>0</v>
      </c>
      <c r="W214" s="26">
        <f t="shared" si="111"/>
        <v>0</v>
      </c>
      <c r="X214" s="26">
        <f t="shared" si="112"/>
        <v>0</v>
      </c>
      <c r="Y214" s="26">
        <f t="shared" si="113"/>
        <v>0</v>
      </c>
      <c r="Z214" s="26">
        <f t="shared" si="114"/>
        <v>0</v>
      </c>
      <c r="AA214" s="18">
        <v>0</v>
      </c>
      <c r="AB214" s="18" t="s">
        <v>152</v>
      </c>
      <c r="AC214" s="4" t="s">
        <v>152</v>
      </c>
      <c r="AD214" s="18" t="s">
        <v>152</v>
      </c>
      <c r="AE214" s="4" t="s">
        <v>152</v>
      </c>
      <c r="AF214" s="18" t="s">
        <v>152</v>
      </c>
      <c r="AG214" s="4" t="s">
        <v>152</v>
      </c>
      <c r="AH214" s="28">
        <f t="shared" si="115"/>
        <v>0</v>
      </c>
      <c r="AI214" s="4" t="str">
        <f>IFERROR(AC214+AE214,"na")</f>
        <v>na</v>
      </c>
      <c r="AJ214" s="26" t="str">
        <f t="shared" si="127"/>
        <v>na</v>
      </c>
      <c r="AK214" s="26" t="str">
        <f t="shared" si="116"/>
        <v>na</v>
      </c>
      <c r="AL214" s="14">
        <v>72000</v>
      </c>
      <c r="AM214" s="14">
        <v>0</v>
      </c>
      <c r="AN214" s="12">
        <f t="shared" si="117"/>
        <v>-72000</v>
      </c>
      <c r="AO214" s="12">
        <f t="shared" si="118"/>
        <v>72000</v>
      </c>
      <c r="AP214" s="8">
        <v>0</v>
      </c>
      <c r="AQ214" s="8">
        <v>3213000</v>
      </c>
      <c r="AR214" s="13">
        <f t="shared" si="119"/>
        <v>3213000</v>
      </c>
      <c r="AS214" s="13">
        <f t="shared" si="120"/>
        <v>3213000</v>
      </c>
      <c r="AT214" s="5" t="str">
        <f t="shared" si="131"/>
        <v>na</v>
      </c>
      <c r="AU214" s="5">
        <f t="shared" si="132"/>
        <v>0</v>
      </c>
      <c r="AV214" s="5" t="str">
        <f t="shared" si="121"/>
        <v>na</v>
      </c>
      <c r="AW214" s="5" t="str">
        <f t="shared" si="122"/>
        <v>na</v>
      </c>
      <c r="AX214" s="5">
        <f t="shared" si="133"/>
        <v>2.2408963585434174E-2</v>
      </c>
      <c r="AY214" s="10" t="str">
        <f t="shared" si="134"/>
        <v>na</v>
      </c>
      <c r="AZ214" s="24" t="s">
        <v>152</v>
      </c>
      <c r="BA214" s="29" t="s">
        <v>152</v>
      </c>
      <c r="BB214" s="24" t="s">
        <v>152</v>
      </c>
      <c r="BC214" s="29" t="s">
        <v>152</v>
      </c>
      <c r="BD214" s="24" t="s">
        <v>152</v>
      </c>
      <c r="BE214" s="29" t="s">
        <v>152</v>
      </c>
      <c r="BF214" s="24" t="s">
        <v>152</v>
      </c>
      <c r="BG214" s="29" t="s">
        <v>152</v>
      </c>
      <c r="BH214" s="26">
        <f t="shared" si="123"/>
        <v>0</v>
      </c>
      <c r="BI214" s="26">
        <f t="shared" si="124"/>
        <v>0</v>
      </c>
      <c r="BJ214" s="26">
        <f t="shared" si="125"/>
        <v>0</v>
      </c>
      <c r="BK214" s="26">
        <f t="shared" si="126"/>
        <v>0</v>
      </c>
      <c r="BL214" s="34">
        <f t="shared" si="129"/>
        <v>0</v>
      </c>
      <c r="BM214" s="35">
        <f t="shared" si="128"/>
        <v>0</v>
      </c>
    </row>
    <row r="215" spans="1:65" x14ac:dyDescent="0.35">
      <c r="A215" s="18">
        <v>214</v>
      </c>
      <c r="B215" s="17" t="s">
        <v>440</v>
      </c>
      <c r="C215" s="3" t="s">
        <v>142</v>
      </c>
      <c r="D215" s="18" t="s">
        <v>7</v>
      </c>
      <c r="E215" s="18" t="s">
        <v>2</v>
      </c>
      <c r="F215" s="18">
        <v>0</v>
      </c>
      <c r="G215" s="18">
        <v>0</v>
      </c>
      <c r="H215" s="18">
        <v>1</v>
      </c>
      <c r="I215" s="18">
        <v>2017</v>
      </c>
      <c r="J215" s="18">
        <v>0</v>
      </c>
      <c r="K215" s="18" t="s">
        <v>152</v>
      </c>
      <c r="L215" s="4" t="s">
        <v>152</v>
      </c>
      <c r="M215" s="18">
        <v>4</v>
      </c>
      <c r="N215" s="4">
        <v>1200000000</v>
      </c>
      <c r="O215" s="18">
        <v>1</v>
      </c>
      <c r="P215" s="4">
        <v>510000000</v>
      </c>
      <c r="Q215" s="18">
        <v>5</v>
      </c>
      <c r="R215" s="4">
        <v>1710000000</v>
      </c>
      <c r="S215" s="5">
        <f t="shared" si="107"/>
        <v>0</v>
      </c>
      <c r="T215" s="15">
        <f t="shared" si="108"/>
        <v>0</v>
      </c>
      <c r="U215" s="5">
        <f t="shared" si="109"/>
        <v>0</v>
      </c>
      <c r="V215" s="26">
        <f t="shared" si="110"/>
        <v>8.9376820121701438E-4</v>
      </c>
      <c r="W215" s="26">
        <f t="shared" si="111"/>
        <v>6.4139648363810149E-4</v>
      </c>
      <c r="X215" s="26">
        <f t="shared" si="112"/>
        <v>7.9801010812803629E-4</v>
      </c>
      <c r="Y215" s="26">
        <f t="shared" si="113"/>
        <v>100588235.29411764</v>
      </c>
      <c r="Z215" s="26">
        <f t="shared" si="114"/>
        <v>0</v>
      </c>
      <c r="AA215" s="18">
        <v>0</v>
      </c>
      <c r="AB215" s="18" t="s">
        <v>152</v>
      </c>
      <c r="AC215" s="4" t="s">
        <v>152</v>
      </c>
      <c r="AD215" s="18" t="s">
        <v>152</v>
      </c>
      <c r="AE215" s="4" t="s">
        <v>152</v>
      </c>
      <c r="AF215" s="18" t="s">
        <v>152</v>
      </c>
      <c r="AG215" s="4" t="s">
        <v>152</v>
      </c>
      <c r="AH215" s="28">
        <f t="shared" si="115"/>
        <v>0</v>
      </c>
      <c r="AI215" s="4" t="str">
        <f>IFERROR(AC215+AE215,"na")</f>
        <v>na</v>
      </c>
      <c r="AJ215" s="26" t="str">
        <f t="shared" si="127"/>
        <v>na</v>
      </c>
      <c r="AK215" s="26" t="str">
        <f t="shared" si="116"/>
        <v>na</v>
      </c>
      <c r="AL215" s="14">
        <v>2821134000</v>
      </c>
      <c r="AM215" s="14">
        <v>864442000</v>
      </c>
      <c r="AN215" s="12">
        <f t="shared" si="117"/>
        <v>-1956692000</v>
      </c>
      <c r="AO215" s="12">
        <f t="shared" si="118"/>
        <v>3685576000</v>
      </c>
      <c r="AP215" s="8">
        <v>10252621000</v>
      </c>
      <c r="AQ215" s="8">
        <v>1575635000</v>
      </c>
      <c r="AR215" s="13">
        <f t="shared" si="119"/>
        <v>-8676986000</v>
      </c>
      <c r="AS215" s="13">
        <f t="shared" si="120"/>
        <v>11828256000</v>
      </c>
      <c r="AT215" s="5">
        <f t="shared" si="131"/>
        <v>0.27516222437169968</v>
      </c>
      <c r="AU215" s="5">
        <f t="shared" si="132"/>
        <v>0.54863086945897999</v>
      </c>
      <c r="AV215" s="5">
        <f t="shared" si="121"/>
        <v>4.1033957623180586E-3</v>
      </c>
      <c r="AW215" s="5">
        <f t="shared" si="122"/>
        <v>7.6156253452309324E-4</v>
      </c>
      <c r="AX215" s="5">
        <f t="shared" si="133"/>
        <v>0.31159082116585912</v>
      </c>
      <c r="AY215" s="10" t="str">
        <f t="shared" si="134"/>
        <v>na</v>
      </c>
      <c r="AZ215" s="24">
        <v>74</v>
      </c>
      <c r="BA215" s="19">
        <v>1749062255.0303748</v>
      </c>
      <c r="BB215" s="17">
        <v>68</v>
      </c>
      <c r="BC215" s="19">
        <v>1244849858.1868131</v>
      </c>
      <c r="BD215" s="17">
        <v>4</v>
      </c>
      <c r="BE215" s="19">
        <v>176213807.73125672</v>
      </c>
      <c r="BF215" s="17">
        <v>2</v>
      </c>
      <c r="BG215" s="19">
        <v>327998589.11230499</v>
      </c>
      <c r="BH215" s="26">
        <f t="shared" si="123"/>
        <v>0</v>
      </c>
      <c r="BI215" s="26">
        <f t="shared" si="124"/>
        <v>0</v>
      </c>
      <c r="BJ215" s="26">
        <f t="shared" si="125"/>
        <v>0</v>
      </c>
      <c r="BK215" s="26">
        <f t="shared" si="126"/>
        <v>0</v>
      </c>
      <c r="BL215" s="34">
        <f t="shared" si="129"/>
        <v>102886015.00178675</v>
      </c>
      <c r="BM215" s="35">
        <f t="shared" si="128"/>
        <v>0</v>
      </c>
    </row>
    <row r="216" spans="1:65" x14ac:dyDescent="0.35">
      <c r="A216" s="18">
        <v>215</v>
      </c>
      <c r="B216" s="17" t="s">
        <v>441</v>
      </c>
      <c r="C216" s="3" t="s">
        <v>126</v>
      </c>
      <c r="D216" s="18" t="s">
        <v>9</v>
      </c>
      <c r="E216" s="18" t="s">
        <v>10</v>
      </c>
      <c r="F216" s="18">
        <v>0</v>
      </c>
      <c r="G216" s="18">
        <v>0</v>
      </c>
      <c r="H216" s="18">
        <v>1</v>
      </c>
      <c r="I216" s="18">
        <v>2018</v>
      </c>
      <c r="J216" s="18">
        <v>0</v>
      </c>
      <c r="K216" s="18" t="s">
        <v>152</v>
      </c>
      <c r="L216" s="4">
        <v>23308688906.12878</v>
      </c>
      <c r="M216" s="18">
        <v>19</v>
      </c>
      <c r="N216" s="4">
        <v>5820000000</v>
      </c>
      <c r="O216" s="18">
        <v>30</v>
      </c>
      <c r="P216" s="4">
        <v>10800000000</v>
      </c>
      <c r="Q216" s="18">
        <v>49</v>
      </c>
      <c r="R216" s="4">
        <v>16620000000</v>
      </c>
      <c r="S216" s="5">
        <f t="shared" si="107"/>
        <v>0.24969229386684597</v>
      </c>
      <c r="T216" s="5">
        <f t="shared" si="108"/>
        <v>0.46334652470136367</v>
      </c>
      <c r="U216" s="5">
        <f t="shared" si="109"/>
        <v>0.71303881856820961</v>
      </c>
      <c r="V216" s="26">
        <f t="shared" si="110"/>
        <v>4.3347757759025201E-3</v>
      </c>
      <c r="W216" s="26">
        <f t="shared" si="111"/>
        <v>1.3582513771159795E-2</v>
      </c>
      <c r="X216" s="26">
        <f t="shared" si="112"/>
        <v>7.7560982439110896E-3</v>
      </c>
      <c r="Y216" s="26">
        <f t="shared" si="113"/>
        <v>977647058.82352936</v>
      </c>
      <c r="Z216" s="26">
        <f t="shared" si="114"/>
        <v>4.1943459915777033E-2</v>
      </c>
      <c r="AA216" s="18">
        <v>0</v>
      </c>
      <c r="AB216" s="18" t="s">
        <v>152</v>
      </c>
      <c r="AC216" s="4" t="s">
        <v>152</v>
      </c>
      <c r="AD216" s="18" t="s">
        <v>152</v>
      </c>
      <c r="AE216" s="4" t="s">
        <v>152</v>
      </c>
      <c r="AF216" s="18" t="s">
        <v>152</v>
      </c>
      <c r="AG216" s="4" t="s">
        <v>152</v>
      </c>
      <c r="AH216" s="28">
        <f t="shared" si="115"/>
        <v>0</v>
      </c>
      <c r="AI216" s="4" t="str">
        <f>IFERROR(AC216+AE216,"na")</f>
        <v>na</v>
      </c>
      <c r="AJ216" s="26" t="str">
        <f t="shared" si="127"/>
        <v>na</v>
      </c>
      <c r="AK216" s="26" t="str">
        <f t="shared" si="116"/>
        <v>na</v>
      </c>
      <c r="AL216" s="4">
        <v>1019957000</v>
      </c>
      <c r="AM216" s="4">
        <v>1506024000</v>
      </c>
      <c r="AN216" s="12">
        <f t="shared" si="117"/>
        <v>486067000</v>
      </c>
      <c r="AO216" s="12">
        <f t="shared" si="118"/>
        <v>2525981000</v>
      </c>
      <c r="AP216" s="8">
        <v>7226897000</v>
      </c>
      <c r="AQ216" s="8">
        <v>6962507000</v>
      </c>
      <c r="AR216" s="13">
        <f t="shared" si="119"/>
        <v>-264390000</v>
      </c>
      <c r="AS216" s="13">
        <f t="shared" si="120"/>
        <v>14189404000</v>
      </c>
      <c r="AT216" s="5">
        <f t="shared" si="131"/>
        <v>0.14113346295097329</v>
      </c>
      <c r="AU216" s="5">
        <f t="shared" si="132"/>
        <v>0.21630484536676228</v>
      </c>
      <c r="AV216" s="5">
        <f t="shared" si="121"/>
        <v>2.8924134155070289E-3</v>
      </c>
      <c r="AW216" s="5">
        <f t="shared" si="122"/>
        <v>3.3652365411753218E-3</v>
      </c>
      <c r="AX216" s="5">
        <f t="shared" si="133"/>
        <v>0.17801882305979871</v>
      </c>
      <c r="AY216" s="10">
        <f t="shared" si="134"/>
        <v>0.10837078868626623</v>
      </c>
      <c r="AZ216" s="24">
        <v>167</v>
      </c>
      <c r="BA216" s="19">
        <v>9911112078.2602673</v>
      </c>
      <c r="BB216" s="17">
        <v>116</v>
      </c>
      <c r="BC216" s="19">
        <v>2841730205.5317831</v>
      </c>
      <c r="BD216" s="17">
        <v>36</v>
      </c>
      <c r="BE216" s="19">
        <v>4926950738.8012905</v>
      </c>
      <c r="BF216" s="17">
        <v>15</v>
      </c>
      <c r="BG216" s="19">
        <v>2142431133.9271944</v>
      </c>
      <c r="BH216" s="26">
        <f t="shared" si="123"/>
        <v>0.42521104975811153</v>
      </c>
      <c r="BI216" s="26">
        <f t="shared" si="124"/>
        <v>0.12191720508074477</v>
      </c>
      <c r="BJ216" s="26">
        <f t="shared" si="125"/>
        <v>0.21137828724059204</v>
      </c>
      <c r="BK216" s="26">
        <f t="shared" si="126"/>
        <v>9.191555743677475E-2</v>
      </c>
      <c r="BL216" s="34">
        <f t="shared" si="129"/>
        <v>583006592.83883929</v>
      </c>
      <c r="BM216" s="35">
        <f t="shared" si="128"/>
        <v>2.5012414691653623E-2</v>
      </c>
    </row>
    <row r="217" spans="1:65" x14ac:dyDescent="0.35">
      <c r="A217" s="18">
        <v>216</v>
      </c>
      <c r="B217" s="17" t="s">
        <v>442</v>
      </c>
      <c r="C217" s="3" t="s">
        <v>127</v>
      </c>
      <c r="D217" s="17" t="s">
        <v>9</v>
      </c>
      <c r="E217" s="17" t="s">
        <v>10</v>
      </c>
      <c r="F217" s="18">
        <v>0</v>
      </c>
      <c r="G217" s="18">
        <v>0</v>
      </c>
      <c r="H217" s="18">
        <v>1</v>
      </c>
      <c r="I217" s="18">
        <v>2018</v>
      </c>
      <c r="J217" s="18">
        <v>0</v>
      </c>
      <c r="K217" s="18" t="s">
        <v>152</v>
      </c>
      <c r="L217" s="4">
        <v>16932434838.692844</v>
      </c>
      <c r="M217" s="18">
        <v>9</v>
      </c>
      <c r="N217" s="4">
        <v>1690000000</v>
      </c>
      <c r="O217" s="18">
        <v>15</v>
      </c>
      <c r="P217" s="4">
        <v>8580000000</v>
      </c>
      <c r="Q217" s="18">
        <v>24</v>
      </c>
      <c r="R217" s="4">
        <v>10270000000</v>
      </c>
      <c r="S217" s="5">
        <f t="shared" si="107"/>
        <v>9.9808445512994226E-2</v>
      </c>
      <c r="T217" s="15">
        <f t="shared" si="108"/>
        <v>0.50671980029673991</v>
      </c>
      <c r="U217" s="5">
        <f t="shared" si="109"/>
        <v>0.60652824580973419</v>
      </c>
      <c r="V217" s="26">
        <f t="shared" si="110"/>
        <v>1.2587235500472953E-3</v>
      </c>
      <c r="W217" s="26">
        <f t="shared" si="111"/>
        <v>1.0790552607088061E-2</v>
      </c>
      <c r="X217" s="26">
        <f t="shared" si="112"/>
        <v>4.7927273745467444E-3</v>
      </c>
      <c r="Y217" s="26">
        <f t="shared" si="113"/>
        <v>604117647.05882359</v>
      </c>
      <c r="Z217" s="26">
        <f t="shared" si="114"/>
        <v>3.5678132106454957E-2</v>
      </c>
      <c r="AA217" s="18">
        <v>0</v>
      </c>
      <c r="AB217" s="18" t="s">
        <v>152</v>
      </c>
      <c r="AC217" s="4" t="s">
        <v>152</v>
      </c>
      <c r="AD217" s="18" t="s">
        <v>152</v>
      </c>
      <c r="AE217" s="4" t="s">
        <v>152</v>
      </c>
      <c r="AF217" s="18" t="s">
        <v>152</v>
      </c>
      <c r="AG217" s="4" t="s">
        <v>152</v>
      </c>
      <c r="AH217" s="28">
        <f t="shared" si="115"/>
        <v>0</v>
      </c>
      <c r="AI217" s="4" t="str">
        <f>IFERROR(AC217+AE217,"na")</f>
        <v>na</v>
      </c>
      <c r="AJ217" s="26" t="str">
        <f t="shared" si="127"/>
        <v>na</v>
      </c>
      <c r="AK217" s="26" t="str">
        <f t="shared" si="116"/>
        <v>na</v>
      </c>
      <c r="AL217" s="4">
        <v>411593000</v>
      </c>
      <c r="AM217" s="4">
        <v>3247000</v>
      </c>
      <c r="AN217" s="12">
        <f t="shared" si="117"/>
        <v>-408346000</v>
      </c>
      <c r="AO217" s="12">
        <f t="shared" si="118"/>
        <v>414840000</v>
      </c>
      <c r="AP217" s="8">
        <v>4793889000</v>
      </c>
      <c r="AQ217" s="8">
        <v>4279384000</v>
      </c>
      <c r="AR217" s="13">
        <f t="shared" si="119"/>
        <v>-514505000</v>
      </c>
      <c r="AS217" s="13">
        <f t="shared" si="120"/>
        <v>9073273000</v>
      </c>
      <c r="AT217" s="5">
        <f t="shared" si="131"/>
        <v>8.5857849441236547E-2</v>
      </c>
      <c r="AU217" s="5">
        <f t="shared" si="132"/>
        <v>7.5875406366897661E-4</v>
      </c>
      <c r="AV217" s="5">
        <f t="shared" si="121"/>
        <v>1.9186531724544539E-3</v>
      </c>
      <c r="AW217" s="5">
        <f t="shared" si="122"/>
        <v>2.0683841912864168E-3</v>
      </c>
      <c r="AX217" s="5">
        <f t="shared" si="133"/>
        <v>4.5721097557628876E-2</v>
      </c>
      <c r="AY217" s="10">
        <f t="shared" si="134"/>
        <v>2.4499725169592028E-2</v>
      </c>
      <c r="AZ217" s="24">
        <v>204</v>
      </c>
      <c r="BA217" s="19">
        <v>17281064864.699394</v>
      </c>
      <c r="BB217" s="17">
        <v>141</v>
      </c>
      <c r="BC217" s="19">
        <v>8254176990.2777405</v>
      </c>
      <c r="BD217" s="17">
        <v>52</v>
      </c>
      <c r="BE217" s="19">
        <v>8899474794.6103668</v>
      </c>
      <c r="BF217" s="17">
        <v>11</v>
      </c>
      <c r="BG217" s="19">
        <v>127413079.81127936</v>
      </c>
      <c r="BH217" s="26">
        <f t="shared" si="123"/>
        <v>1.0205894798549517</v>
      </c>
      <c r="BI217" s="26">
        <f t="shared" si="124"/>
        <v>0.48747726295192106</v>
      </c>
      <c r="BJ217" s="26">
        <f t="shared" si="125"/>
        <v>0.52558742315510909</v>
      </c>
      <c r="BK217" s="26">
        <f t="shared" si="126"/>
        <v>7.524793747921219E-3</v>
      </c>
      <c r="BL217" s="34">
        <f t="shared" si="129"/>
        <v>1016533227.3352585</v>
      </c>
      <c r="BM217" s="35">
        <f t="shared" si="128"/>
        <v>6.0034675285585398E-2</v>
      </c>
    </row>
  </sheetData>
  <autoFilter ref="A1:BM217" xr:uid="{24936037-8A22-44DA-A584-B23208605FDD}"/>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2BAE-F289-4EC5-8FB3-5C924CD3B16C}">
  <dimension ref="A1:BM217"/>
  <sheetViews>
    <sheetView tabSelected="1" topLeftCell="R1" zoomScale="55" zoomScaleNormal="55" workbookViewId="0">
      <selection activeCell="X5" sqref="X5"/>
    </sheetView>
  </sheetViews>
  <sheetFormatPr baseColWidth="10" defaultRowHeight="14.5" x14ac:dyDescent="0.35"/>
  <cols>
    <col min="1" max="1" width="7.81640625" style="32" bestFit="1" customWidth="1"/>
    <col min="2" max="2" width="15.54296875" style="32" bestFit="1" customWidth="1"/>
    <col min="3" max="3" width="40.08984375" style="32" bestFit="1" customWidth="1"/>
    <col min="4" max="4" width="26.90625" style="32" bestFit="1" customWidth="1"/>
    <col min="5" max="5" width="21.453125" style="32" bestFit="1" customWidth="1"/>
    <col min="6" max="6" width="21.08984375" style="32" bestFit="1" customWidth="1"/>
    <col min="7" max="7" width="9.54296875" style="32" bestFit="1" customWidth="1"/>
    <col min="8" max="8" width="10.90625" style="32" bestFit="1" customWidth="1"/>
    <col min="9" max="9" width="12.7265625" style="32" bestFit="1" customWidth="1"/>
    <col min="10" max="10" width="21.54296875" style="32" bestFit="1" customWidth="1"/>
    <col min="11" max="11" width="19.08984375" style="32" bestFit="1" customWidth="1"/>
    <col min="12" max="12" width="20.90625" style="32" bestFit="1" customWidth="1"/>
    <col min="13" max="13" width="14.26953125" style="32" bestFit="1" customWidth="1"/>
    <col min="14" max="14" width="23.1796875" style="32" bestFit="1" customWidth="1"/>
    <col min="15" max="15" width="13.81640625" style="32" bestFit="1" customWidth="1"/>
    <col min="16" max="16" width="22.7265625" style="32" bestFit="1" customWidth="1"/>
    <col min="17" max="17" width="15.453125" style="32" bestFit="1" customWidth="1"/>
    <col min="18" max="18" width="25.453125" style="19" bestFit="1" customWidth="1"/>
    <col min="19" max="19" width="21.81640625" style="32" bestFit="1" customWidth="1"/>
    <col min="20" max="20" width="21.36328125" style="32" bestFit="1" customWidth="1"/>
    <col min="21" max="21" width="23.81640625" style="32" bestFit="1" customWidth="1"/>
    <col min="22" max="22" width="19.08984375" style="32" bestFit="1" customWidth="1"/>
    <col min="23" max="23" width="18.36328125" style="32" bestFit="1" customWidth="1"/>
    <col min="24" max="24" width="21.08984375" style="32" bestFit="1" customWidth="1"/>
    <col min="25" max="25" width="17.453125" style="32" bestFit="1" customWidth="1"/>
    <col min="26" max="26" width="20.81640625" style="32" bestFit="1" customWidth="1"/>
    <col min="27" max="27" width="18.36328125" style="32" bestFit="1" customWidth="1"/>
    <col min="28" max="28" width="29.54296875" style="32" bestFit="1" customWidth="1"/>
    <col min="29" max="29" width="28.6328125" style="32" bestFit="1" customWidth="1"/>
    <col min="30" max="30" width="29.7265625" style="32" bestFit="1" customWidth="1"/>
    <col min="31" max="31" width="28.81640625" style="32" bestFit="1" customWidth="1"/>
    <col min="32" max="32" width="29.7265625" style="32" bestFit="1" customWidth="1"/>
    <col min="33" max="33" width="28.81640625" style="32" bestFit="1" customWidth="1"/>
    <col min="34" max="34" width="23.1796875" style="32" bestFit="1" customWidth="1"/>
    <col min="35" max="35" width="22.26953125" style="32" bestFit="1" customWidth="1"/>
    <col min="36" max="36" width="20.90625" style="32" bestFit="1" customWidth="1"/>
    <col min="37" max="37" width="17.90625" style="32" bestFit="1" customWidth="1"/>
    <col min="38" max="41" width="18.453125" style="32" bestFit="1" customWidth="1"/>
    <col min="42" max="43" width="19.90625" style="32" bestFit="1" customWidth="1"/>
    <col min="44" max="44" width="18.453125" style="32" bestFit="1" customWidth="1"/>
    <col min="45" max="45" width="19.90625" style="32" bestFit="1" customWidth="1"/>
    <col min="46" max="46" width="17.26953125" style="32" bestFit="1" customWidth="1"/>
    <col min="47" max="47" width="17" style="32" bestFit="1" customWidth="1"/>
    <col min="48" max="48" width="28.81640625" style="32" bestFit="1" customWidth="1"/>
    <col min="49" max="49" width="28.6328125" style="32" bestFit="1" customWidth="1"/>
    <col min="50" max="50" width="14.26953125" style="32" bestFit="1" customWidth="1"/>
    <col min="51" max="51" width="20.90625" style="32" bestFit="1" customWidth="1"/>
    <col min="52" max="52" width="25.453125" style="32" bestFit="1" customWidth="1"/>
    <col min="53" max="53" width="24.26953125" style="32" bestFit="1" customWidth="1"/>
    <col min="54" max="54" width="16.81640625" style="32" bestFit="1" customWidth="1"/>
    <col min="55" max="55" width="17.453125" style="32" bestFit="1" customWidth="1"/>
    <col min="56" max="56" width="15.90625" style="32" bestFit="1" customWidth="1"/>
    <col min="57" max="57" width="18.453125" style="32" bestFit="1" customWidth="1"/>
    <col min="58" max="58" width="19.54296875" style="32" bestFit="1" customWidth="1"/>
    <col min="59" max="59" width="18.36328125" style="32" bestFit="1" customWidth="1"/>
    <col min="60" max="60" width="22.90625" style="32" bestFit="1" customWidth="1"/>
    <col min="61" max="61" width="14.54296875" style="32" bestFit="1" customWidth="1"/>
    <col min="62" max="62" width="14.08984375" style="32" bestFit="1" customWidth="1"/>
    <col min="63" max="63" width="17" style="32" bestFit="1" customWidth="1"/>
    <col min="64" max="64" width="14.36328125" style="17" bestFit="1" customWidth="1"/>
    <col min="65" max="65" width="20.36328125" style="18" bestFit="1" customWidth="1"/>
    <col min="66" max="16384" width="10.90625" style="32"/>
  </cols>
  <sheetData>
    <row r="1" spans="1:65" x14ac:dyDescent="0.35">
      <c r="A1" s="33" t="s">
        <v>151</v>
      </c>
      <c r="B1" s="33" t="s">
        <v>443</v>
      </c>
      <c r="C1" s="33" t="s">
        <v>128</v>
      </c>
      <c r="D1" s="33" t="s">
        <v>129</v>
      </c>
      <c r="E1" s="33" t="s">
        <v>130</v>
      </c>
      <c r="F1" s="33" t="s">
        <v>238</v>
      </c>
      <c r="G1" s="33" t="s">
        <v>241</v>
      </c>
      <c r="H1" s="33" t="s">
        <v>150</v>
      </c>
      <c r="I1" s="33" t="s">
        <v>131</v>
      </c>
      <c r="J1" s="33" t="s">
        <v>218</v>
      </c>
      <c r="K1" s="33" t="s">
        <v>217</v>
      </c>
      <c r="L1" s="33" t="s">
        <v>216</v>
      </c>
      <c r="M1" s="33" t="s">
        <v>233</v>
      </c>
      <c r="N1" s="36" t="s">
        <v>482</v>
      </c>
      <c r="O1" s="36" t="s">
        <v>234</v>
      </c>
      <c r="P1" s="36" t="s">
        <v>483</v>
      </c>
      <c r="Q1" s="36" t="s">
        <v>235</v>
      </c>
      <c r="R1" s="42" t="s">
        <v>236</v>
      </c>
      <c r="S1" s="36" t="s">
        <v>516</v>
      </c>
      <c r="T1" s="36" t="s">
        <v>515</v>
      </c>
      <c r="U1" s="36" t="s">
        <v>514</v>
      </c>
      <c r="V1" s="36" t="s">
        <v>523</v>
      </c>
      <c r="W1" s="36" t="s">
        <v>522</v>
      </c>
      <c r="X1" s="36" t="s">
        <v>513</v>
      </c>
      <c r="Y1" s="36" t="s">
        <v>528</v>
      </c>
      <c r="Z1" s="36" t="s">
        <v>529</v>
      </c>
      <c r="AA1" s="36" t="s">
        <v>228</v>
      </c>
      <c r="AB1" s="36" t="s">
        <v>226</v>
      </c>
      <c r="AC1" s="36" t="s">
        <v>485</v>
      </c>
      <c r="AD1" s="36" t="s">
        <v>225</v>
      </c>
      <c r="AE1" s="36" t="s">
        <v>486</v>
      </c>
      <c r="AF1" s="36" t="s">
        <v>488</v>
      </c>
      <c r="AG1" s="36" t="s">
        <v>487</v>
      </c>
      <c r="AH1" s="36" t="s">
        <v>497</v>
      </c>
      <c r="AI1" s="36" t="s">
        <v>229</v>
      </c>
      <c r="AJ1" s="36" t="s">
        <v>511</v>
      </c>
      <c r="AK1" s="36" t="s">
        <v>512</v>
      </c>
      <c r="AL1" s="36" t="s">
        <v>499</v>
      </c>
      <c r="AM1" s="36" t="s">
        <v>500</v>
      </c>
      <c r="AN1" s="36" t="s">
        <v>501</v>
      </c>
      <c r="AO1" s="36" t="s">
        <v>502</v>
      </c>
      <c r="AP1" s="36" t="s">
        <v>503</v>
      </c>
      <c r="AQ1" s="36" t="s">
        <v>504</v>
      </c>
      <c r="AR1" s="36" t="s">
        <v>505</v>
      </c>
      <c r="AS1" s="36" t="s">
        <v>506</v>
      </c>
      <c r="AT1" s="36" t="s">
        <v>507</v>
      </c>
      <c r="AU1" s="36" t="s">
        <v>508</v>
      </c>
      <c r="AV1" s="37" t="s">
        <v>531</v>
      </c>
      <c r="AW1" s="37" t="s">
        <v>532</v>
      </c>
      <c r="AX1" s="36" t="s">
        <v>509</v>
      </c>
      <c r="AY1" s="36" t="s">
        <v>521</v>
      </c>
      <c r="AZ1" s="36" t="s">
        <v>489</v>
      </c>
      <c r="BA1" s="36" t="s">
        <v>490</v>
      </c>
      <c r="BB1" s="36" t="s">
        <v>494</v>
      </c>
      <c r="BC1" s="36" t="s">
        <v>491</v>
      </c>
      <c r="BD1" s="36" t="s">
        <v>492</v>
      </c>
      <c r="BE1" s="36" t="s">
        <v>493</v>
      </c>
      <c r="BF1" s="36" t="s">
        <v>495</v>
      </c>
      <c r="BG1" s="36" t="s">
        <v>496</v>
      </c>
      <c r="BH1" s="36" t="s">
        <v>520</v>
      </c>
      <c r="BI1" s="36" t="s">
        <v>519</v>
      </c>
      <c r="BJ1" s="36" t="s">
        <v>518</v>
      </c>
      <c r="BK1" s="36" t="s">
        <v>517</v>
      </c>
      <c r="BL1" s="38" t="s">
        <v>533</v>
      </c>
      <c r="BM1" s="38" t="s">
        <v>534</v>
      </c>
    </row>
    <row r="2" spans="1:65" x14ac:dyDescent="0.35">
      <c r="A2" s="39">
        <v>1</v>
      </c>
      <c r="B2" s="32" t="s">
        <v>242</v>
      </c>
      <c r="C2" s="32" t="s">
        <v>0</v>
      </c>
      <c r="D2" s="32" t="s">
        <v>1</v>
      </c>
      <c r="E2" s="32" t="s">
        <v>2</v>
      </c>
      <c r="F2" s="39">
        <v>2</v>
      </c>
      <c r="G2" s="39">
        <v>0</v>
      </c>
      <c r="H2" s="39">
        <v>1</v>
      </c>
      <c r="I2" s="39">
        <v>2013</v>
      </c>
      <c r="J2" s="39">
        <v>0</v>
      </c>
      <c r="K2" s="39" t="s">
        <v>152</v>
      </c>
      <c r="L2" s="39">
        <v>19291104007.613544</v>
      </c>
      <c r="M2" s="39">
        <v>2</v>
      </c>
      <c r="N2" s="39">
        <v>3270000000</v>
      </c>
      <c r="O2" s="39">
        <v>1</v>
      </c>
      <c r="P2" s="39">
        <v>210000000</v>
      </c>
      <c r="Q2" s="39">
        <v>3</v>
      </c>
      <c r="R2" s="19">
        <v>3480000000</v>
      </c>
      <c r="S2" s="39">
        <v>0.16950818360159386</v>
      </c>
      <c r="T2" s="39">
        <v>1.0885846653313368E-2</v>
      </c>
      <c r="U2" s="39">
        <v>0.18039403025490724</v>
      </c>
      <c r="V2" s="39">
        <v>2.4355183483163643E-3</v>
      </c>
      <c r="W2" s="39">
        <v>2.6410443443921825E-4</v>
      </c>
      <c r="X2" s="39">
        <v>1.6240205709272318E-3</v>
      </c>
      <c r="Y2" s="39">
        <v>204705882.35294119</v>
      </c>
      <c r="Z2" s="39">
        <v>1.0611413544406308E-2</v>
      </c>
      <c r="AA2" s="39">
        <v>1</v>
      </c>
      <c r="AB2" s="39">
        <v>0</v>
      </c>
      <c r="AC2" s="39">
        <v>0</v>
      </c>
      <c r="AD2" s="39">
        <v>0</v>
      </c>
      <c r="AE2" s="39">
        <v>0</v>
      </c>
      <c r="AF2" s="39">
        <v>0</v>
      </c>
      <c r="AG2" s="39">
        <v>0</v>
      </c>
      <c r="AH2" s="39">
        <v>0</v>
      </c>
      <c r="AI2" s="39">
        <v>0</v>
      </c>
      <c r="AJ2" s="39">
        <v>0</v>
      </c>
      <c r="AK2" s="39">
        <v>0</v>
      </c>
      <c r="AL2" s="19">
        <v>1156686</v>
      </c>
      <c r="AM2" s="19">
        <v>31002</v>
      </c>
      <c r="AN2" s="39">
        <v>-1125684</v>
      </c>
      <c r="AO2" s="39">
        <v>1187688</v>
      </c>
      <c r="AP2" s="39">
        <v>6776781000</v>
      </c>
      <c r="AQ2" s="39">
        <v>863833000</v>
      </c>
      <c r="AR2" s="39">
        <v>-5912948000</v>
      </c>
      <c r="AS2" s="39">
        <v>7640614000</v>
      </c>
      <c r="AT2" s="39">
        <v>1.7068369185901095E-4</v>
      </c>
      <c r="AU2" s="39">
        <v>3.5888881299973489E-5</v>
      </c>
      <c r="AV2" s="39">
        <v>2.7122639603626756E-3</v>
      </c>
      <c r="AW2" s="39">
        <v>4.1752236329142676E-4</v>
      </c>
      <c r="AX2" s="39">
        <v>1.5544405200943276E-4</v>
      </c>
      <c r="AY2" s="39">
        <v>6.1566616380859276E-5</v>
      </c>
      <c r="AZ2" s="39">
        <v>123</v>
      </c>
      <c r="BA2" s="39">
        <v>1522264756.7167196</v>
      </c>
      <c r="BB2" s="39">
        <v>113</v>
      </c>
      <c r="BC2" s="39">
        <v>1454135259.3851943</v>
      </c>
      <c r="BD2" s="39">
        <v>6</v>
      </c>
      <c r="BE2" s="39">
        <v>18129497.3315253</v>
      </c>
      <c r="BF2" s="39">
        <v>4</v>
      </c>
      <c r="BG2" s="39">
        <v>50000000</v>
      </c>
      <c r="BH2" s="39">
        <v>7.8910193844579007E-2</v>
      </c>
      <c r="BI2" s="39">
        <v>7.5378540223063256E-2</v>
      </c>
      <c r="BJ2" s="39">
        <v>9.3978537072684912E-4</v>
      </c>
      <c r="BK2" s="39">
        <v>2.5918682507888972E-3</v>
      </c>
      <c r="BL2" s="40">
        <v>89544985.689218804</v>
      </c>
      <c r="BM2" s="40">
        <v>4.6417761085046473E-3</v>
      </c>
    </row>
    <row r="3" spans="1:65" x14ac:dyDescent="0.35">
      <c r="A3" s="39">
        <v>2</v>
      </c>
      <c r="B3" s="32" t="s">
        <v>243</v>
      </c>
      <c r="C3" s="32" t="s">
        <v>3</v>
      </c>
      <c r="D3" s="32" t="s">
        <v>4</v>
      </c>
      <c r="E3" s="32" t="s">
        <v>5</v>
      </c>
      <c r="F3" s="39">
        <v>1</v>
      </c>
      <c r="G3" s="39">
        <v>0</v>
      </c>
      <c r="H3" s="39">
        <v>1</v>
      </c>
      <c r="I3" s="39">
        <v>2017</v>
      </c>
      <c r="J3" s="39">
        <v>0</v>
      </c>
      <c r="K3" s="39" t="s">
        <v>152</v>
      </c>
      <c r="L3" s="39">
        <v>15286612572.689501</v>
      </c>
      <c r="M3" s="39">
        <v>0</v>
      </c>
      <c r="N3" s="39">
        <v>0</v>
      </c>
      <c r="O3" s="39">
        <v>0</v>
      </c>
      <c r="P3" s="39">
        <v>0</v>
      </c>
      <c r="Q3" s="39">
        <v>0</v>
      </c>
      <c r="R3" s="19">
        <v>0</v>
      </c>
      <c r="S3" s="39">
        <v>0</v>
      </c>
      <c r="T3" s="39">
        <v>0</v>
      </c>
      <c r="U3" s="39">
        <v>0</v>
      </c>
      <c r="V3" s="39">
        <v>0</v>
      </c>
      <c r="W3" s="39">
        <v>0</v>
      </c>
      <c r="X3" s="39">
        <v>0</v>
      </c>
      <c r="Y3" s="39">
        <v>0</v>
      </c>
      <c r="Z3" s="39">
        <v>0</v>
      </c>
      <c r="AA3" s="39">
        <v>0</v>
      </c>
      <c r="AB3" s="39" t="s">
        <v>152</v>
      </c>
      <c r="AC3" s="39" t="s">
        <v>152</v>
      </c>
      <c r="AD3" s="39" t="s">
        <v>152</v>
      </c>
      <c r="AE3" s="39" t="s">
        <v>152</v>
      </c>
      <c r="AF3" s="39" t="s">
        <v>152</v>
      </c>
      <c r="AG3" s="39" t="s">
        <v>152</v>
      </c>
      <c r="AH3" s="39">
        <v>0</v>
      </c>
      <c r="AI3" s="39" t="s">
        <v>152</v>
      </c>
      <c r="AJ3" s="39" t="s">
        <v>152</v>
      </c>
      <c r="AK3" s="39" t="s">
        <v>152</v>
      </c>
      <c r="AL3" s="19">
        <v>543620000</v>
      </c>
      <c r="AM3" s="19">
        <v>56526000</v>
      </c>
      <c r="AN3" s="39">
        <v>-487094000</v>
      </c>
      <c r="AO3" s="39">
        <v>600146000</v>
      </c>
      <c r="AP3" s="39">
        <v>5908003000</v>
      </c>
      <c r="AQ3" s="39">
        <v>2719429000</v>
      </c>
      <c r="AR3" s="39">
        <v>-3188574000</v>
      </c>
      <c r="AS3" s="39">
        <v>8627432000</v>
      </c>
      <c r="AT3" s="39">
        <v>9.201417128596584E-2</v>
      </c>
      <c r="AU3" s="39">
        <v>2.0785981174724546E-2</v>
      </c>
      <c r="AV3" s="39">
        <v>2.364553851543169E-3</v>
      </c>
      <c r="AW3" s="39">
        <v>1.3144003793363317E-3</v>
      </c>
      <c r="AX3" s="39">
        <v>6.9562530310293955E-2</v>
      </c>
      <c r="AY3" s="39">
        <v>3.9259580704766386E-2</v>
      </c>
      <c r="AZ3" s="39">
        <v>47</v>
      </c>
      <c r="BA3" s="39">
        <v>665510361.43426514</v>
      </c>
      <c r="BB3" s="39">
        <v>30</v>
      </c>
      <c r="BC3" s="39">
        <v>27696475.729804792</v>
      </c>
      <c r="BD3" s="39">
        <v>15</v>
      </c>
      <c r="BE3" s="39">
        <v>551351018.66711462</v>
      </c>
      <c r="BF3" s="39">
        <v>2</v>
      </c>
      <c r="BG3" s="39">
        <v>86462867.037345707</v>
      </c>
      <c r="BH3" s="39">
        <v>4.3535502602011479E-2</v>
      </c>
      <c r="BI3" s="39">
        <v>1.8118124992116498E-3</v>
      </c>
      <c r="BJ3" s="39">
        <v>3.6067573247204422E-2</v>
      </c>
      <c r="BK3" s="39">
        <v>5.6561168555954036E-3</v>
      </c>
      <c r="BL3" s="40">
        <v>39147668.319662653</v>
      </c>
      <c r="BM3" s="40">
        <v>2.560911917765381E-3</v>
      </c>
    </row>
    <row r="4" spans="1:65" x14ac:dyDescent="0.35">
      <c r="A4" s="39">
        <v>3</v>
      </c>
      <c r="B4" s="32" t="s">
        <v>244</v>
      </c>
      <c r="C4" s="32" t="s">
        <v>6</v>
      </c>
      <c r="D4" s="32" t="s">
        <v>7</v>
      </c>
      <c r="E4" s="32" t="s">
        <v>10</v>
      </c>
      <c r="F4" s="39">
        <v>3</v>
      </c>
      <c r="G4" s="39">
        <v>0</v>
      </c>
      <c r="H4" s="39">
        <v>1</v>
      </c>
      <c r="I4" s="39">
        <v>2018</v>
      </c>
      <c r="J4" s="39">
        <v>0</v>
      </c>
      <c r="K4" s="39" t="s">
        <v>152</v>
      </c>
      <c r="L4" s="39">
        <v>171157803367.47278</v>
      </c>
      <c r="M4" s="39">
        <v>21</v>
      </c>
      <c r="N4" s="39">
        <v>16220000000</v>
      </c>
      <c r="O4" s="39">
        <v>19</v>
      </c>
      <c r="P4" s="39">
        <v>8390000000</v>
      </c>
      <c r="Q4" s="39">
        <v>40</v>
      </c>
      <c r="R4" s="19">
        <v>24610000000</v>
      </c>
      <c r="S4" s="39">
        <v>9.4766348252179583E-2</v>
      </c>
      <c r="T4" s="39">
        <v>4.9019091358556512E-2</v>
      </c>
      <c r="U4" s="39">
        <v>0.14378543961073609</v>
      </c>
      <c r="V4" s="39">
        <v>1.2080766853116645E-2</v>
      </c>
      <c r="W4" s="39">
        <v>1.0551600975928768E-2</v>
      </c>
      <c r="X4" s="39">
        <v>1.1484812140953786E-2</v>
      </c>
      <c r="Y4" s="39">
        <v>1447647058.8235295</v>
      </c>
      <c r="Z4" s="39">
        <v>8.4579670359256533E-3</v>
      </c>
      <c r="AA4" s="39">
        <v>2</v>
      </c>
      <c r="AB4" s="39">
        <v>0</v>
      </c>
      <c r="AC4" s="39">
        <v>0</v>
      </c>
      <c r="AD4" s="39">
        <v>0</v>
      </c>
      <c r="AE4" s="39">
        <v>0</v>
      </c>
      <c r="AF4" s="39">
        <v>0</v>
      </c>
      <c r="AG4" s="39">
        <v>0</v>
      </c>
      <c r="AH4" s="39">
        <v>0</v>
      </c>
      <c r="AI4" s="39">
        <v>0</v>
      </c>
      <c r="AJ4" s="39">
        <v>0</v>
      </c>
      <c r="AK4" s="39">
        <v>0</v>
      </c>
      <c r="AL4" s="19">
        <v>6945571000</v>
      </c>
      <c r="AM4" s="19">
        <v>1141660000</v>
      </c>
      <c r="AN4" s="39">
        <v>-5803911000</v>
      </c>
      <c r="AO4" s="39">
        <v>8087231000</v>
      </c>
      <c r="AP4" s="39">
        <v>42521470000</v>
      </c>
      <c r="AQ4" s="39">
        <v>36767788000</v>
      </c>
      <c r="AR4" s="39">
        <v>-5753682000</v>
      </c>
      <c r="AS4" s="39">
        <v>79289258000</v>
      </c>
      <c r="AT4" s="39">
        <v>0.16334268311984509</v>
      </c>
      <c r="AU4" s="39">
        <v>3.1050548920702001E-2</v>
      </c>
      <c r="AV4" s="39">
        <v>1.7018323393163025E-2</v>
      </c>
      <c r="AW4" s="39">
        <v>1.7771228627244111E-2</v>
      </c>
      <c r="AX4" s="39">
        <v>0.10199655292523989</v>
      </c>
      <c r="AY4" s="39">
        <v>4.7250144842282522E-2</v>
      </c>
      <c r="AZ4" s="39">
        <v>40</v>
      </c>
      <c r="BA4" s="39">
        <v>3648671293.308445</v>
      </c>
      <c r="BB4" s="39">
        <v>34</v>
      </c>
      <c r="BC4" s="39">
        <v>300781939.017712</v>
      </c>
      <c r="BD4" s="39">
        <v>5</v>
      </c>
      <c r="BE4" s="39">
        <v>3347889354.2907329</v>
      </c>
      <c r="BF4" s="39">
        <v>1</v>
      </c>
      <c r="BG4" s="39">
        <v>0</v>
      </c>
      <c r="BH4" s="39">
        <v>2.1317586586892635E-2</v>
      </c>
      <c r="BI4" s="39">
        <v>1.7573369901922526E-3</v>
      </c>
      <c r="BJ4" s="39">
        <v>1.9560249596700382E-2</v>
      </c>
      <c r="BK4" s="39">
        <v>0</v>
      </c>
      <c r="BL4" s="40">
        <v>214627723.13579088</v>
      </c>
      <c r="BM4" s="40">
        <v>1.2539756815819199E-3</v>
      </c>
    </row>
    <row r="5" spans="1:65" x14ac:dyDescent="0.35">
      <c r="A5" s="39">
        <v>4</v>
      </c>
      <c r="B5" s="32" t="s">
        <v>245</v>
      </c>
      <c r="C5" s="32" t="s">
        <v>189</v>
      </c>
      <c r="D5" s="32" t="s">
        <v>4</v>
      </c>
      <c r="E5" s="32" t="s">
        <v>13</v>
      </c>
      <c r="F5" s="39">
        <v>0</v>
      </c>
      <c r="G5" s="39">
        <v>0</v>
      </c>
      <c r="H5" s="39">
        <v>0</v>
      </c>
      <c r="I5" s="39" t="s">
        <v>152</v>
      </c>
      <c r="J5" s="39">
        <v>0</v>
      </c>
      <c r="K5" s="39" t="s">
        <v>152</v>
      </c>
      <c r="L5" s="39">
        <v>3155065487.5181909</v>
      </c>
      <c r="M5" s="39">
        <v>0</v>
      </c>
      <c r="N5" s="39">
        <v>0</v>
      </c>
      <c r="O5" s="39">
        <v>0</v>
      </c>
      <c r="P5" s="39">
        <v>0</v>
      </c>
      <c r="Q5" s="39">
        <v>0</v>
      </c>
      <c r="R5" s="19">
        <v>0</v>
      </c>
      <c r="S5" s="39">
        <v>0</v>
      </c>
      <c r="T5" s="39">
        <v>0</v>
      </c>
      <c r="U5" s="39">
        <v>0</v>
      </c>
      <c r="V5" s="39">
        <v>0</v>
      </c>
      <c r="W5" s="39">
        <v>0</v>
      </c>
      <c r="X5" s="39">
        <v>0</v>
      </c>
      <c r="Y5" s="39">
        <v>0</v>
      </c>
      <c r="Z5" s="39">
        <v>0</v>
      </c>
      <c r="AA5" s="39">
        <v>0</v>
      </c>
      <c r="AB5" s="39" t="s">
        <v>152</v>
      </c>
      <c r="AC5" s="39" t="s">
        <v>152</v>
      </c>
      <c r="AD5" s="39" t="s">
        <v>152</v>
      </c>
      <c r="AE5" s="39" t="s">
        <v>152</v>
      </c>
      <c r="AF5" s="39" t="s">
        <v>152</v>
      </c>
      <c r="AG5" s="39" t="s">
        <v>152</v>
      </c>
      <c r="AH5" s="39">
        <v>0</v>
      </c>
      <c r="AI5" s="39" t="s">
        <v>152</v>
      </c>
      <c r="AJ5" s="39" t="s">
        <v>152</v>
      </c>
      <c r="AK5" s="39" t="s">
        <v>152</v>
      </c>
      <c r="AL5" s="19">
        <v>2369000</v>
      </c>
      <c r="AM5" s="19">
        <v>200000</v>
      </c>
      <c r="AN5" s="39">
        <v>-2169000</v>
      </c>
      <c r="AO5" s="39">
        <v>2569000</v>
      </c>
      <c r="AP5" s="39">
        <v>1478950000</v>
      </c>
      <c r="AQ5" s="39">
        <v>118238000</v>
      </c>
      <c r="AR5" s="39">
        <v>-1360712000</v>
      </c>
      <c r="AS5" s="39">
        <v>1597188000</v>
      </c>
      <c r="AT5" s="39">
        <v>1.6018120964197574E-3</v>
      </c>
      <c r="AU5" s="39">
        <v>1.6915035775300665E-3</v>
      </c>
      <c r="AV5" s="39">
        <v>5.9191860917128338E-4</v>
      </c>
      <c r="AW5" s="39">
        <v>5.7148788238990303E-5</v>
      </c>
      <c r="AX5" s="39">
        <v>1.6084518541336398E-3</v>
      </c>
      <c r="AY5" s="39">
        <v>8.1424617338792665E-4</v>
      </c>
      <c r="AZ5" s="39" t="s">
        <v>152</v>
      </c>
      <c r="BA5" s="39" t="s">
        <v>152</v>
      </c>
      <c r="BB5" s="39" t="s">
        <v>152</v>
      </c>
      <c r="BC5" s="39" t="s">
        <v>152</v>
      </c>
      <c r="BD5" s="39" t="s">
        <v>152</v>
      </c>
      <c r="BE5" s="39" t="s">
        <v>152</v>
      </c>
      <c r="BF5" s="39" t="s">
        <v>152</v>
      </c>
      <c r="BG5" s="39" t="s">
        <v>152</v>
      </c>
      <c r="BH5" s="39">
        <v>0</v>
      </c>
      <c r="BI5" s="39">
        <v>0</v>
      </c>
      <c r="BJ5" s="39">
        <v>0</v>
      </c>
      <c r="BK5" s="39">
        <v>0</v>
      </c>
      <c r="BL5" s="40">
        <v>0</v>
      </c>
      <c r="BM5" s="40">
        <v>0</v>
      </c>
    </row>
    <row r="6" spans="1:65" x14ac:dyDescent="0.35">
      <c r="A6" s="39">
        <v>5</v>
      </c>
      <c r="B6" s="32" t="s">
        <v>246</v>
      </c>
      <c r="C6" s="32" t="s">
        <v>8</v>
      </c>
      <c r="D6" s="32" t="s">
        <v>9</v>
      </c>
      <c r="E6" s="32" t="s">
        <v>10</v>
      </c>
      <c r="F6" s="39">
        <v>2</v>
      </c>
      <c r="G6" s="39">
        <v>0</v>
      </c>
      <c r="H6" s="39">
        <v>1</v>
      </c>
      <c r="I6" s="39">
        <v>2018</v>
      </c>
      <c r="J6" s="39">
        <v>0</v>
      </c>
      <c r="K6" s="39" t="s">
        <v>152</v>
      </c>
      <c r="L6" s="39">
        <v>89417190341.253281</v>
      </c>
      <c r="M6" s="39">
        <v>21</v>
      </c>
      <c r="N6" s="39">
        <v>15070000000</v>
      </c>
      <c r="O6" s="39">
        <v>20</v>
      </c>
      <c r="P6" s="39">
        <v>9780000000</v>
      </c>
      <c r="Q6" s="39">
        <v>41</v>
      </c>
      <c r="R6" s="19">
        <v>24850000000</v>
      </c>
      <c r="S6" s="39">
        <v>0.16853582563360128</v>
      </c>
      <c r="T6" s="39">
        <v>0.10937494191749307</v>
      </c>
      <c r="U6" s="39">
        <v>0.27791076755109434</v>
      </c>
      <c r="V6" s="39">
        <v>1.1224238993617006E-2</v>
      </c>
      <c r="W6" s="39">
        <v>1.2299720803883593E-2</v>
      </c>
      <c r="X6" s="39">
        <v>1.1596813559638422E-2</v>
      </c>
      <c r="Y6" s="39">
        <v>1461764705.8823528</v>
      </c>
      <c r="Z6" s="39">
        <v>1.6347692208887901E-2</v>
      </c>
      <c r="AA6" s="39">
        <v>0</v>
      </c>
      <c r="AB6" s="39" t="s">
        <v>152</v>
      </c>
      <c r="AC6" s="39" t="s">
        <v>152</v>
      </c>
      <c r="AD6" s="39" t="s">
        <v>152</v>
      </c>
      <c r="AE6" s="39" t="s">
        <v>152</v>
      </c>
      <c r="AF6" s="39" t="s">
        <v>152</v>
      </c>
      <c r="AG6" s="39" t="s">
        <v>152</v>
      </c>
      <c r="AH6" s="39">
        <v>0</v>
      </c>
      <c r="AI6" s="39" t="s">
        <v>152</v>
      </c>
      <c r="AJ6" s="39" t="s">
        <v>152</v>
      </c>
      <c r="AK6" s="39" t="s">
        <v>152</v>
      </c>
      <c r="AL6" s="19">
        <v>2030002</v>
      </c>
      <c r="AM6" s="19">
        <v>21357868</v>
      </c>
      <c r="AN6" s="39">
        <v>19327866</v>
      </c>
      <c r="AO6" s="39">
        <v>23387870</v>
      </c>
      <c r="AP6" s="39">
        <v>14160146000</v>
      </c>
      <c r="AQ6" s="39">
        <v>34819241000</v>
      </c>
      <c r="AR6" s="39">
        <v>20659095000</v>
      </c>
      <c r="AS6" s="39">
        <v>48979387000</v>
      </c>
      <c r="AT6" s="39">
        <v>1.4336024501442288E-4</v>
      </c>
      <c r="AU6" s="39">
        <v>6.133926928504846E-4</v>
      </c>
      <c r="AV6" s="39">
        <v>5.6673003995958704E-3</v>
      </c>
      <c r="AW6" s="39">
        <v>1.6829423963119886E-2</v>
      </c>
      <c r="AX6" s="39">
        <v>4.7750434279628692E-4</v>
      </c>
      <c r="AY6" s="39">
        <v>2.6155899006379126E-4</v>
      </c>
      <c r="AZ6" s="39">
        <v>350</v>
      </c>
      <c r="BA6" s="39">
        <v>88449059776.888641</v>
      </c>
      <c r="BB6" s="39">
        <v>78</v>
      </c>
      <c r="BC6" s="39">
        <v>310799325.71688968</v>
      </c>
      <c r="BD6" s="39">
        <v>199</v>
      </c>
      <c r="BE6" s="39">
        <v>72542723598.448303</v>
      </c>
      <c r="BF6" s="39">
        <v>73</v>
      </c>
      <c r="BG6" s="39">
        <v>15595536852.723465</v>
      </c>
      <c r="BH6" s="39">
        <v>0.98917288095644862</v>
      </c>
      <c r="BI6" s="39">
        <v>3.4758341716033558E-3</v>
      </c>
      <c r="BJ6" s="39">
        <v>0.81128386299765209</v>
      </c>
      <c r="BK6" s="39">
        <v>0.17441318378719342</v>
      </c>
      <c r="BL6" s="40">
        <v>5202885869.2287436</v>
      </c>
      <c r="BM6" s="40">
        <v>5.8186640056261688E-2</v>
      </c>
    </row>
    <row r="7" spans="1:65" x14ac:dyDescent="0.35">
      <c r="A7" s="39">
        <v>6</v>
      </c>
      <c r="B7" s="32" t="s">
        <v>247</v>
      </c>
      <c r="C7" s="32" t="s">
        <v>11</v>
      </c>
      <c r="D7" s="32" t="s">
        <v>12</v>
      </c>
      <c r="E7" s="32" t="s">
        <v>13</v>
      </c>
      <c r="F7" s="39">
        <v>0</v>
      </c>
      <c r="G7" s="39">
        <v>0</v>
      </c>
      <c r="H7" s="39">
        <v>1</v>
      </c>
      <c r="I7" s="39">
        <v>2018</v>
      </c>
      <c r="J7" s="39">
        <v>0</v>
      </c>
      <c r="K7" s="39" t="s">
        <v>152</v>
      </c>
      <c r="L7" s="39">
        <v>1661962962.9629629</v>
      </c>
      <c r="M7" s="39">
        <v>0</v>
      </c>
      <c r="N7" s="39">
        <v>0</v>
      </c>
      <c r="O7" s="39">
        <v>2</v>
      </c>
      <c r="P7" s="39">
        <v>1000000000</v>
      </c>
      <c r="Q7" s="39">
        <v>2</v>
      </c>
      <c r="R7" s="19">
        <v>1000000000</v>
      </c>
      <c r="S7" s="39">
        <v>0</v>
      </c>
      <c r="T7" s="39">
        <v>0.60169812582176363</v>
      </c>
      <c r="U7" s="39">
        <v>0.60169812582176363</v>
      </c>
      <c r="V7" s="39">
        <v>0</v>
      </c>
      <c r="W7" s="39">
        <v>1.2576401639962775E-3</v>
      </c>
      <c r="X7" s="39">
        <v>4.6667257785265278E-4</v>
      </c>
      <c r="Y7" s="39">
        <v>58823529.411764704</v>
      </c>
      <c r="Z7" s="39">
        <v>3.5394007401280216E-2</v>
      </c>
      <c r="AA7" s="39">
        <v>0</v>
      </c>
      <c r="AB7" s="39" t="s">
        <v>152</v>
      </c>
      <c r="AC7" s="39" t="s">
        <v>152</v>
      </c>
      <c r="AD7" s="39" t="s">
        <v>152</v>
      </c>
      <c r="AE7" s="39" t="s">
        <v>152</v>
      </c>
      <c r="AF7" s="39" t="s">
        <v>152</v>
      </c>
      <c r="AG7" s="39" t="s">
        <v>152</v>
      </c>
      <c r="AH7" s="39">
        <v>0</v>
      </c>
      <c r="AI7" s="39" t="s">
        <v>152</v>
      </c>
      <c r="AJ7" s="39" t="s">
        <v>152</v>
      </c>
      <c r="AK7" s="39" t="s">
        <v>152</v>
      </c>
      <c r="AL7" s="19">
        <v>42000000</v>
      </c>
      <c r="AM7" s="19">
        <v>19000</v>
      </c>
      <c r="AN7" s="39">
        <v>-41981000</v>
      </c>
      <c r="AO7" s="39">
        <v>42019000</v>
      </c>
      <c r="AP7" s="39">
        <v>568334000</v>
      </c>
      <c r="AQ7" s="39">
        <v>37400000</v>
      </c>
      <c r="AR7" s="39">
        <v>-530934000</v>
      </c>
      <c r="AS7" s="39">
        <v>605734000</v>
      </c>
      <c r="AT7" s="39">
        <v>7.3900206568672647E-2</v>
      </c>
      <c r="AU7" s="39">
        <v>5.080213903743316E-4</v>
      </c>
      <c r="AV7" s="39">
        <v>2.2746372144071954E-4</v>
      </c>
      <c r="AW7" s="39">
        <v>1.8076800014701171E-5</v>
      </c>
      <c r="AX7" s="39">
        <v>6.9368732810111369E-2</v>
      </c>
      <c r="AY7" s="39">
        <v>2.5282753548904687E-2</v>
      </c>
      <c r="AZ7" s="39">
        <v>59</v>
      </c>
      <c r="BA7" s="39">
        <v>398209262.67240685</v>
      </c>
      <c r="BB7" s="39">
        <v>54</v>
      </c>
      <c r="BC7" s="39">
        <v>390298705.9867053</v>
      </c>
      <c r="BD7" s="39">
        <v>2</v>
      </c>
      <c r="BE7" s="39">
        <v>0</v>
      </c>
      <c r="BF7" s="39">
        <v>3</v>
      </c>
      <c r="BG7" s="39">
        <v>7910556.6857015602</v>
      </c>
      <c r="BH7" s="39">
        <v>0.23960176703485361</v>
      </c>
      <c r="BI7" s="39">
        <v>0.23484199990286014</v>
      </c>
      <c r="BJ7" s="39">
        <v>0</v>
      </c>
      <c r="BK7" s="39">
        <v>4.7597671319934516E-3</v>
      </c>
      <c r="BL7" s="40">
        <v>23424074.274847463</v>
      </c>
      <c r="BM7" s="40">
        <v>1.4094221590285507E-2</v>
      </c>
    </row>
    <row r="8" spans="1:65" x14ac:dyDescent="0.35">
      <c r="A8" s="39">
        <v>7</v>
      </c>
      <c r="B8" s="32" t="s">
        <v>248</v>
      </c>
      <c r="C8" s="32" t="s">
        <v>153</v>
      </c>
      <c r="D8" s="32" t="s">
        <v>12</v>
      </c>
      <c r="E8" s="32" t="s">
        <v>5</v>
      </c>
      <c r="F8" s="39">
        <v>3</v>
      </c>
      <c r="G8" s="39">
        <v>0</v>
      </c>
      <c r="H8" s="39">
        <v>0</v>
      </c>
      <c r="I8" s="39" t="s">
        <v>152</v>
      </c>
      <c r="J8" s="39">
        <v>0</v>
      </c>
      <c r="K8" s="39" t="s">
        <v>152</v>
      </c>
      <c r="L8" s="39">
        <v>445445177459.45306</v>
      </c>
      <c r="M8" s="39">
        <v>31</v>
      </c>
      <c r="N8" s="39">
        <v>22810000000</v>
      </c>
      <c r="O8" s="39">
        <v>0</v>
      </c>
      <c r="P8" s="39">
        <v>0</v>
      </c>
      <c r="Q8" s="39">
        <v>31</v>
      </c>
      <c r="R8" s="19">
        <v>22810000000</v>
      </c>
      <c r="S8" s="39">
        <v>5.1207199346268141E-2</v>
      </c>
      <c r="T8" s="39">
        <v>0</v>
      </c>
      <c r="U8" s="39">
        <v>5.1207199346268141E-2</v>
      </c>
      <c r="V8" s="39">
        <v>1.6989043891466746E-2</v>
      </c>
      <c r="W8" s="39">
        <v>0</v>
      </c>
      <c r="X8" s="39">
        <v>1.064480150081901E-2</v>
      </c>
      <c r="Y8" s="39">
        <v>1341764705.8823528</v>
      </c>
      <c r="Z8" s="39">
        <v>3.0121881968393021E-3</v>
      </c>
      <c r="AA8" s="39">
        <v>2</v>
      </c>
      <c r="AB8" s="39">
        <v>0</v>
      </c>
      <c r="AC8" s="39">
        <v>0</v>
      </c>
      <c r="AD8" s="39">
        <v>0</v>
      </c>
      <c r="AE8" s="39">
        <v>0</v>
      </c>
      <c r="AF8" s="39">
        <v>0</v>
      </c>
      <c r="AG8" s="39">
        <v>0</v>
      </c>
      <c r="AH8" s="39">
        <v>0</v>
      </c>
      <c r="AI8" s="39">
        <v>0</v>
      </c>
      <c r="AJ8" s="39">
        <v>0</v>
      </c>
      <c r="AK8" s="39">
        <v>0</v>
      </c>
      <c r="AL8" s="19">
        <v>9258744000</v>
      </c>
      <c r="AM8" s="19">
        <v>6325086000</v>
      </c>
      <c r="AN8" s="39">
        <v>-2933658000</v>
      </c>
      <c r="AO8" s="39">
        <v>15583830000</v>
      </c>
      <c r="AP8" s="39">
        <v>49125030000</v>
      </c>
      <c r="AQ8" s="39">
        <v>65115327000</v>
      </c>
      <c r="AR8" s="39">
        <v>15990297000</v>
      </c>
      <c r="AS8" s="39">
        <v>114240357000</v>
      </c>
      <c r="AT8" s="39">
        <v>0.18847304520730063</v>
      </c>
      <c r="AU8" s="39">
        <v>9.713666952789779E-2</v>
      </c>
      <c r="AV8" s="39">
        <v>1.9661259294159759E-2</v>
      </c>
      <c r="AW8" s="39">
        <v>3.1472640215798708E-2</v>
      </c>
      <c r="AX8" s="39">
        <v>0.13641265144155668</v>
      </c>
      <c r="AY8" s="39">
        <v>3.498484390128688E-2</v>
      </c>
      <c r="AZ8" s="39">
        <v>67</v>
      </c>
      <c r="BA8" s="39">
        <v>34167061581.110947</v>
      </c>
      <c r="BB8" s="39">
        <v>2</v>
      </c>
      <c r="BC8" s="39">
        <v>502647697.70549798</v>
      </c>
      <c r="BD8" s="39">
        <v>55</v>
      </c>
      <c r="BE8" s="39">
        <v>16417355731.435488</v>
      </c>
      <c r="BF8" s="39">
        <v>10</v>
      </c>
      <c r="BG8" s="39">
        <v>17247058151.969959</v>
      </c>
      <c r="BH8" s="39">
        <v>7.6703179897420773E-2</v>
      </c>
      <c r="BI8" s="39">
        <v>1.1284165215847506E-3</v>
      </c>
      <c r="BJ8" s="39">
        <v>3.6856063466822221E-2</v>
      </c>
      <c r="BK8" s="39">
        <v>3.8718699909013797E-2</v>
      </c>
      <c r="BL8" s="40">
        <v>2009827151.8300557</v>
      </c>
      <c r="BM8" s="40">
        <v>4.5119517586718096E-3</v>
      </c>
    </row>
    <row r="9" spans="1:65" x14ac:dyDescent="0.35">
      <c r="A9" s="39">
        <v>8</v>
      </c>
      <c r="B9" s="32" t="s">
        <v>249</v>
      </c>
      <c r="C9" s="32" t="s">
        <v>14</v>
      </c>
      <c r="D9" s="32" t="s">
        <v>4</v>
      </c>
      <c r="E9" s="32" t="s">
        <v>5</v>
      </c>
      <c r="F9" s="39">
        <v>0</v>
      </c>
      <c r="G9" s="39">
        <v>0</v>
      </c>
      <c r="H9" s="39">
        <v>1</v>
      </c>
      <c r="I9" s="39">
        <v>2015</v>
      </c>
      <c r="J9" s="39">
        <v>0</v>
      </c>
      <c r="K9" s="39" t="s">
        <v>152</v>
      </c>
      <c r="L9" s="39">
        <v>13672802157.832392</v>
      </c>
      <c r="M9" s="39">
        <v>0</v>
      </c>
      <c r="N9" s="39">
        <v>0</v>
      </c>
      <c r="O9" s="39">
        <v>0</v>
      </c>
      <c r="P9" s="39">
        <v>0</v>
      </c>
      <c r="Q9" s="39">
        <v>0</v>
      </c>
      <c r="R9" s="19">
        <v>0</v>
      </c>
      <c r="S9" s="39">
        <v>0</v>
      </c>
      <c r="T9" s="39">
        <v>0</v>
      </c>
      <c r="U9" s="39">
        <v>0</v>
      </c>
      <c r="V9" s="39">
        <v>0</v>
      </c>
      <c r="W9" s="39">
        <v>0</v>
      </c>
      <c r="X9" s="39">
        <v>0</v>
      </c>
      <c r="Y9" s="39">
        <v>0</v>
      </c>
      <c r="Z9" s="39">
        <v>0</v>
      </c>
      <c r="AA9" s="39">
        <v>3</v>
      </c>
      <c r="AB9" s="39">
        <v>0</v>
      </c>
      <c r="AC9" s="39">
        <v>0</v>
      </c>
      <c r="AD9" s="39">
        <v>0</v>
      </c>
      <c r="AE9" s="39">
        <v>0</v>
      </c>
      <c r="AF9" s="39">
        <v>0</v>
      </c>
      <c r="AG9" s="39">
        <v>0</v>
      </c>
      <c r="AH9" s="39">
        <v>0</v>
      </c>
      <c r="AI9" s="39">
        <v>0</v>
      </c>
      <c r="AJ9" s="39">
        <v>0</v>
      </c>
      <c r="AK9" s="39">
        <v>0</v>
      </c>
      <c r="AL9" s="19">
        <v>748024000</v>
      </c>
      <c r="AM9" s="19">
        <v>193682000</v>
      </c>
      <c r="AN9" s="39">
        <v>-554342000</v>
      </c>
      <c r="AO9" s="39">
        <v>941706000</v>
      </c>
      <c r="AP9" s="39">
        <v>5071644000</v>
      </c>
      <c r="AQ9" s="39">
        <v>2620069000</v>
      </c>
      <c r="AR9" s="39">
        <v>-2451575000</v>
      </c>
      <c r="AS9" s="39">
        <v>7691713000</v>
      </c>
      <c r="AT9" s="39">
        <v>0.14749142487130407</v>
      </c>
      <c r="AU9" s="39">
        <v>7.3922480667493864E-2</v>
      </c>
      <c r="AV9" s="39">
        <v>2.0298187651319414E-3</v>
      </c>
      <c r="AW9" s="39">
        <v>1.2663760250726764E-3</v>
      </c>
      <c r="AX9" s="39">
        <v>0.12243124515956329</v>
      </c>
      <c r="AY9" s="39">
        <v>6.8874396713225955E-2</v>
      </c>
      <c r="AZ9" s="39">
        <v>40</v>
      </c>
      <c r="BA9" s="39">
        <v>155275327.59466651</v>
      </c>
      <c r="BB9" s="39">
        <v>31</v>
      </c>
      <c r="BC9" s="39">
        <v>155275327.59466651</v>
      </c>
      <c r="BD9" s="39">
        <v>8</v>
      </c>
      <c r="BE9" s="39">
        <v>0</v>
      </c>
      <c r="BF9" s="39">
        <v>1</v>
      </c>
      <c r="BG9" s="39">
        <v>0</v>
      </c>
      <c r="BH9" s="39">
        <v>1.1356510962584058E-2</v>
      </c>
      <c r="BI9" s="39">
        <v>1.1356510962584058E-2</v>
      </c>
      <c r="BJ9" s="39">
        <v>0</v>
      </c>
      <c r="BK9" s="39">
        <v>0</v>
      </c>
      <c r="BL9" s="40">
        <v>9133842.7996862661</v>
      </c>
      <c r="BM9" s="40">
        <v>6.6803005662259161E-4</v>
      </c>
    </row>
    <row r="10" spans="1:65" x14ac:dyDescent="0.35">
      <c r="A10" s="39">
        <v>9</v>
      </c>
      <c r="B10" s="32" t="s">
        <v>250</v>
      </c>
      <c r="C10" s="32" t="s">
        <v>190</v>
      </c>
      <c r="D10" s="32" t="s">
        <v>12</v>
      </c>
      <c r="E10" s="32" t="s">
        <v>13</v>
      </c>
      <c r="F10" s="39">
        <v>0</v>
      </c>
      <c r="G10" s="39">
        <v>0</v>
      </c>
      <c r="H10" s="39">
        <v>0</v>
      </c>
      <c r="I10" s="39" t="s">
        <v>152</v>
      </c>
      <c r="J10" s="39">
        <v>0</v>
      </c>
      <c r="K10" s="39" t="s">
        <v>152</v>
      </c>
      <c r="L10" s="39" t="s">
        <v>152</v>
      </c>
      <c r="M10" s="39">
        <v>0</v>
      </c>
      <c r="N10" s="39">
        <v>0</v>
      </c>
      <c r="O10" s="39">
        <v>0</v>
      </c>
      <c r="P10" s="39">
        <v>0</v>
      </c>
      <c r="Q10" s="39">
        <v>0</v>
      </c>
      <c r="R10" s="19">
        <v>0</v>
      </c>
      <c r="S10" s="39">
        <v>0</v>
      </c>
      <c r="T10" s="39">
        <v>0</v>
      </c>
      <c r="U10" s="39">
        <v>0</v>
      </c>
      <c r="V10" s="39">
        <v>0</v>
      </c>
      <c r="W10" s="39">
        <v>0</v>
      </c>
      <c r="X10" s="39">
        <v>0</v>
      </c>
      <c r="Y10" s="39">
        <v>0</v>
      </c>
      <c r="Z10" s="39">
        <v>0</v>
      </c>
      <c r="AA10" s="39">
        <v>0</v>
      </c>
      <c r="AB10" s="39" t="s">
        <v>152</v>
      </c>
      <c r="AC10" s="39" t="s">
        <v>152</v>
      </c>
      <c r="AD10" s="39" t="s">
        <v>152</v>
      </c>
      <c r="AE10" s="39" t="s">
        <v>152</v>
      </c>
      <c r="AF10" s="39" t="s">
        <v>152</v>
      </c>
      <c r="AG10" s="39" t="s">
        <v>152</v>
      </c>
      <c r="AH10" s="39">
        <v>0</v>
      </c>
      <c r="AI10" s="39" t="s">
        <v>152</v>
      </c>
      <c r="AJ10" s="39" t="s">
        <v>152</v>
      </c>
      <c r="AK10" s="39" t="s">
        <v>152</v>
      </c>
      <c r="AL10" s="19">
        <v>7527000</v>
      </c>
      <c r="AM10" s="19">
        <v>56000</v>
      </c>
      <c r="AN10" s="39">
        <v>-7471000</v>
      </c>
      <c r="AO10" s="39">
        <v>7583000</v>
      </c>
      <c r="AP10" s="39">
        <v>1320446000</v>
      </c>
      <c r="AQ10" s="39">
        <v>83627000</v>
      </c>
      <c r="AR10" s="39">
        <v>-1236819000</v>
      </c>
      <c r="AS10" s="39">
        <v>1404073000</v>
      </c>
      <c r="AT10" s="39">
        <v>5.7003467010388912E-3</v>
      </c>
      <c r="AU10" s="39">
        <v>6.696401879775671E-4</v>
      </c>
      <c r="AV10" s="39">
        <v>5.2848071929800496E-4</v>
      </c>
      <c r="AW10" s="39">
        <v>4.0420014835011098E-5</v>
      </c>
      <c r="AX10" s="39">
        <v>5.4007163445205482E-3</v>
      </c>
      <c r="AY10" s="39" t="s">
        <v>152</v>
      </c>
      <c r="AZ10" s="39">
        <v>0</v>
      </c>
      <c r="BA10" s="39" t="s">
        <v>152</v>
      </c>
      <c r="BB10" s="39" t="s">
        <v>152</v>
      </c>
      <c r="BC10" s="39" t="s">
        <v>152</v>
      </c>
      <c r="BD10" s="39" t="s">
        <v>152</v>
      </c>
      <c r="BE10" s="39" t="s">
        <v>152</v>
      </c>
      <c r="BF10" s="39" t="s">
        <v>152</v>
      </c>
      <c r="BG10" s="39" t="s">
        <v>152</v>
      </c>
      <c r="BH10" s="39">
        <v>0</v>
      </c>
      <c r="BI10" s="39">
        <v>0</v>
      </c>
      <c r="BJ10" s="39">
        <v>0</v>
      </c>
      <c r="BK10" s="39">
        <v>0</v>
      </c>
      <c r="BL10" s="40">
        <v>0</v>
      </c>
      <c r="BM10" s="40">
        <v>0</v>
      </c>
    </row>
    <row r="11" spans="1:65" x14ac:dyDescent="0.35">
      <c r="A11" s="39">
        <v>10</v>
      </c>
      <c r="B11" s="32" t="s">
        <v>251</v>
      </c>
      <c r="C11" s="32" t="s">
        <v>159</v>
      </c>
      <c r="D11" s="32" t="s">
        <v>23</v>
      </c>
      <c r="E11" s="32" t="s">
        <v>13</v>
      </c>
      <c r="F11" s="39">
        <v>2</v>
      </c>
      <c r="G11" s="39">
        <v>1</v>
      </c>
      <c r="H11" s="39">
        <v>0</v>
      </c>
      <c r="I11" s="39" t="s">
        <v>152</v>
      </c>
      <c r="J11" s="39">
        <v>0</v>
      </c>
      <c r="K11" s="39" t="s">
        <v>152</v>
      </c>
      <c r="L11" s="39">
        <v>1396567014733.2283</v>
      </c>
      <c r="M11" s="39">
        <v>208</v>
      </c>
      <c r="N11" s="39">
        <v>120810000000</v>
      </c>
      <c r="O11" s="39">
        <v>0</v>
      </c>
      <c r="P11" s="39">
        <v>0</v>
      </c>
      <c r="Q11" s="39">
        <v>208</v>
      </c>
      <c r="R11" s="19">
        <v>120810000000</v>
      </c>
      <c r="S11" s="39">
        <v>8.6504978798369436E-2</v>
      </c>
      <c r="T11" s="39">
        <v>0</v>
      </c>
      <c r="U11" s="39">
        <v>8.6504978798369436E-2</v>
      </c>
      <c r="V11" s="39">
        <v>8.9980113657522925E-2</v>
      </c>
      <c r="W11" s="39">
        <v>0</v>
      </c>
      <c r="X11" s="39">
        <v>5.6378714130378982E-2</v>
      </c>
      <c r="Y11" s="39">
        <v>7106470588.2352943</v>
      </c>
      <c r="Z11" s="39">
        <v>5.0885281646099664E-3</v>
      </c>
      <c r="AA11" s="39">
        <v>1</v>
      </c>
      <c r="AB11" s="39">
        <v>0</v>
      </c>
      <c r="AC11" s="39">
        <v>0</v>
      </c>
      <c r="AD11" s="39">
        <v>0</v>
      </c>
      <c r="AE11" s="39">
        <v>0</v>
      </c>
      <c r="AF11" s="39">
        <v>0</v>
      </c>
      <c r="AG11" s="39">
        <v>0</v>
      </c>
      <c r="AH11" s="39">
        <v>0</v>
      </c>
      <c r="AI11" s="39">
        <v>0</v>
      </c>
      <c r="AJ11" s="39">
        <v>0</v>
      </c>
      <c r="AK11" s="39">
        <v>0</v>
      </c>
      <c r="AL11" s="19">
        <v>54664941000</v>
      </c>
      <c r="AM11" s="19">
        <v>89293723000</v>
      </c>
      <c r="AN11" s="39">
        <v>34628782000</v>
      </c>
      <c r="AO11" s="39">
        <v>143958664000</v>
      </c>
      <c r="AP11" s="39">
        <v>214273705000</v>
      </c>
      <c r="AQ11" s="39">
        <v>272579608000</v>
      </c>
      <c r="AR11" s="39">
        <v>58305903000</v>
      </c>
      <c r="AS11" s="39">
        <v>486853313000</v>
      </c>
      <c r="AT11" s="39">
        <v>0.2551173556270005</v>
      </c>
      <c r="AU11" s="39">
        <v>0.3275876858697368</v>
      </c>
      <c r="AV11" s="39">
        <v>8.5758540481813375E-2</v>
      </c>
      <c r="AW11" s="39">
        <v>0.13174778240378718</v>
      </c>
      <c r="AX11" s="39">
        <v>0.2956920701903491</v>
      </c>
      <c r="AY11" s="39">
        <v>0.103080383885122</v>
      </c>
      <c r="AZ11" s="39" t="s">
        <v>152</v>
      </c>
      <c r="BA11" s="39" t="s">
        <v>152</v>
      </c>
      <c r="BB11" s="39" t="s">
        <v>152</v>
      </c>
      <c r="BC11" s="39" t="s">
        <v>152</v>
      </c>
      <c r="BD11" s="39" t="s">
        <v>152</v>
      </c>
      <c r="BE11" s="39" t="s">
        <v>152</v>
      </c>
      <c r="BF11" s="39" t="s">
        <v>152</v>
      </c>
      <c r="BG11" s="39" t="s">
        <v>152</v>
      </c>
      <c r="BH11" s="39">
        <v>0</v>
      </c>
      <c r="BI11" s="39">
        <v>0</v>
      </c>
      <c r="BJ11" s="39">
        <v>0</v>
      </c>
      <c r="BK11" s="39">
        <v>0</v>
      </c>
      <c r="BL11" s="40">
        <v>0</v>
      </c>
      <c r="BM11" s="40">
        <v>0</v>
      </c>
    </row>
    <row r="12" spans="1:65" x14ac:dyDescent="0.35">
      <c r="A12" s="39">
        <v>11</v>
      </c>
      <c r="B12" s="32" t="s">
        <v>252</v>
      </c>
      <c r="C12" s="32" t="s">
        <v>132</v>
      </c>
      <c r="D12" s="32" t="s">
        <v>4</v>
      </c>
      <c r="E12" s="32" t="s">
        <v>13</v>
      </c>
      <c r="F12" s="39">
        <v>0</v>
      </c>
      <c r="G12" s="39">
        <v>0</v>
      </c>
      <c r="H12" s="39">
        <v>1</v>
      </c>
      <c r="I12" s="39" t="s">
        <v>152</v>
      </c>
      <c r="J12" s="39">
        <v>0</v>
      </c>
      <c r="K12" s="39" t="s">
        <v>152</v>
      </c>
      <c r="L12" s="39">
        <v>445075391688.15613</v>
      </c>
      <c r="M12" s="39">
        <v>2</v>
      </c>
      <c r="N12" s="39">
        <v>280000000</v>
      </c>
      <c r="O12" s="39">
        <v>1</v>
      </c>
      <c r="P12" s="39">
        <v>230000000</v>
      </c>
      <c r="Q12" s="39">
        <v>3</v>
      </c>
      <c r="R12" s="19">
        <v>510000000</v>
      </c>
      <c r="S12" s="39">
        <v>6.291069001545319E-4</v>
      </c>
      <c r="T12" s="39">
        <v>5.1676638226979404E-4</v>
      </c>
      <c r="U12" s="39">
        <v>1.1458732824243258E-3</v>
      </c>
      <c r="V12" s="39">
        <v>2.0854591361730334E-4</v>
      </c>
      <c r="W12" s="39">
        <v>2.8925723771914381E-4</v>
      </c>
      <c r="X12" s="39">
        <v>2.3800301470485293E-4</v>
      </c>
      <c r="Y12" s="39">
        <v>30000000</v>
      </c>
      <c r="Z12" s="39">
        <v>6.7404310730842702E-5</v>
      </c>
      <c r="AA12" s="39">
        <v>2</v>
      </c>
      <c r="AB12" s="39">
        <v>0</v>
      </c>
      <c r="AC12" s="39">
        <v>0</v>
      </c>
      <c r="AD12" s="39">
        <v>0</v>
      </c>
      <c r="AE12" s="39">
        <v>0</v>
      </c>
      <c r="AF12" s="39">
        <v>0</v>
      </c>
      <c r="AG12" s="39">
        <v>0</v>
      </c>
      <c r="AH12" s="39">
        <v>0</v>
      </c>
      <c r="AI12" s="39">
        <v>0</v>
      </c>
      <c r="AJ12" s="39">
        <v>0</v>
      </c>
      <c r="AK12" s="39">
        <v>0</v>
      </c>
      <c r="AL12" s="19">
        <v>10998301000</v>
      </c>
      <c r="AM12" s="19">
        <v>4981008000</v>
      </c>
      <c r="AN12" s="39">
        <v>-6017293000</v>
      </c>
      <c r="AO12" s="39">
        <v>15979309000</v>
      </c>
      <c r="AP12" s="39">
        <v>176596131000</v>
      </c>
      <c r="AQ12" s="39">
        <v>171532055000</v>
      </c>
      <c r="AR12" s="39">
        <v>-5064076000</v>
      </c>
      <c r="AS12" s="39">
        <v>348128186000</v>
      </c>
      <c r="AT12" s="39">
        <v>6.2279399541318378E-2</v>
      </c>
      <c r="AU12" s="39">
        <v>2.9038350878499066E-2</v>
      </c>
      <c r="AV12" s="39">
        <v>7.0678884510328124E-2</v>
      </c>
      <c r="AW12" s="39">
        <v>8.2907771506570124E-2</v>
      </c>
      <c r="AX12" s="39">
        <v>4.5900647067973976E-2</v>
      </c>
      <c r="AY12" s="39">
        <v>3.5902476970005044E-2</v>
      </c>
      <c r="AZ12" s="39" t="s">
        <v>152</v>
      </c>
      <c r="BA12" s="39" t="s">
        <v>152</v>
      </c>
      <c r="BB12" s="39" t="s">
        <v>152</v>
      </c>
      <c r="BC12" s="39" t="s">
        <v>152</v>
      </c>
      <c r="BD12" s="39" t="s">
        <v>152</v>
      </c>
      <c r="BE12" s="39" t="s">
        <v>152</v>
      </c>
      <c r="BF12" s="39" t="s">
        <v>152</v>
      </c>
      <c r="BG12" s="39" t="s">
        <v>152</v>
      </c>
      <c r="BH12" s="39">
        <v>0</v>
      </c>
      <c r="BI12" s="39">
        <v>0</v>
      </c>
      <c r="BJ12" s="39">
        <v>0</v>
      </c>
      <c r="BK12" s="39">
        <v>0</v>
      </c>
      <c r="BL12" s="40">
        <v>0</v>
      </c>
      <c r="BM12" s="40">
        <v>0</v>
      </c>
    </row>
    <row r="13" spans="1:65" x14ac:dyDescent="0.35">
      <c r="A13" s="39">
        <v>12</v>
      </c>
      <c r="B13" s="32" t="s">
        <v>253</v>
      </c>
      <c r="C13" s="32" t="s">
        <v>15</v>
      </c>
      <c r="D13" s="32" t="s">
        <v>4</v>
      </c>
      <c r="E13" s="32" t="s">
        <v>5</v>
      </c>
      <c r="F13" s="39">
        <v>0</v>
      </c>
      <c r="G13" s="39">
        <v>0</v>
      </c>
      <c r="H13" s="39">
        <v>1</v>
      </c>
      <c r="I13" s="39">
        <v>2015</v>
      </c>
      <c r="J13" s="39">
        <v>0</v>
      </c>
      <c r="K13" s="39" t="s">
        <v>152</v>
      </c>
      <c r="L13" s="39">
        <v>48174235294.117645</v>
      </c>
      <c r="M13" s="39">
        <v>3</v>
      </c>
      <c r="N13" s="39">
        <v>750000000</v>
      </c>
      <c r="O13" s="39">
        <v>2</v>
      </c>
      <c r="P13" s="39">
        <v>1440000000</v>
      </c>
      <c r="Q13" s="39">
        <v>5</v>
      </c>
      <c r="R13" s="19">
        <v>2190000000</v>
      </c>
      <c r="S13" s="39">
        <v>1.5568487915190206E-2</v>
      </c>
      <c r="T13" s="39">
        <v>2.9891496797165192E-2</v>
      </c>
      <c r="U13" s="39">
        <v>4.5459984712355399E-2</v>
      </c>
      <c r="V13" s="39">
        <v>5.58605125760634E-4</v>
      </c>
      <c r="W13" s="39">
        <v>1.8110018361546395E-3</v>
      </c>
      <c r="X13" s="39">
        <v>1.0220129454973097E-3</v>
      </c>
      <c r="Y13" s="39">
        <v>128823529.41176471</v>
      </c>
      <c r="Z13" s="39">
        <v>2.6741167477856119E-3</v>
      </c>
      <c r="AA13" s="39">
        <v>1</v>
      </c>
      <c r="AB13" s="39">
        <v>2</v>
      </c>
      <c r="AC13" s="39">
        <v>700000000</v>
      </c>
      <c r="AD13" s="39">
        <v>0</v>
      </c>
      <c r="AE13" s="39">
        <v>0</v>
      </c>
      <c r="AF13" s="39">
        <v>0</v>
      </c>
      <c r="AG13" s="39">
        <v>0</v>
      </c>
      <c r="AH13" s="39">
        <v>2</v>
      </c>
      <c r="AI13" s="39">
        <v>700000000</v>
      </c>
      <c r="AJ13" s="39">
        <v>1.453058872084419E-2</v>
      </c>
      <c r="AK13" s="39">
        <v>1.7561363795442222E-2</v>
      </c>
      <c r="AL13" s="19">
        <v>1432151000</v>
      </c>
      <c r="AM13" s="19">
        <v>752163000</v>
      </c>
      <c r="AN13" s="39">
        <v>-679988000</v>
      </c>
      <c r="AO13" s="39">
        <v>2184314000</v>
      </c>
      <c r="AP13" s="39">
        <v>13649506000</v>
      </c>
      <c r="AQ13" s="39">
        <v>19635203000</v>
      </c>
      <c r="AR13" s="39">
        <v>5985697000</v>
      </c>
      <c r="AS13" s="39">
        <v>33284709000</v>
      </c>
      <c r="AT13" s="39">
        <v>0.1049232844031132</v>
      </c>
      <c r="AU13" s="39">
        <v>3.8306861406016531E-2</v>
      </c>
      <c r="AV13" s="39">
        <v>5.4629274873356694E-3</v>
      </c>
      <c r="AW13" s="39">
        <v>9.4904181251085715E-3</v>
      </c>
      <c r="AX13" s="39">
        <v>6.5625149374146555E-2</v>
      </c>
      <c r="AY13" s="39">
        <v>4.5341954815974368E-2</v>
      </c>
      <c r="AZ13" s="39">
        <v>27</v>
      </c>
      <c r="BA13" s="39">
        <v>1079802016.287219</v>
      </c>
      <c r="BB13" s="39">
        <v>15</v>
      </c>
      <c r="BC13" s="39">
        <v>48909490.424316585</v>
      </c>
      <c r="BD13" s="39">
        <v>10</v>
      </c>
      <c r="BE13" s="39">
        <v>551122917.32230496</v>
      </c>
      <c r="BF13" s="39">
        <v>2</v>
      </c>
      <c r="BG13" s="39">
        <v>479769608.54059738</v>
      </c>
      <c r="BH13" s="39">
        <v>2.2414512855154115E-2</v>
      </c>
      <c r="BI13" s="39">
        <v>1.015262414145445E-3</v>
      </c>
      <c r="BJ13" s="39">
        <v>1.14402006374889E-2</v>
      </c>
      <c r="BK13" s="39">
        <v>9.9590498035197674E-3</v>
      </c>
      <c r="BL13" s="40">
        <v>63517765.663954064</v>
      </c>
      <c r="BM13" s="40">
        <v>1.3185007561855363E-3</v>
      </c>
    </row>
    <row r="14" spans="1:65" x14ac:dyDescent="0.35">
      <c r="A14" s="39">
        <v>13</v>
      </c>
      <c r="B14" s="32" t="s">
        <v>254</v>
      </c>
      <c r="C14" s="32" t="s">
        <v>186</v>
      </c>
      <c r="D14" s="32" t="s">
        <v>12</v>
      </c>
      <c r="E14" s="32" t="s">
        <v>13</v>
      </c>
      <c r="F14" s="39">
        <v>0</v>
      </c>
      <c r="G14" s="39">
        <v>0</v>
      </c>
      <c r="H14" s="39">
        <v>0</v>
      </c>
      <c r="I14" s="39" t="s">
        <v>152</v>
      </c>
      <c r="J14" s="39">
        <v>0</v>
      </c>
      <c r="K14" s="39" t="s">
        <v>152</v>
      </c>
      <c r="L14" s="39">
        <v>13578800000</v>
      </c>
      <c r="M14" s="39">
        <v>2</v>
      </c>
      <c r="N14" s="39">
        <v>350000000</v>
      </c>
      <c r="O14" s="39">
        <v>0</v>
      </c>
      <c r="P14" s="39">
        <v>0</v>
      </c>
      <c r="Q14" s="39">
        <v>2</v>
      </c>
      <c r="R14" s="19">
        <v>350000000</v>
      </c>
      <c r="S14" s="39">
        <v>2.5775473532270894E-2</v>
      </c>
      <c r="T14" s="39">
        <v>0</v>
      </c>
      <c r="U14" s="39">
        <v>2.5775473532270894E-2</v>
      </c>
      <c r="V14" s="39">
        <v>2.6068239202162917E-4</v>
      </c>
      <c r="W14" s="39">
        <v>0</v>
      </c>
      <c r="X14" s="39">
        <v>1.6333540224842849E-4</v>
      </c>
      <c r="Y14" s="39">
        <v>20588235.294117648</v>
      </c>
      <c r="Z14" s="39">
        <v>1.5162043254276997E-3</v>
      </c>
      <c r="AA14" s="39">
        <v>0</v>
      </c>
      <c r="AB14" s="39" t="s">
        <v>152</v>
      </c>
      <c r="AC14" s="39" t="s">
        <v>152</v>
      </c>
      <c r="AD14" s="39" t="s">
        <v>152</v>
      </c>
      <c r="AE14" s="39" t="s">
        <v>152</v>
      </c>
      <c r="AF14" s="39" t="s">
        <v>152</v>
      </c>
      <c r="AG14" s="39" t="s">
        <v>152</v>
      </c>
      <c r="AH14" s="39">
        <v>0</v>
      </c>
      <c r="AI14" s="39" t="s">
        <v>152</v>
      </c>
      <c r="AJ14" s="39" t="s">
        <v>152</v>
      </c>
      <c r="AK14" s="39" t="s">
        <v>152</v>
      </c>
      <c r="AL14" s="19">
        <v>24409000</v>
      </c>
      <c r="AM14" s="19">
        <v>214000</v>
      </c>
      <c r="AN14" s="39">
        <v>-24195000</v>
      </c>
      <c r="AO14" s="39">
        <v>24623000</v>
      </c>
      <c r="AP14" s="39">
        <v>3320468000</v>
      </c>
      <c r="AQ14" s="39">
        <v>537265000</v>
      </c>
      <c r="AR14" s="39">
        <v>-2783203000</v>
      </c>
      <c r="AS14" s="39">
        <v>3857733000</v>
      </c>
      <c r="AT14" s="39">
        <v>7.3510721982563906E-3</v>
      </c>
      <c r="AU14" s="39">
        <v>3.9831368133044217E-4</v>
      </c>
      <c r="AV14" s="39">
        <v>1.3289474291610622E-3</v>
      </c>
      <c r="AW14" s="39">
        <v>2.5967999892776539E-4</v>
      </c>
      <c r="AX14" s="39">
        <v>6.3827641778215344E-3</v>
      </c>
      <c r="AY14" s="39">
        <v>1.8133413851003034E-3</v>
      </c>
      <c r="AZ14" s="39">
        <v>31</v>
      </c>
      <c r="BA14" s="39">
        <v>3136697529.0512481</v>
      </c>
      <c r="BB14" s="39">
        <v>0</v>
      </c>
      <c r="BC14" s="39">
        <v>0</v>
      </c>
      <c r="BD14" s="39">
        <v>31</v>
      </c>
      <c r="BE14" s="39">
        <v>3136697529.0512481</v>
      </c>
      <c r="BF14" s="39">
        <v>0</v>
      </c>
      <c r="BG14" s="39">
        <v>0</v>
      </c>
      <c r="BH14" s="39">
        <v>0.23099961182514273</v>
      </c>
      <c r="BI14" s="39">
        <v>0</v>
      </c>
      <c r="BJ14" s="39">
        <v>0.23099961182514273</v>
      </c>
      <c r="BK14" s="39">
        <v>0</v>
      </c>
      <c r="BL14" s="40">
        <v>184511619.35595578</v>
      </c>
      <c r="BM14" s="40">
        <v>1.3588212460302514E-2</v>
      </c>
    </row>
    <row r="15" spans="1:65" x14ac:dyDescent="0.35">
      <c r="A15" s="39">
        <v>14</v>
      </c>
      <c r="B15" s="32" t="s">
        <v>255</v>
      </c>
      <c r="C15" s="32" t="s">
        <v>16</v>
      </c>
      <c r="D15" s="32" t="s">
        <v>7</v>
      </c>
      <c r="E15" s="32" t="s">
        <v>13</v>
      </c>
      <c r="F15" s="39">
        <v>0</v>
      </c>
      <c r="G15" s="39">
        <v>0</v>
      </c>
      <c r="H15" s="39">
        <v>1</v>
      </c>
      <c r="I15" s="39">
        <v>2018</v>
      </c>
      <c r="J15" s="39">
        <v>0</v>
      </c>
      <c r="K15" s="39" t="s">
        <v>152</v>
      </c>
      <c r="L15" s="39">
        <v>38474521276.595741</v>
      </c>
      <c r="M15" s="39">
        <v>0</v>
      </c>
      <c r="N15" s="39">
        <v>0</v>
      </c>
      <c r="O15" s="39">
        <v>2</v>
      </c>
      <c r="P15" s="39">
        <v>1420000000</v>
      </c>
      <c r="Q15" s="39">
        <v>2</v>
      </c>
      <c r="R15" s="19">
        <v>1420000000</v>
      </c>
      <c r="S15" s="39">
        <v>0</v>
      </c>
      <c r="T15" s="39">
        <v>3.6907541741495138E-2</v>
      </c>
      <c r="U15" s="39">
        <v>3.6907541741495138E-2</v>
      </c>
      <c r="V15" s="39">
        <v>0</v>
      </c>
      <c r="W15" s="39">
        <v>1.785849032874714E-3</v>
      </c>
      <c r="X15" s="39">
        <v>6.6267506055076692E-4</v>
      </c>
      <c r="Y15" s="39">
        <v>83529411.764705881</v>
      </c>
      <c r="Z15" s="39">
        <v>2.1710318671467727E-3</v>
      </c>
      <c r="AA15" s="39">
        <v>1</v>
      </c>
      <c r="AB15" s="39">
        <v>0</v>
      </c>
      <c r="AC15" s="39">
        <v>0</v>
      </c>
      <c r="AD15" s="39">
        <v>0</v>
      </c>
      <c r="AE15" s="39">
        <v>0</v>
      </c>
      <c r="AF15" s="39">
        <v>0</v>
      </c>
      <c r="AG15" s="39">
        <v>0</v>
      </c>
      <c r="AH15" s="39">
        <v>0</v>
      </c>
      <c r="AI15" s="39">
        <v>0</v>
      </c>
      <c r="AJ15" s="39">
        <v>0</v>
      </c>
      <c r="AK15" s="39">
        <v>0</v>
      </c>
      <c r="AL15" s="19">
        <v>2065479</v>
      </c>
      <c r="AM15" s="19">
        <v>317157</v>
      </c>
      <c r="AN15" s="39">
        <v>-1748322</v>
      </c>
      <c r="AO15" s="39">
        <v>2382636</v>
      </c>
      <c r="AP15" s="39">
        <v>18589050000</v>
      </c>
      <c r="AQ15" s="39">
        <v>14167296000</v>
      </c>
      <c r="AR15" s="39">
        <v>-4421754000</v>
      </c>
      <c r="AS15" s="39">
        <v>32756346000</v>
      </c>
      <c r="AT15" s="39">
        <v>1.1111267116931742E-4</v>
      </c>
      <c r="AU15" s="39">
        <v>2.2386558451238685E-5</v>
      </c>
      <c r="AV15" s="39">
        <v>7.4398760078538458E-3</v>
      </c>
      <c r="AW15" s="39">
        <v>6.847576912862992E-3</v>
      </c>
      <c r="AX15" s="39">
        <v>7.2738149731352826E-5</v>
      </c>
      <c r="AY15" s="39">
        <v>6.1927632130133101E-5</v>
      </c>
      <c r="AZ15" s="39" t="s">
        <v>152</v>
      </c>
      <c r="BA15" s="39" t="s">
        <v>152</v>
      </c>
      <c r="BB15" s="39" t="s">
        <v>152</v>
      </c>
      <c r="BC15" s="39" t="s">
        <v>152</v>
      </c>
      <c r="BD15" s="39" t="s">
        <v>152</v>
      </c>
      <c r="BE15" s="39" t="s">
        <v>152</v>
      </c>
      <c r="BF15" s="39" t="s">
        <v>152</v>
      </c>
      <c r="BG15" s="39" t="s">
        <v>152</v>
      </c>
      <c r="BH15" s="39">
        <v>0</v>
      </c>
      <c r="BI15" s="39">
        <v>0</v>
      </c>
      <c r="BJ15" s="39">
        <v>0</v>
      </c>
      <c r="BK15" s="39">
        <v>0</v>
      </c>
      <c r="BL15" s="40">
        <v>0</v>
      </c>
      <c r="BM15" s="40">
        <v>0</v>
      </c>
    </row>
    <row r="16" spans="1:65" x14ac:dyDescent="0.35">
      <c r="A16" s="39">
        <v>15</v>
      </c>
      <c r="B16" s="32" t="s">
        <v>256</v>
      </c>
      <c r="C16" s="32" t="s">
        <v>17</v>
      </c>
      <c r="D16" s="32" t="s">
        <v>1</v>
      </c>
      <c r="E16" s="32" t="s">
        <v>10</v>
      </c>
      <c r="F16" s="39">
        <v>1</v>
      </c>
      <c r="G16" s="39">
        <v>1</v>
      </c>
      <c r="H16" s="39">
        <v>1</v>
      </c>
      <c r="I16" s="39">
        <v>2019</v>
      </c>
      <c r="J16" s="39">
        <v>0</v>
      </c>
      <c r="K16" s="39" t="s">
        <v>152</v>
      </c>
      <c r="L16" s="39">
        <v>302563398919.92755</v>
      </c>
      <c r="M16" s="39">
        <v>15</v>
      </c>
      <c r="N16" s="39">
        <v>3590000000</v>
      </c>
      <c r="O16" s="39">
        <v>46</v>
      </c>
      <c r="P16" s="39">
        <v>25260000000</v>
      </c>
      <c r="Q16" s="39">
        <v>61</v>
      </c>
      <c r="R16" s="19">
        <v>28850000000</v>
      </c>
      <c r="S16" s="39">
        <v>1.1865281831230624E-2</v>
      </c>
      <c r="T16" s="39">
        <v>8.3486634834787063E-2</v>
      </c>
      <c r="U16" s="39">
        <v>9.5351916666017694E-2</v>
      </c>
      <c r="V16" s="39">
        <v>2.6738565353075679E-3</v>
      </c>
      <c r="W16" s="39">
        <v>3.1767990542545969E-2</v>
      </c>
      <c r="X16" s="39">
        <v>1.3463503871049033E-2</v>
      </c>
      <c r="Y16" s="39">
        <v>1697058823.5294118</v>
      </c>
      <c r="Z16" s="39">
        <v>5.6089362744716296E-3</v>
      </c>
      <c r="AA16" s="39">
        <v>1</v>
      </c>
      <c r="AB16" s="39">
        <v>14</v>
      </c>
      <c r="AC16" s="39">
        <v>2639000000</v>
      </c>
      <c r="AD16" s="39">
        <v>5</v>
      </c>
      <c r="AE16" s="39">
        <v>1634400000</v>
      </c>
      <c r="AF16" s="39">
        <v>0</v>
      </c>
      <c r="AG16" s="39">
        <v>0</v>
      </c>
      <c r="AH16" s="39">
        <v>19</v>
      </c>
      <c r="AI16" s="39">
        <v>4273400000</v>
      </c>
      <c r="AJ16" s="39">
        <v>1.4123981999326171E-2</v>
      </c>
      <c r="AK16" s="39">
        <v>0.10720961720491828</v>
      </c>
      <c r="AL16" s="19">
        <v>17335124000</v>
      </c>
      <c r="AM16" s="19">
        <v>1036436000</v>
      </c>
      <c r="AN16" s="39">
        <v>-16298688000</v>
      </c>
      <c r="AO16" s="39">
        <v>18371560000</v>
      </c>
      <c r="AP16" s="39">
        <v>58004860000</v>
      </c>
      <c r="AQ16" s="39">
        <v>47632799000</v>
      </c>
      <c r="AR16" s="39">
        <v>-10372061000</v>
      </c>
      <c r="AS16" s="39">
        <v>105637659000</v>
      </c>
      <c r="AT16" s="39">
        <v>0.29885640617010367</v>
      </c>
      <c r="AU16" s="39">
        <v>2.1758872494559895E-2</v>
      </c>
      <c r="AV16" s="39">
        <v>2.321522435266575E-2</v>
      </c>
      <c r="AW16" s="39">
        <v>2.3022689349290325E-2</v>
      </c>
      <c r="AX16" s="39">
        <v>0.17391108600768973</v>
      </c>
      <c r="AY16" s="39">
        <v>6.0719703921828218E-2</v>
      </c>
      <c r="AZ16" s="39">
        <v>120</v>
      </c>
      <c r="BA16" s="39">
        <v>13120697227.954836</v>
      </c>
      <c r="BB16" s="39">
        <v>79</v>
      </c>
      <c r="BC16" s="39">
        <v>4313536700.984539</v>
      </c>
      <c r="BD16" s="39">
        <v>35</v>
      </c>
      <c r="BE16" s="39">
        <v>8051891621.6969776</v>
      </c>
      <c r="BF16" s="39">
        <v>6</v>
      </c>
      <c r="BG16" s="39">
        <v>755268905.27331805</v>
      </c>
      <c r="BH16" s="39">
        <v>4.3365117111958368E-2</v>
      </c>
      <c r="BI16" s="39">
        <v>1.4256637505999536E-2</v>
      </c>
      <c r="BJ16" s="39">
        <v>2.6612246062941294E-2</v>
      </c>
      <c r="BK16" s="39">
        <v>2.4962335430175333E-3</v>
      </c>
      <c r="BL16" s="40">
        <v>771805719.29146099</v>
      </c>
      <c r="BM16" s="40">
        <v>2.5508892418799043E-3</v>
      </c>
    </row>
    <row r="17" spans="1:65" x14ac:dyDescent="0.35">
      <c r="A17" s="39">
        <v>16</v>
      </c>
      <c r="B17" s="32" t="s">
        <v>257</v>
      </c>
      <c r="C17" s="32" t="s">
        <v>18</v>
      </c>
      <c r="D17" s="32" t="s">
        <v>12</v>
      </c>
      <c r="E17" s="32" t="s">
        <v>13</v>
      </c>
      <c r="F17" s="39">
        <v>0</v>
      </c>
      <c r="G17" s="39">
        <v>0</v>
      </c>
      <c r="H17" s="39">
        <v>1</v>
      </c>
      <c r="I17" s="39">
        <v>2019</v>
      </c>
      <c r="J17" s="39">
        <v>0</v>
      </c>
      <c r="K17" s="39" t="s">
        <v>152</v>
      </c>
      <c r="L17" s="39">
        <v>5209000000</v>
      </c>
      <c r="M17" s="39">
        <v>0</v>
      </c>
      <c r="N17" s="39">
        <v>0</v>
      </c>
      <c r="O17" s="39">
        <v>3</v>
      </c>
      <c r="P17" s="39">
        <v>490000000</v>
      </c>
      <c r="Q17" s="39">
        <v>3</v>
      </c>
      <c r="R17" s="19">
        <v>490000000</v>
      </c>
      <c r="S17" s="39">
        <v>0</v>
      </c>
      <c r="T17" s="39">
        <v>9.4067959301209439E-2</v>
      </c>
      <c r="U17" s="39">
        <v>9.4067959301209439E-2</v>
      </c>
      <c r="V17" s="39">
        <v>0</v>
      </c>
      <c r="W17" s="39">
        <v>6.1624368035817587E-4</v>
      </c>
      <c r="X17" s="39">
        <v>2.2866956314779988E-4</v>
      </c>
      <c r="Y17" s="39">
        <v>28823529.411764707</v>
      </c>
      <c r="Z17" s="39">
        <v>5.5334093706593795E-3</v>
      </c>
      <c r="AA17" s="39">
        <v>0</v>
      </c>
      <c r="AB17" s="39" t="s">
        <v>152</v>
      </c>
      <c r="AC17" s="39" t="s">
        <v>152</v>
      </c>
      <c r="AD17" s="39" t="s">
        <v>152</v>
      </c>
      <c r="AE17" s="39" t="s">
        <v>152</v>
      </c>
      <c r="AF17" s="39" t="s">
        <v>152</v>
      </c>
      <c r="AG17" s="39" t="s">
        <v>152</v>
      </c>
      <c r="AH17" s="39">
        <v>0</v>
      </c>
      <c r="AI17" s="39" t="s">
        <v>152</v>
      </c>
      <c r="AJ17" s="39" t="s">
        <v>152</v>
      </c>
      <c r="AK17" s="39" t="s">
        <v>152</v>
      </c>
      <c r="AL17" s="19">
        <v>155688000</v>
      </c>
      <c r="AM17" s="19">
        <v>41000</v>
      </c>
      <c r="AN17" s="39">
        <v>-155647000</v>
      </c>
      <c r="AO17" s="39">
        <v>155729000</v>
      </c>
      <c r="AP17" s="39">
        <v>1581059000</v>
      </c>
      <c r="AQ17" s="39">
        <v>444089000</v>
      </c>
      <c r="AR17" s="39">
        <v>-1136970000</v>
      </c>
      <c r="AS17" s="39">
        <v>2025148000</v>
      </c>
      <c r="AT17" s="39">
        <v>9.8470708556733177E-2</v>
      </c>
      <c r="AU17" s="39">
        <v>9.2323835987831264E-5</v>
      </c>
      <c r="AV17" s="39">
        <v>6.3278558727322774E-4</v>
      </c>
      <c r="AW17" s="39">
        <v>2.1464460004622007E-4</v>
      </c>
      <c r="AX17" s="39">
        <v>7.6897589707023886E-2</v>
      </c>
      <c r="AY17" s="39">
        <v>2.989614129391438E-2</v>
      </c>
      <c r="AZ17" s="39">
        <v>74</v>
      </c>
      <c r="BA17" s="39">
        <v>237145251.16707271</v>
      </c>
      <c r="BB17" s="39">
        <v>21</v>
      </c>
      <c r="BC17" s="39">
        <v>10215340.313144807</v>
      </c>
      <c r="BD17" s="39">
        <v>53</v>
      </c>
      <c r="BE17" s="39">
        <v>226929910.85392791</v>
      </c>
      <c r="BF17" s="39">
        <v>0</v>
      </c>
      <c r="BG17" s="39">
        <v>0</v>
      </c>
      <c r="BH17" s="39">
        <v>4.5526060888284259E-2</v>
      </c>
      <c r="BI17" s="39">
        <v>1.9610943200508366E-3</v>
      </c>
      <c r="BJ17" s="39">
        <v>4.3564966568233422E-2</v>
      </c>
      <c r="BK17" s="39">
        <v>0</v>
      </c>
      <c r="BL17" s="40">
        <v>13949720.65688663</v>
      </c>
      <c r="BM17" s="40">
        <v>2.6780035816637801E-3</v>
      </c>
    </row>
    <row r="18" spans="1:65" x14ac:dyDescent="0.35">
      <c r="A18" s="39">
        <v>17</v>
      </c>
      <c r="B18" s="32" t="s">
        <v>258</v>
      </c>
      <c r="C18" s="32" t="s">
        <v>19</v>
      </c>
      <c r="D18" s="32" t="s">
        <v>4</v>
      </c>
      <c r="E18" s="32" t="s">
        <v>5</v>
      </c>
      <c r="F18" s="39">
        <v>3</v>
      </c>
      <c r="G18" s="39">
        <v>0</v>
      </c>
      <c r="H18" s="39">
        <v>1</v>
      </c>
      <c r="I18" s="39">
        <v>2013</v>
      </c>
      <c r="J18" s="39">
        <v>0</v>
      </c>
      <c r="K18" s="39" t="s">
        <v>152</v>
      </c>
      <c r="L18" s="39">
        <v>64409647193.804375</v>
      </c>
      <c r="M18" s="39">
        <v>8</v>
      </c>
      <c r="N18" s="39">
        <v>3460000000</v>
      </c>
      <c r="O18" s="39">
        <v>9</v>
      </c>
      <c r="P18" s="39">
        <v>2720000000</v>
      </c>
      <c r="Q18" s="39">
        <v>17</v>
      </c>
      <c r="R18" s="19">
        <v>6180000000</v>
      </c>
      <c r="S18" s="39">
        <v>5.3718660957559485E-2</v>
      </c>
      <c r="T18" s="39">
        <v>4.2229698787445605E-2</v>
      </c>
      <c r="U18" s="39">
        <v>9.5948359745005096E-2</v>
      </c>
      <c r="V18" s="39">
        <v>2.5770316468423913E-3</v>
      </c>
      <c r="W18" s="39">
        <v>3.4207812460698745E-3</v>
      </c>
      <c r="X18" s="39">
        <v>2.8840365311293943E-3</v>
      </c>
      <c r="Y18" s="39">
        <v>363529411.7647059</v>
      </c>
      <c r="Z18" s="39">
        <v>5.6440211614708878E-3</v>
      </c>
      <c r="AA18" s="39">
        <v>2</v>
      </c>
      <c r="AB18" s="39">
        <v>0</v>
      </c>
      <c r="AC18" s="39">
        <v>0</v>
      </c>
      <c r="AD18" s="39">
        <v>2</v>
      </c>
      <c r="AE18" s="39">
        <v>231000000</v>
      </c>
      <c r="AF18" s="39">
        <v>0</v>
      </c>
      <c r="AG18" s="39">
        <v>0</v>
      </c>
      <c r="AH18" s="39">
        <v>2</v>
      </c>
      <c r="AI18" s="39">
        <v>231000000</v>
      </c>
      <c r="AJ18" s="39">
        <v>3.5864192720220351E-3</v>
      </c>
      <c r="AK18" s="39">
        <v>5.7952500524959339E-3</v>
      </c>
      <c r="AL18" s="19">
        <v>1777676000</v>
      </c>
      <c r="AM18" s="19">
        <v>634666000</v>
      </c>
      <c r="AN18" s="39">
        <v>-1143010000</v>
      </c>
      <c r="AO18" s="39">
        <v>2412342000</v>
      </c>
      <c r="AP18" s="39">
        <v>39476679000</v>
      </c>
      <c r="AQ18" s="39">
        <v>32955122000</v>
      </c>
      <c r="AR18" s="39">
        <v>-6521557000</v>
      </c>
      <c r="AS18" s="39">
        <v>72431801000</v>
      </c>
      <c r="AT18" s="39">
        <v>4.5031042251553126E-2</v>
      </c>
      <c r="AU18" s="39">
        <v>1.9258493414164874E-2</v>
      </c>
      <c r="AV18" s="39">
        <v>1.5799709880916335E-2</v>
      </c>
      <c r="AW18" s="39">
        <v>1.5928426466686605E-2</v>
      </c>
      <c r="AX18" s="39">
        <v>3.3305011979475697E-2</v>
      </c>
      <c r="AY18" s="39">
        <v>3.7453116188347103E-2</v>
      </c>
      <c r="AZ18" s="39">
        <v>112</v>
      </c>
      <c r="BA18" s="39">
        <v>43845023715.92009</v>
      </c>
      <c r="BB18" s="39">
        <v>30</v>
      </c>
      <c r="BC18" s="39">
        <v>523596159.95291084</v>
      </c>
      <c r="BD18" s="39">
        <v>63</v>
      </c>
      <c r="BE18" s="39">
        <v>29055329693.990318</v>
      </c>
      <c r="BF18" s="39">
        <v>19</v>
      </c>
      <c r="BG18" s="39">
        <v>14266097861.976858</v>
      </c>
      <c r="BH18" s="39">
        <v>0.68072137678371858</v>
      </c>
      <c r="BI18" s="39">
        <v>8.1291573974539028E-3</v>
      </c>
      <c r="BJ18" s="39">
        <v>0.45110214012762329</v>
      </c>
      <c r="BK18" s="39">
        <v>0.22149007925864136</v>
      </c>
      <c r="BL18" s="40">
        <v>2579119042.1129465</v>
      </c>
      <c r="BM18" s="40">
        <v>4.0042433928454038E-2</v>
      </c>
    </row>
    <row r="19" spans="1:65" x14ac:dyDescent="0.35">
      <c r="A19" s="39">
        <v>18</v>
      </c>
      <c r="B19" s="32" t="s">
        <v>259</v>
      </c>
      <c r="C19" s="32" t="s">
        <v>175</v>
      </c>
      <c r="D19" s="32" t="s">
        <v>4</v>
      </c>
      <c r="E19" s="32" t="s">
        <v>13</v>
      </c>
      <c r="F19" s="39">
        <v>0</v>
      </c>
      <c r="G19" s="39">
        <v>0</v>
      </c>
      <c r="H19" s="39">
        <v>0</v>
      </c>
      <c r="I19" s="39" t="s">
        <v>152</v>
      </c>
      <c r="J19" s="39">
        <v>0</v>
      </c>
      <c r="K19" s="39" t="s">
        <v>152</v>
      </c>
      <c r="L19" s="39">
        <v>533254518108.23444</v>
      </c>
      <c r="M19" s="39">
        <v>10</v>
      </c>
      <c r="N19" s="39">
        <v>4630000000</v>
      </c>
      <c r="O19" s="39">
        <v>0</v>
      </c>
      <c r="P19" s="39">
        <v>0</v>
      </c>
      <c r="Q19" s="39">
        <v>10</v>
      </c>
      <c r="R19" s="19">
        <v>4630000000</v>
      </c>
      <c r="S19" s="39">
        <v>8.6825330921251592E-3</v>
      </c>
      <c r="T19" s="39">
        <v>0</v>
      </c>
      <c r="U19" s="39">
        <v>8.6825330921251592E-3</v>
      </c>
      <c r="V19" s="39">
        <v>3.4484556430289803E-3</v>
      </c>
      <c r="W19" s="39">
        <v>0</v>
      </c>
      <c r="X19" s="39">
        <v>2.1606940354577824E-3</v>
      </c>
      <c r="Y19" s="39">
        <v>272352941.17647058</v>
      </c>
      <c r="Z19" s="39">
        <v>5.1073724071324462E-4</v>
      </c>
      <c r="AA19" s="39">
        <v>2</v>
      </c>
      <c r="AB19" s="39">
        <v>0</v>
      </c>
      <c r="AC19" s="39">
        <v>0</v>
      </c>
      <c r="AD19" s="39">
        <v>0</v>
      </c>
      <c r="AE19" s="39">
        <v>0</v>
      </c>
      <c r="AF19" s="39">
        <v>0</v>
      </c>
      <c r="AG19" s="39">
        <v>0</v>
      </c>
      <c r="AH19" s="39">
        <v>0</v>
      </c>
      <c r="AI19" s="39">
        <v>0</v>
      </c>
      <c r="AJ19" s="39">
        <v>0</v>
      </c>
      <c r="AK19" s="39">
        <v>0</v>
      </c>
      <c r="AL19" s="19">
        <v>18242346000</v>
      </c>
      <c r="AM19" s="19">
        <v>7921361000</v>
      </c>
      <c r="AN19" s="39">
        <v>-10320985000</v>
      </c>
      <c r="AO19" s="39">
        <v>26163707000</v>
      </c>
      <c r="AP19" s="39">
        <v>427766455000</v>
      </c>
      <c r="AQ19" s="39">
        <v>446876870000</v>
      </c>
      <c r="AR19" s="39">
        <v>19110415000</v>
      </c>
      <c r="AS19" s="39">
        <v>874643325000</v>
      </c>
      <c r="AT19" s="39">
        <v>4.2645573973302792E-2</v>
      </c>
      <c r="AU19" s="39">
        <v>1.7726048340787923E-2</v>
      </c>
      <c r="AV19" s="39">
        <v>0.171204520162095</v>
      </c>
      <c r="AW19" s="39">
        <v>0.21599208048624638</v>
      </c>
      <c r="AX19" s="39">
        <v>2.9913573055622415E-2</v>
      </c>
      <c r="AY19" s="39">
        <v>4.906420126137509E-2</v>
      </c>
      <c r="AZ19" s="39" t="s">
        <v>152</v>
      </c>
      <c r="BA19" s="39" t="s">
        <v>152</v>
      </c>
      <c r="BB19" s="39" t="s">
        <v>152</v>
      </c>
      <c r="BC19" s="39" t="s">
        <v>152</v>
      </c>
      <c r="BD19" s="39" t="s">
        <v>152</v>
      </c>
      <c r="BE19" s="39" t="s">
        <v>152</v>
      </c>
      <c r="BF19" s="39" t="s">
        <v>152</v>
      </c>
      <c r="BG19" s="39" t="s">
        <v>152</v>
      </c>
      <c r="BH19" s="39">
        <v>0</v>
      </c>
      <c r="BI19" s="39">
        <v>0</v>
      </c>
      <c r="BJ19" s="39">
        <v>0</v>
      </c>
      <c r="BK19" s="39">
        <v>0</v>
      </c>
      <c r="BL19" s="40">
        <v>0</v>
      </c>
      <c r="BM19" s="40">
        <v>0</v>
      </c>
    </row>
    <row r="20" spans="1:65" x14ac:dyDescent="0.35">
      <c r="A20" s="39">
        <v>19</v>
      </c>
      <c r="B20" s="32" t="s">
        <v>260</v>
      </c>
      <c r="C20" s="32" t="s">
        <v>163</v>
      </c>
      <c r="D20" s="32" t="s">
        <v>12</v>
      </c>
      <c r="E20" s="32" t="s">
        <v>10</v>
      </c>
      <c r="F20" s="39">
        <v>0</v>
      </c>
      <c r="G20" s="39">
        <v>0</v>
      </c>
      <c r="H20" s="39">
        <v>0</v>
      </c>
      <c r="I20" s="39" t="s">
        <v>152</v>
      </c>
      <c r="J20" s="39">
        <v>2</v>
      </c>
      <c r="K20" s="39" t="s">
        <v>152</v>
      </c>
      <c r="L20" s="39">
        <v>1982518540.6134</v>
      </c>
      <c r="M20" s="39">
        <v>0</v>
      </c>
      <c r="N20" s="39">
        <v>0</v>
      </c>
      <c r="O20" s="39">
        <v>0</v>
      </c>
      <c r="P20" s="39">
        <v>0</v>
      </c>
      <c r="Q20" s="39">
        <v>0</v>
      </c>
      <c r="R20" s="19">
        <v>0</v>
      </c>
      <c r="S20" s="39">
        <v>0</v>
      </c>
      <c r="T20" s="39">
        <v>0</v>
      </c>
      <c r="U20" s="39">
        <v>0</v>
      </c>
      <c r="V20" s="39">
        <v>0</v>
      </c>
      <c r="W20" s="39">
        <v>0</v>
      </c>
      <c r="X20" s="39">
        <v>0</v>
      </c>
      <c r="Y20" s="39">
        <v>0</v>
      </c>
      <c r="Z20" s="39">
        <v>0</v>
      </c>
      <c r="AA20" s="39">
        <v>0</v>
      </c>
      <c r="AB20" s="39" t="s">
        <v>152</v>
      </c>
      <c r="AC20" s="39" t="s">
        <v>152</v>
      </c>
      <c r="AD20" s="39" t="s">
        <v>152</v>
      </c>
      <c r="AE20" s="39" t="s">
        <v>152</v>
      </c>
      <c r="AF20" s="39" t="s">
        <v>152</v>
      </c>
      <c r="AG20" s="39" t="s">
        <v>152</v>
      </c>
      <c r="AH20" s="39">
        <v>0</v>
      </c>
      <c r="AI20" s="39" t="s">
        <v>152</v>
      </c>
      <c r="AJ20" s="39" t="s">
        <v>152</v>
      </c>
      <c r="AK20" s="39" t="s">
        <v>152</v>
      </c>
      <c r="AL20" s="19">
        <v>116803000</v>
      </c>
      <c r="AM20" s="19">
        <v>648000</v>
      </c>
      <c r="AN20" s="39">
        <v>-116155000</v>
      </c>
      <c r="AO20" s="39">
        <v>117451000</v>
      </c>
      <c r="AP20" s="39">
        <v>985894000</v>
      </c>
      <c r="AQ20" s="39">
        <v>244906000</v>
      </c>
      <c r="AR20" s="39">
        <v>-740988000</v>
      </c>
      <c r="AS20" s="39">
        <v>1230800000</v>
      </c>
      <c r="AT20" s="39">
        <v>0.1184741970232094</v>
      </c>
      <c r="AU20" s="39">
        <v>2.6459131258523678E-3</v>
      </c>
      <c r="AV20" s="39">
        <v>3.9458332281031358E-4</v>
      </c>
      <c r="AW20" s="39">
        <v>1.1837210653477021E-4</v>
      </c>
      <c r="AX20" s="39">
        <v>9.542655183620409E-2</v>
      </c>
      <c r="AY20" s="39">
        <v>5.924332993307601E-2</v>
      </c>
      <c r="AZ20" s="39">
        <v>0</v>
      </c>
      <c r="BA20" s="39" t="s">
        <v>152</v>
      </c>
      <c r="BB20" s="39" t="s">
        <v>152</v>
      </c>
      <c r="BC20" s="39" t="s">
        <v>152</v>
      </c>
      <c r="BD20" s="39" t="s">
        <v>152</v>
      </c>
      <c r="BE20" s="39" t="s">
        <v>152</v>
      </c>
      <c r="BF20" s="39" t="s">
        <v>152</v>
      </c>
      <c r="BG20" s="39" t="s">
        <v>152</v>
      </c>
      <c r="BH20" s="39">
        <v>0</v>
      </c>
      <c r="BI20" s="39">
        <v>0</v>
      </c>
      <c r="BJ20" s="39">
        <v>0</v>
      </c>
      <c r="BK20" s="39">
        <v>0</v>
      </c>
      <c r="BL20" s="40">
        <v>0</v>
      </c>
      <c r="BM20" s="40">
        <v>0</v>
      </c>
    </row>
    <row r="21" spans="1:65" x14ac:dyDescent="0.35">
      <c r="A21" s="39">
        <v>20</v>
      </c>
      <c r="B21" s="32" t="s">
        <v>261</v>
      </c>
      <c r="C21" s="32" t="s">
        <v>133</v>
      </c>
      <c r="D21" s="32" t="s">
        <v>9</v>
      </c>
      <c r="E21" s="32" t="s">
        <v>10</v>
      </c>
      <c r="F21" s="39">
        <v>0</v>
      </c>
      <c r="G21" s="39">
        <v>0</v>
      </c>
      <c r="H21" s="39">
        <v>1</v>
      </c>
      <c r="I21" s="39" t="s">
        <v>152</v>
      </c>
      <c r="J21" s="39">
        <v>0</v>
      </c>
      <c r="K21" s="39" t="s">
        <v>152</v>
      </c>
      <c r="L21" s="39">
        <v>14391686309.032972</v>
      </c>
      <c r="M21" s="39">
        <v>1</v>
      </c>
      <c r="N21" s="39">
        <v>240000000</v>
      </c>
      <c r="O21" s="39">
        <v>3</v>
      </c>
      <c r="P21" s="39">
        <v>1490000000</v>
      </c>
      <c r="Q21" s="39">
        <v>4</v>
      </c>
      <c r="R21" s="19">
        <v>1730000000</v>
      </c>
      <c r="S21" s="39">
        <v>1.6676294552735178E-2</v>
      </c>
      <c r="T21" s="39">
        <v>0.1035319953482309</v>
      </c>
      <c r="U21" s="39">
        <v>0.12020828990096608</v>
      </c>
      <c r="V21" s="39">
        <v>1.7875364024340286E-4</v>
      </c>
      <c r="W21" s="39">
        <v>1.8738838443544533E-3</v>
      </c>
      <c r="X21" s="39">
        <v>8.0734355968508937E-4</v>
      </c>
      <c r="Y21" s="39">
        <v>101764705.88235295</v>
      </c>
      <c r="Z21" s="39">
        <v>7.0710758765274171E-3</v>
      </c>
      <c r="AA21" s="39">
        <v>2</v>
      </c>
      <c r="AB21" s="39">
        <v>0</v>
      </c>
      <c r="AC21" s="39">
        <v>0</v>
      </c>
      <c r="AD21" s="39">
        <v>0</v>
      </c>
      <c r="AE21" s="39">
        <v>0</v>
      </c>
      <c r="AF21" s="39">
        <v>0</v>
      </c>
      <c r="AG21" s="39">
        <v>0</v>
      </c>
      <c r="AH21" s="39">
        <v>0</v>
      </c>
      <c r="AI21" s="39">
        <v>0</v>
      </c>
      <c r="AJ21" s="39">
        <v>0</v>
      </c>
      <c r="AK21" s="39">
        <v>0</v>
      </c>
      <c r="AL21" s="19">
        <v>2155750000</v>
      </c>
      <c r="AM21" s="19">
        <v>62786000</v>
      </c>
      <c r="AN21" s="39">
        <v>-2092964000</v>
      </c>
      <c r="AO21" s="39">
        <v>2218536000</v>
      </c>
      <c r="AP21" s="39">
        <v>2928973000</v>
      </c>
      <c r="AQ21" s="39">
        <v>850666000</v>
      </c>
      <c r="AR21" s="39">
        <v>-2078307000</v>
      </c>
      <c r="AS21" s="39">
        <v>3779639000</v>
      </c>
      <c r="AT21" s="39">
        <v>0.73600883313024734</v>
      </c>
      <c r="AU21" s="39">
        <v>7.3808051573708136E-2</v>
      </c>
      <c r="AV21" s="39">
        <v>1.1722597954361145E-3</v>
      </c>
      <c r="AW21" s="39">
        <v>4.1115826634507453E-4</v>
      </c>
      <c r="AX21" s="39">
        <v>0.58697034293486761</v>
      </c>
      <c r="AY21" s="39">
        <v>0.15415399921602871</v>
      </c>
      <c r="AZ21" s="39">
        <v>107</v>
      </c>
      <c r="BA21" s="39">
        <v>1617030787.8226161</v>
      </c>
      <c r="BB21" s="39">
        <v>97</v>
      </c>
      <c r="BC21" s="39">
        <v>1265774443.634197</v>
      </c>
      <c r="BD21" s="39">
        <v>8</v>
      </c>
      <c r="BE21" s="39">
        <v>351256344.18841916</v>
      </c>
      <c r="BF21" s="39">
        <v>2</v>
      </c>
      <c r="BG21" s="39">
        <v>0</v>
      </c>
      <c r="BH21" s="39">
        <v>0.1123586738273807</v>
      </c>
      <c r="BI21" s="39">
        <v>8.7951781080701508E-2</v>
      </c>
      <c r="BJ21" s="39">
        <v>2.4406892746679197E-2</v>
      </c>
      <c r="BK21" s="39">
        <v>0</v>
      </c>
      <c r="BL21" s="40">
        <v>95119458.107212707</v>
      </c>
      <c r="BM21" s="40">
        <v>6.6093337545518049E-3</v>
      </c>
    </row>
    <row r="22" spans="1:65" x14ac:dyDescent="0.35">
      <c r="A22" s="39">
        <v>21</v>
      </c>
      <c r="B22" s="32" t="s">
        <v>262</v>
      </c>
      <c r="C22" s="32" t="s">
        <v>191</v>
      </c>
      <c r="D22" s="32" t="s">
        <v>215</v>
      </c>
      <c r="E22" s="32" t="s">
        <v>13</v>
      </c>
      <c r="F22" s="39">
        <v>0</v>
      </c>
      <c r="G22" s="39">
        <v>0</v>
      </c>
      <c r="H22" s="39">
        <v>0</v>
      </c>
      <c r="I22" s="39" t="s">
        <v>152</v>
      </c>
      <c r="J22" s="39">
        <v>0</v>
      </c>
      <c r="K22" s="39" t="s">
        <v>152</v>
      </c>
      <c r="L22" s="39">
        <v>7484113000</v>
      </c>
      <c r="M22" s="39">
        <v>0</v>
      </c>
      <c r="N22" s="39">
        <v>0</v>
      </c>
      <c r="O22" s="39">
        <v>0</v>
      </c>
      <c r="P22" s="39">
        <v>0</v>
      </c>
      <c r="Q22" s="39">
        <v>0</v>
      </c>
      <c r="R22" s="19">
        <v>0</v>
      </c>
      <c r="S22" s="39">
        <v>0</v>
      </c>
      <c r="T22" s="39">
        <v>0</v>
      </c>
      <c r="U22" s="39">
        <v>0</v>
      </c>
      <c r="V22" s="39">
        <v>0</v>
      </c>
      <c r="W22" s="39">
        <v>0</v>
      </c>
      <c r="X22" s="39">
        <v>0</v>
      </c>
      <c r="Y22" s="39">
        <v>0</v>
      </c>
      <c r="Z22" s="39">
        <v>0</v>
      </c>
      <c r="AA22" s="39">
        <v>0</v>
      </c>
      <c r="AB22" s="39" t="s">
        <v>152</v>
      </c>
      <c r="AC22" s="39" t="s">
        <v>152</v>
      </c>
      <c r="AD22" s="39" t="s">
        <v>152</v>
      </c>
      <c r="AE22" s="39" t="s">
        <v>152</v>
      </c>
      <c r="AF22" s="39" t="s">
        <v>152</v>
      </c>
      <c r="AG22" s="39" t="s">
        <v>152</v>
      </c>
      <c r="AH22" s="39">
        <v>0</v>
      </c>
      <c r="AI22" s="39" t="s">
        <v>152</v>
      </c>
      <c r="AJ22" s="39" t="s">
        <v>152</v>
      </c>
      <c r="AK22" s="39" t="s">
        <v>152</v>
      </c>
      <c r="AL22" s="19">
        <v>25093000</v>
      </c>
      <c r="AM22" s="19">
        <v>79000</v>
      </c>
      <c r="AN22" s="39">
        <v>-25014000</v>
      </c>
      <c r="AO22" s="39">
        <v>25172000</v>
      </c>
      <c r="AP22" s="39">
        <v>1119092000</v>
      </c>
      <c r="AQ22" s="39">
        <v>26833000</v>
      </c>
      <c r="AR22" s="39">
        <v>-1092259000</v>
      </c>
      <c r="AS22" s="39">
        <v>1145925000</v>
      </c>
      <c r="AT22" s="39">
        <v>2.2422642642427968E-2</v>
      </c>
      <c r="AU22" s="39">
        <v>2.9441359519994039E-3</v>
      </c>
      <c r="AV22" s="39">
        <v>4.4789301881382733E-4</v>
      </c>
      <c r="AW22" s="39">
        <v>1.2969379005199909E-5</v>
      </c>
      <c r="AX22" s="39">
        <v>2.1966533586403998E-2</v>
      </c>
      <c r="AY22" s="39">
        <v>3.3633912261880599E-3</v>
      </c>
      <c r="AZ22" s="39" t="s">
        <v>152</v>
      </c>
      <c r="BA22" s="39" t="s">
        <v>152</v>
      </c>
      <c r="BB22" s="39" t="s">
        <v>152</v>
      </c>
      <c r="BC22" s="39" t="s">
        <v>152</v>
      </c>
      <c r="BD22" s="39" t="s">
        <v>152</v>
      </c>
      <c r="BE22" s="39" t="s">
        <v>152</v>
      </c>
      <c r="BF22" s="39" t="s">
        <v>152</v>
      </c>
      <c r="BG22" s="39" t="s">
        <v>152</v>
      </c>
      <c r="BH22" s="39">
        <v>0</v>
      </c>
      <c r="BI22" s="39">
        <v>0</v>
      </c>
      <c r="BJ22" s="39">
        <v>0</v>
      </c>
      <c r="BK22" s="39">
        <v>0</v>
      </c>
      <c r="BL22" s="40">
        <v>0</v>
      </c>
      <c r="BM22" s="40">
        <v>0</v>
      </c>
    </row>
    <row r="23" spans="1:65" x14ac:dyDescent="0.35">
      <c r="A23" s="39">
        <v>22</v>
      </c>
      <c r="B23" s="32" t="s">
        <v>263</v>
      </c>
      <c r="C23" s="32" t="s">
        <v>214</v>
      </c>
      <c r="D23" s="32" t="s">
        <v>1</v>
      </c>
      <c r="E23" s="32" t="s">
        <v>10</v>
      </c>
      <c r="F23" s="39">
        <v>0</v>
      </c>
      <c r="G23" s="39">
        <v>0</v>
      </c>
      <c r="H23" s="39">
        <v>0</v>
      </c>
      <c r="I23" s="39" t="s">
        <v>152</v>
      </c>
      <c r="J23" s="39">
        <v>0</v>
      </c>
      <c r="K23" s="39" t="s">
        <v>152</v>
      </c>
      <c r="L23" s="39">
        <v>2530547157.566781</v>
      </c>
      <c r="M23" s="39">
        <v>0</v>
      </c>
      <c r="N23" s="39">
        <v>0</v>
      </c>
      <c r="O23" s="39">
        <v>0</v>
      </c>
      <c r="P23" s="39">
        <v>0</v>
      </c>
      <c r="Q23" s="39">
        <v>0</v>
      </c>
      <c r="R23" s="19">
        <v>5060000000</v>
      </c>
      <c r="S23" s="39">
        <v>0</v>
      </c>
      <c r="T23" s="39">
        <v>0</v>
      </c>
      <c r="U23" s="39">
        <v>1.9995675578973939</v>
      </c>
      <c r="V23" s="39">
        <v>0</v>
      </c>
      <c r="W23" s="39">
        <v>0</v>
      </c>
      <c r="X23" s="39">
        <v>2.361363243934423E-3</v>
      </c>
      <c r="Y23" s="39">
        <v>297647058.82352942</v>
      </c>
      <c r="Z23" s="39">
        <v>0.11762162105278788</v>
      </c>
      <c r="AA23" s="39">
        <v>0</v>
      </c>
      <c r="AB23" s="39" t="s">
        <v>152</v>
      </c>
      <c r="AC23" s="39" t="s">
        <v>152</v>
      </c>
      <c r="AD23" s="39" t="s">
        <v>152</v>
      </c>
      <c r="AE23" s="39" t="s">
        <v>152</v>
      </c>
      <c r="AF23" s="39" t="s">
        <v>152</v>
      </c>
      <c r="AG23" s="39" t="s">
        <v>152</v>
      </c>
      <c r="AH23" s="39">
        <v>0</v>
      </c>
      <c r="AI23" s="39" t="s">
        <v>152</v>
      </c>
      <c r="AJ23" s="39" t="s">
        <v>152</v>
      </c>
      <c r="AK23" s="39" t="s">
        <v>152</v>
      </c>
      <c r="AL23" s="19">
        <v>10805000</v>
      </c>
      <c r="AM23" s="19">
        <v>46000</v>
      </c>
      <c r="AN23" s="39">
        <v>-10759000</v>
      </c>
      <c r="AO23" s="39">
        <v>10851000</v>
      </c>
      <c r="AP23" s="39">
        <v>825067000</v>
      </c>
      <c r="AQ23" s="39">
        <v>279132000</v>
      </c>
      <c r="AR23" s="39">
        <v>-545935000</v>
      </c>
      <c r="AS23" s="39">
        <v>1104199000</v>
      </c>
      <c r="AT23" s="39">
        <v>1.3095906150652007E-2</v>
      </c>
      <c r="AU23" s="39">
        <v>1.6479658369516931E-4</v>
      </c>
      <c r="AV23" s="39">
        <v>3.3021570108057968E-4</v>
      </c>
      <c r="AW23" s="39">
        <v>1.3491479523271573E-4</v>
      </c>
      <c r="AX23" s="39">
        <v>9.8270329895245329E-3</v>
      </c>
      <c r="AY23" s="39">
        <v>4.2880054487637589E-3</v>
      </c>
      <c r="AZ23" s="39">
        <v>0</v>
      </c>
      <c r="BA23" s="39" t="s">
        <v>152</v>
      </c>
      <c r="BB23" s="39" t="s">
        <v>152</v>
      </c>
      <c r="BC23" s="39" t="s">
        <v>152</v>
      </c>
      <c r="BD23" s="39" t="s">
        <v>152</v>
      </c>
      <c r="BE23" s="39" t="s">
        <v>152</v>
      </c>
      <c r="BF23" s="39" t="s">
        <v>152</v>
      </c>
      <c r="BG23" s="39" t="s">
        <v>152</v>
      </c>
      <c r="BH23" s="39">
        <v>0</v>
      </c>
      <c r="BI23" s="39">
        <v>0</v>
      </c>
      <c r="BJ23" s="39">
        <v>0</v>
      </c>
      <c r="BK23" s="39">
        <v>0</v>
      </c>
      <c r="BL23" s="40">
        <v>0</v>
      </c>
      <c r="BM23" s="40">
        <v>0</v>
      </c>
    </row>
    <row r="24" spans="1:65" x14ac:dyDescent="0.35">
      <c r="A24" s="39">
        <v>23</v>
      </c>
      <c r="B24" s="32" t="s">
        <v>264</v>
      </c>
      <c r="C24" s="32" t="s">
        <v>20</v>
      </c>
      <c r="D24" s="32" t="s">
        <v>12</v>
      </c>
      <c r="E24" s="32" t="s">
        <v>10</v>
      </c>
      <c r="F24" s="39">
        <v>2</v>
      </c>
      <c r="G24" s="39">
        <v>0</v>
      </c>
      <c r="H24" s="39">
        <v>1</v>
      </c>
      <c r="I24" s="39">
        <v>2018</v>
      </c>
      <c r="J24" s="39">
        <v>0</v>
      </c>
      <c r="K24" s="39" t="s">
        <v>152</v>
      </c>
      <c r="L24" s="39">
        <v>40895322850.940666</v>
      </c>
      <c r="M24" s="39">
        <v>1</v>
      </c>
      <c r="N24" s="39">
        <v>170000000</v>
      </c>
      <c r="O24" s="39">
        <v>17</v>
      </c>
      <c r="P24" s="39">
        <v>4890000000</v>
      </c>
      <c r="Q24" s="39">
        <v>18</v>
      </c>
      <c r="R24" s="19">
        <v>5060000000</v>
      </c>
      <c r="S24" s="39">
        <v>4.1569545891502772E-3</v>
      </c>
      <c r="T24" s="39">
        <v>0.11957357612320503</v>
      </c>
      <c r="U24" s="39">
        <v>0.1237305307123553</v>
      </c>
      <c r="V24" s="39">
        <v>1.2661716183907704E-4</v>
      </c>
      <c r="W24" s="39">
        <v>6.1498604019417967E-3</v>
      </c>
      <c r="X24" s="39">
        <v>2.361363243934423E-3</v>
      </c>
      <c r="Y24" s="39">
        <v>297647058.82352942</v>
      </c>
      <c r="Z24" s="39">
        <v>7.2782665124914887E-3</v>
      </c>
      <c r="AA24" s="39">
        <v>3</v>
      </c>
      <c r="AB24" s="39">
        <v>0</v>
      </c>
      <c r="AC24" s="39">
        <v>0</v>
      </c>
      <c r="AD24" s="39">
        <v>0</v>
      </c>
      <c r="AE24" s="39">
        <v>0</v>
      </c>
      <c r="AF24" s="39">
        <v>0</v>
      </c>
      <c r="AG24" s="39">
        <v>0</v>
      </c>
      <c r="AH24" s="39">
        <v>0</v>
      </c>
      <c r="AI24" s="39">
        <v>0</v>
      </c>
      <c r="AJ24" s="39">
        <v>0</v>
      </c>
      <c r="AK24" s="39">
        <v>0</v>
      </c>
      <c r="AL24" s="19">
        <v>2126481000</v>
      </c>
      <c r="AM24" s="19">
        <v>403561000</v>
      </c>
      <c r="AN24" s="39">
        <v>-1722920000</v>
      </c>
      <c r="AO24" s="39">
        <v>2530042000</v>
      </c>
      <c r="AP24" s="39">
        <v>9784564000</v>
      </c>
      <c r="AQ24" s="39">
        <v>8924398000</v>
      </c>
      <c r="AR24" s="39">
        <v>-860166000</v>
      </c>
      <c r="AS24" s="39">
        <v>18708962000</v>
      </c>
      <c r="AT24" s="39">
        <v>0.21733017434399735</v>
      </c>
      <c r="AU24" s="39">
        <v>4.5219968898742524E-2</v>
      </c>
      <c r="AV24" s="39">
        <v>3.916065799538463E-3</v>
      </c>
      <c r="AW24" s="39">
        <v>4.3134908528769823E-3</v>
      </c>
      <c r="AX24" s="39">
        <v>0.13523155373344603</v>
      </c>
      <c r="AY24" s="39">
        <v>6.1866292368487917E-2</v>
      </c>
      <c r="AZ24" s="39">
        <v>103</v>
      </c>
      <c r="BA24" s="39">
        <v>5775620046.4463949</v>
      </c>
      <c r="BB24" s="39">
        <v>73</v>
      </c>
      <c r="BC24" s="39">
        <v>461907741.31260389</v>
      </c>
      <c r="BD24" s="39">
        <v>18</v>
      </c>
      <c r="BE24" s="39">
        <v>3300493884.6819634</v>
      </c>
      <c r="BF24" s="39">
        <v>12</v>
      </c>
      <c r="BG24" s="39">
        <v>2013218420.4518256</v>
      </c>
      <c r="BH24" s="39">
        <v>0.14122935445449222</v>
      </c>
      <c r="BI24" s="39">
        <v>1.1294879441255692E-2</v>
      </c>
      <c r="BJ24" s="39">
        <v>8.0705901178771258E-2</v>
      </c>
      <c r="BK24" s="39">
        <v>4.9228573834465231E-2</v>
      </c>
      <c r="BL24" s="40">
        <v>339742355.67331737</v>
      </c>
      <c r="BM24" s="40">
        <v>8.3076090855583665E-3</v>
      </c>
    </row>
    <row r="25" spans="1:65" x14ac:dyDescent="0.35">
      <c r="A25" s="39">
        <v>24</v>
      </c>
      <c r="B25" s="32" t="s">
        <v>265</v>
      </c>
      <c r="C25" s="32" t="s">
        <v>21</v>
      </c>
      <c r="D25" s="32" t="s">
        <v>4</v>
      </c>
      <c r="E25" s="32" t="s">
        <v>5</v>
      </c>
      <c r="F25" s="39">
        <v>0</v>
      </c>
      <c r="G25" s="39">
        <v>0</v>
      </c>
      <c r="H25" s="39">
        <v>1</v>
      </c>
      <c r="I25" s="39">
        <v>2017</v>
      </c>
      <c r="J25" s="39">
        <v>0</v>
      </c>
      <c r="K25" s="39" t="s">
        <v>152</v>
      </c>
      <c r="L25" s="39">
        <v>20202479537.519318</v>
      </c>
      <c r="M25" s="39">
        <v>2</v>
      </c>
      <c r="N25" s="39">
        <v>990000000</v>
      </c>
      <c r="O25" s="39">
        <v>6</v>
      </c>
      <c r="P25" s="39">
        <v>1500000000</v>
      </c>
      <c r="Q25" s="39">
        <v>8</v>
      </c>
      <c r="R25" s="19">
        <v>2490000000</v>
      </c>
      <c r="S25" s="39">
        <v>4.9003885793395194E-2</v>
      </c>
      <c r="T25" s="39">
        <v>7.4248311808174539E-2</v>
      </c>
      <c r="U25" s="39">
        <v>0.12325219760156973</v>
      </c>
      <c r="V25" s="39">
        <v>7.3735876600403681E-4</v>
      </c>
      <c r="W25" s="39">
        <v>1.886460245994416E-3</v>
      </c>
      <c r="X25" s="39">
        <v>1.1620147188531056E-3</v>
      </c>
      <c r="Y25" s="39">
        <v>146470588.2352941</v>
      </c>
      <c r="Z25" s="39">
        <v>7.2501292706805718E-3</v>
      </c>
      <c r="AA25" s="39">
        <v>0</v>
      </c>
      <c r="AB25" s="39" t="s">
        <v>152</v>
      </c>
      <c r="AC25" s="39" t="s">
        <v>152</v>
      </c>
      <c r="AD25" s="39" t="s">
        <v>152</v>
      </c>
      <c r="AE25" s="39" t="s">
        <v>152</v>
      </c>
      <c r="AF25" s="39" t="s">
        <v>152</v>
      </c>
      <c r="AG25" s="39" t="s">
        <v>152</v>
      </c>
      <c r="AH25" s="39">
        <v>0</v>
      </c>
      <c r="AI25" s="39" t="s">
        <v>152</v>
      </c>
      <c r="AJ25" s="39" t="s">
        <v>152</v>
      </c>
      <c r="AK25" s="39" t="s">
        <v>152</v>
      </c>
      <c r="AL25" s="19">
        <v>829556000</v>
      </c>
      <c r="AM25" s="19">
        <v>17149000</v>
      </c>
      <c r="AN25" s="39">
        <v>-812407000</v>
      </c>
      <c r="AO25" s="39">
        <v>846705000</v>
      </c>
      <c r="AP25" s="39">
        <v>11159373000</v>
      </c>
      <c r="AQ25" s="39">
        <v>6578244000</v>
      </c>
      <c r="AR25" s="39">
        <v>-4581129000</v>
      </c>
      <c r="AS25" s="39">
        <v>17737617000</v>
      </c>
      <c r="AT25" s="39">
        <v>7.4337151379383057E-2</v>
      </c>
      <c r="AU25" s="39">
        <v>2.6069267117486065E-3</v>
      </c>
      <c r="AV25" s="39">
        <v>4.466304165376498E-3</v>
      </c>
      <c r="AW25" s="39">
        <v>3.1795080544360409E-3</v>
      </c>
      <c r="AX25" s="39">
        <v>4.7734991684621447E-2</v>
      </c>
      <c r="AY25" s="39">
        <v>4.1910944566360284E-2</v>
      </c>
      <c r="AZ25" s="39">
        <v>29</v>
      </c>
      <c r="BA25" s="39">
        <v>3078201914.6931601</v>
      </c>
      <c r="BB25" s="39">
        <v>20</v>
      </c>
      <c r="BC25" s="39">
        <v>58625691.477180719</v>
      </c>
      <c r="BD25" s="39">
        <v>7</v>
      </c>
      <c r="BE25" s="39">
        <v>2472009080.1990881</v>
      </c>
      <c r="BF25" s="39">
        <v>2</v>
      </c>
      <c r="BG25" s="39">
        <v>547567143.01689136</v>
      </c>
      <c r="BH25" s="39">
        <v>0.1523675303804384</v>
      </c>
      <c r="BI25" s="39">
        <v>2.9019057471783697E-3</v>
      </c>
      <c r="BJ25" s="39">
        <v>0.12236166731950708</v>
      </c>
      <c r="BK25" s="39">
        <v>2.7103957313752966E-2</v>
      </c>
      <c r="BL25" s="40">
        <v>181070700.86430353</v>
      </c>
      <c r="BM25" s="40">
        <v>8.9627959047316706E-3</v>
      </c>
    </row>
    <row r="26" spans="1:65" x14ac:dyDescent="0.35">
      <c r="A26" s="39">
        <v>25</v>
      </c>
      <c r="B26" s="32" t="s">
        <v>266</v>
      </c>
      <c r="C26" s="32" t="s">
        <v>22</v>
      </c>
      <c r="D26" s="32" t="s">
        <v>9</v>
      </c>
      <c r="E26" s="32" t="s">
        <v>5</v>
      </c>
      <c r="F26" s="39">
        <v>0</v>
      </c>
      <c r="G26" s="39">
        <v>0</v>
      </c>
      <c r="H26" s="39">
        <v>1</v>
      </c>
      <c r="I26" s="39" t="s">
        <v>152</v>
      </c>
      <c r="J26" s="39">
        <v>0</v>
      </c>
      <c r="K26" s="39" t="s">
        <v>152</v>
      </c>
      <c r="L26" s="39">
        <v>18362348887.587276</v>
      </c>
      <c r="M26" s="39">
        <v>6</v>
      </c>
      <c r="N26" s="39">
        <v>1640000000</v>
      </c>
      <c r="O26" s="39">
        <v>0</v>
      </c>
      <c r="P26" s="39">
        <v>0</v>
      </c>
      <c r="Q26" s="39">
        <v>6</v>
      </c>
      <c r="R26" s="19">
        <v>1640000000</v>
      </c>
      <c r="S26" s="39">
        <v>8.9313192448304907E-2</v>
      </c>
      <c r="T26" s="39">
        <v>0</v>
      </c>
      <c r="U26" s="39">
        <v>8.9313192448304907E-2</v>
      </c>
      <c r="V26" s="39">
        <v>1.2214832083299197E-3</v>
      </c>
      <c r="W26" s="39">
        <v>0</v>
      </c>
      <c r="X26" s="39">
        <v>7.6534302767835064E-4</v>
      </c>
      <c r="Y26" s="39">
        <v>96470588.235294119</v>
      </c>
      <c r="Z26" s="39">
        <v>5.2537172028414656E-3</v>
      </c>
      <c r="AA26" s="39">
        <v>0</v>
      </c>
      <c r="AB26" s="39" t="s">
        <v>152</v>
      </c>
      <c r="AC26" s="39" t="s">
        <v>152</v>
      </c>
      <c r="AD26" s="39" t="s">
        <v>152</v>
      </c>
      <c r="AE26" s="39" t="s">
        <v>152</v>
      </c>
      <c r="AF26" s="39" t="s">
        <v>152</v>
      </c>
      <c r="AG26" s="39" t="s">
        <v>152</v>
      </c>
      <c r="AH26" s="39">
        <v>0</v>
      </c>
      <c r="AI26" s="39" t="s">
        <v>152</v>
      </c>
      <c r="AJ26" s="39" t="s">
        <v>152</v>
      </c>
      <c r="AK26" s="39" t="s">
        <v>152</v>
      </c>
      <c r="AL26" s="19">
        <v>125605000</v>
      </c>
      <c r="AM26" s="19">
        <v>80000</v>
      </c>
      <c r="AN26" s="39">
        <v>-125525000</v>
      </c>
      <c r="AO26" s="39">
        <v>125685000</v>
      </c>
      <c r="AP26" s="39">
        <v>6558523000</v>
      </c>
      <c r="AQ26" s="39">
        <v>5238079000</v>
      </c>
      <c r="AR26" s="39">
        <v>-1320444000</v>
      </c>
      <c r="AS26" s="39">
        <v>11796602000</v>
      </c>
      <c r="AT26" s="39">
        <v>1.9151415646480159E-2</v>
      </c>
      <c r="AU26" s="39">
        <v>1.5272774618328589E-5</v>
      </c>
      <c r="AV26" s="39">
        <v>2.6249107896669081E-3</v>
      </c>
      <c r="AW26" s="39">
        <v>2.5317568594707463E-3</v>
      </c>
      <c r="AX26" s="39">
        <v>1.0654339274987832E-2</v>
      </c>
      <c r="AY26" s="39">
        <v>6.8447125566251238E-3</v>
      </c>
      <c r="AZ26" s="39">
        <v>88</v>
      </c>
      <c r="BA26" s="39">
        <v>1396734348.6575637</v>
      </c>
      <c r="BB26" s="39">
        <v>77</v>
      </c>
      <c r="BC26" s="39">
        <v>306931187.79204851</v>
      </c>
      <c r="BD26" s="39">
        <v>9</v>
      </c>
      <c r="BE26" s="39">
        <v>1089803160.8655152</v>
      </c>
      <c r="BF26" s="39">
        <v>2</v>
      </c>
      <c r="BG26" s="39">
        <v>0</v>
      </c>
      <c r="BH26" s="39">
        <v>7.606512419561634E-2</v>
      </c>
      <c r="BI26" s="39">
        <v>1.6715246490035394E-2</v>
      </c>
      <c r="BJ26" s="39">
        <v>5.934987770558095E-2</v>
      </c>
      <c r="BK26" s="39">
        <v>0</v>
      </c>
      <c r="BL26" s="40">
        <v>82160844.038680211</v>
      </c>
      <c r="BM26" s="40">
        <v>4.474419070330372E-3</v>
      </c>
    </row>
    <row r="27" spans="1:65" x14ac:dyDescent="0.35">
      <c r="A27" s="39">
        <v>26</v>
      </c>
      <c r="B27" s="32" t="s">
        <v>267</v>
      </c>
      <c r="C27" s="32" t="s">
        <v>157</v>
      </c>
      <c r="D27" s="32" t="s">
        <v>12</v>
      </c>
      <c r="E27" s="32" t="s">
        <v>5</v>
      </c>
      <c r="F27" s="39">
        <v>3</v>
      </c>
      <c r="G27" s="39">
        <v>0</v>
      </c>
      <c r="H27" s="39">
        <v>0</v>
      </c>
      <c r="I27" s="39" t="s">
        <v>152</v>
      </c>
      <c r="J27" s="39">
        <v>0</v>
      </c>
      <c r="K27" s="39" t="s">
        <v>152</v>
      </c>
      <c r="L27" s="39">
        <v>1877810514260.3599</v>
      </c>
      <c r="M27" s="39">
        <v>83</v>
      </c>
      <c r="N27" s="39">
        <v>70650000000</v>
      </c>
      <c r="O27" s="39">
        <v>0</v>
      </c>
      <c r="P27" s="39">
        <v>0</v>
      </c>
      <c r="Q27" s="39">
        <v>83</v>
      </c>
      <c r="R27" s="19">
        <v>70650000000</v>
      </c>
      <c r="S27" s="39">
        <v>3.76236044390389E-2</v>
      </c>
      <c r="T27" s="39">
        <v>0</v>
      </c>
      <c r="U27" s="39">
        <v>3.76236044390389E-2</v>
      </c>
      <c r="V27" s="39">
        <v>5.2620602846651723E-2</v>
      </c>
      <c r="W27" s="39">
        <v>0</v>
      </c>
      <c r="X27" s="39">
        <v>3.2970417625289919E-2</v>
      </c>
      <c r="Y27" s="39">
        <v>4155882352.9411764</v>
      </c>
      <c r="Z27" s="39">
        <v>2.213153202296406E-3</v>
      </c>
      <c r="AA27" s="39">
        <v>2</v>
      </c>
      <c r="AB27" s="39">
        <v>0</v>
      </c>
      <c r="AC27" s="39">
        <v>0</v>
      </c>
      <c r="AD27" s="39">
        <v>0</v>
      </c>
      <c r="AE27" s="39">
        <v>0</v>
      </c>
      <c r="AF27" s="39">
        <v>0</v>
      </c>
      <c r="AG27" s="39">
        <v>0</v>
      </c>
      <c r="AH27" s="39">
        <v>0</v>
      </c>
      <c r="AI27" s="39">
        <v>0</v>
      </c>
      <c r="AJ27" s="39">
        <v>0</v>
      </c>
      <c r="AK27" s="39">
        <v>0</v>
      </c>
      <c r="AL27" s="19">
        <v>35270401000</v>
      </c>
      <c r="AM27" s="19">
        <v>62871652000</v>
      </c>
      <c r="AN27" s="39">
        <v>27601251000</v>
      </c>
      <c r="AO27" s="39">
        <v>98142053000</v>
      </c>
      <c r="AP27" s="39">
        <v>177341225000</v>
      </c>
      <c r="AQ27" s="39">
        <v>223998669000</v>
      </c>
      <c r="AR27" s="39">
        <v>46657444000</v>
      </c>
      <c r="AS27" s="39">
        <v>401339894000</v>
      </c>
      <c r="AT27" s="39">
        <v>0.198884387992696</v>
      </c>
      <c r="AU27" s="39">
        <v>0.2806786856398687</v>
      </c>
      <c r="AV27" s="39">
        <v>7.0977092701397362E-2</v>
      </c>
      <c r="AW27" s="39">
        <v>0.10826682200727923</v>
      </c>
      <c r="AX27" s="39">
        <v>0.24453600169635764</v>
      </c>
      <c r="AY27" s="39">
        <v>5.2264087486301361E-2</v>
      </c>
      <c r="AZ27" s="39">
        <v>134</v>
      </c>
      <c r="BA27" s="39">
        <v>86545385555.985641</v>
      </c>
      <c r="BB27" s="39">
        <v>3</v>
      </c>
      <c r="BC27" s="39">
        <v>106800.932812163</v>
      </c>
      <c r="BD27" s="39">
        <v>121</v>
      </c>
      <c r="BE27" s="39">
        <v>84174056309.357697</v>
      </c>
      <c r="BF27" s="39">
        <v>10</v>
      </c>
      <c r="BG27" s="39">
        <v>2371222445.6951041</v>
      </c>
      <c r="BH27" s="39">
        <v>4.6088455091047628E-2</v>
      </c>
      <c r="BI27" s="39">
        <v>5.6875244866881685E-8</v>
      </c>
      <c r="BJ27" s="39">
        <v>4.4825639046180622E-2</v>
      </c>
      <c r="BK27" s="39">
        <v>1.2627591696221232E-3</v>
      </c>
      <c r="BL27" s="40">
        <v>5090905032.7050381</v>
      </c>
      <c r="BM27" s="40">
        <v>2.7110855935910368E-3</v>
      </c>
    </row>
    <row r="28" spans="1:65" x14ac:dyDescent="0.35">
      <c r="A28" s="39">
        <v>27</v>
      </c>
      <c r="B28" s="32" t="s">
        <v>451</v>
      </c>
      <c r="C28" s="32" t="s">
        <v>473</v>
      </c>
      <c r="D28" s="32" t="s">
        <v>12</v>
      </c>
      <c r="E28" s="32" t="s">
        <v>13</v>
      </c>
      <c r="F28" s="39">
        <v>0</v>
      </c>
      <c r="G28" s="39">
        <v>0</v>
      </c>
      <c r="H28" s="39">
        <v>0</v>
      </c>
      <c r="I28" s="39" t="s">
        <v>152</v>
      </c>
      <c r="J28" s="39">
        <v>0</v>
      </c>
      <c r="K28" s="39" t="s">
        <v>152</v>
      </c>
      <c r="L28" s="39" t="s">
        <v>152</v>
      </c>
      <c r="M28" s="39">
        <v>0</v>
      </c>
      <c r="N28" s="39">
        <v>0</v>
      </c>
      <c r="O28" s="39">
        <v>0</v>
      </c>
      <c r="P28" s="39">
        <v>0</v>
      </c>
      <c r="Q28" s="39">
        <v>0</v>
      </c>
      <c r="R28" s="19">
        <v>0</v>
      </c>
      <c r="S28" s="39">
        <v>0</v>
      </c>
      <c r="T28" s="39">
        <v>0</v>
      </c>
      <c r="U28" s="39">
        <v>0</v>
      </c>
      <c r="V28" s="39">
        <v>0</v>
      </c>
      <c r="W28" s="39">
        <v>0</v>
      </c>
      <c r="X28" s="39">
        <v>0</v>
      </c>
      <c r="Y28" s="39">
        <v>0</v>
      </c>
      <c r="Z28" s="39">
        <v>0</v>
      </c>
      <c r="AA28" s="39">
        <v>0</v>
      </c>
      <c r="AB28" s="39" t="s">
        <v>152</v>
      </c>
      <c r="AC28" s="39" t="s">
        <v>152</v>
      </c>
      <c r="AD28" s="39" t="s">
        <v>152</v>
      </c>
      <c r="AE28" s="39" t="s">
        <v>152</v>
      </c>
      <c r="AF28" s="39" t="s">
        <v>152</v>
      </c>
      <c r="AG28" s="39" t="s">
        <v>152</v>
      </c>
      <c r="AH28" s="39">
        <v>0</v>
      </c>
      <c r="AI28" s="39" t="s">
        <v>152</v>
      </c>
      <c r="AJ28" s="39" t="s">
        <v>152</v>
      </c>
      <c r="AK28" s="39" t="s">
        <v>152</v>
      </c>
      <c r="AL28" s="19">
        <v>10403000</v>
      </c>
      <c r="AM28" s="19">
        <v>495000</v>
      </c>
      <c r="AN28" s="39">
        <v>-9908000</v>
      </c>
      <c r="AO28" s="39">
        <v>10898000</v>
      </c>
      <c r="AP28" s="39">
        <v>1822591000</v>
      </c>
      <c r="AQ28" s="39">
        <v>411592000</v>
      </c>
      <c r="AR28" s="39">
        <v>-1410999000</v>
      </c>
      <c r="AS28" s="39">
        <v>2234183000</v>
      </c>
      <c r="AT28" s="39">
        <v>5.7078082795317215E-3</v>
      </c>
      <c r="AU28" s="39">
        <v>1.2026472817741841E-3</v>
      </c>
      <c r="AV28" s="39">
        <v>7.2945368660745711E-4</v>
      </c>
      <c r="AW28" s="39">
        <v>1.9893760084628036E-4</v>
      </c>
      <c r="AX28" s="39">
        <v>4.8778457270510066E-3</v>
      </c>
      <c r="AY28" s="39" t="s">
        <v>152</v>
      </c>
      <c r="AZ28" s="39">
        <v>0</v>
      </c>
      <c r="BA28" s="39" t="s">
        <v>152</v>
      </c>
      <c r="BB28" s="39" t="s">
        <v>152</v>
      </c>
      <c r="BC28" s="39" t="s">
        <v>152</v>
      </c>
      <c r="BD28" s="39" t="s">
        <v>152</v>
      </c>
      <c r="BE28" s="39" t="s">
        <v>152</v>
      </c>
      <c r="BF28" s="39" t="s">
        <v>152</v>
      </c>
      <c r="BG28" s="39" t="s">
        <v>152</v>
      </c>
      <c r="BH28" s="39">
        <v>0</v>
      </c>
      <c r="BI28" s="39">
        <v>0</v>
      </c>
      <c r="BJ28" s="39">
        <v>0</v>
      </c>
      <c r="BK28" s="39">
        <v>0</v>
      </c>
      <c r="BL28" s="40">
        <v>0</v>
      </c>
      <c r="BM28" s="40">
        <v>0</v>
      </c>
    </row>
    <row r="29" spans="1:65" x14ac:dyDescent="0.35">
      <c r="A29" s="39">
        <v>28</v>
      </c>
      <c r="B29" s="32" t="s">
        <v>268</v>
      </c>
      <c r="C29" s="32" t="s">
        <v>143</v>
      </c>
      <c r="D29" s="32" t="s">
        <v>23</v>
      </c>
      <c r="E29" s="32" t="s">
        <v>13</v>
      </c>
      <c r="F29" s="39">
        <v>0</v>
      </c>
      <c r="G29" s="39">
        <v>1</v>
      </c>
      <c r="H29" s="39">
        <v>1</v>
      </c>
      <c r="I29" s="39">
        <v>2018</v>
      </c>
      <c r="J29" s="39">
        <v>0</v>
      </c>
      <c r="K29" s="39" t="s">
        <v>152</v>
      </c>
      <c r="L29" s="39">
        <v>13469422941.391878</v>
      </c>
      <c r="M29" s="39">
        <v>1</v>
      </c>
      <c r="N29" s="39">
        <v>140000000</v>
      </c>
      <c r="O29" s="39">
        <v>3</v>
      </c>
      <c r="P29" s="39">
        <v>3970000000</v>
      </c>
      <c r="Q29" s="39">
        <v>4</v>
      </c>
      <c r="R29" s="19">
        <v>4110000000</v>
      </c>
      <c r="S29" s="39">
        <v>1.0393912241761779E-2</v>
      </c>
      <c r="T29" s="39">
        <v>0.29474165428424476</v>
      </c>
      <c r="U29" s="39">
        <v>0.30513556652600654</v>
      </c>
      <c r="V29" s="39">
        <v>1.0427295680865167E-4</v>
      </c>
      <c r="W29" s="39">
        <v>4.9928314510652213E-3</v>
      </c>
      <c r="X29" s="39">
        <v>1.9180242949744029E-3</v>
      </c>
      <c r="Y29" s="39">
        <v>241764705.88235295</v>
      </c>
      <c r="Z29" s="39">
        <v>1.7949150972118032E-2</v>
      </c>
      <c r="AA29" s="39">
        <v>1</v>
      </c>
      <c r="AB29" s="39">
        <v>0</v>
      </c>
      <c r="AC29" s="39">
        <v>0</v>
      </c>
      <c r="AD29" s="39">
        <v>0</v>
      </c>
      <c r="AE29" s="39">
        <v>0</v>
      </c>
      <c r="AF29" s="39">
        <v>0</v>
      </c>
      <c r="AG29" s="39">
        <v>0</v>
      </c>
      <c r="AH29" s="39">
        <v>0</v>
      </c>
      <c r="AI29" s="39">
        <v>0</v>
      </c>
      <c r="AJ29" s="39">
        <v>0</v>
      </c>
      <c r="AK29" s="39">
        <v>0</v>
      </c>
      <c r="AL29" s="19">
        <v>670827000</v>
      </c>
      <c r="AM29" s="19">
        <v>428506000</v>
      </c>
      <c r="AN29" s="39">
        <v>-242321000</v>
      </c>
      <c r="AO29" s="39">
        <v>1099333000</v>
      </c>
      <c r="AP29" s="39">
        <v>5101654000</v>
      </c>
      <c r="AQ29" s="39">
        <v>7249807000</v>
      </c>
      <c r="AR29" s="39">
        <v>2148153000</v>
      </c>
      <c r="AS29" s="39">
        <v>12351461000</v>
      </c>
      <c r="AT29" s="39">
        <v>0.1314920612021121</v>
      </c>
      <c r="AU29" s="39">
        <v>5.9105849300539998E-2</v>
      </c>
      <c r="AV29" s="39">
        <v>2.0418296359938572E-3</v>
      </c>
      <c r="AW29" s="39">
        <v>3.5040992321973448E-3</v>
      </c>
      <c r="AX29" s="39">
        <v>8.9004288642452911E-2</v>
      </c>
      <c r="AY29" s="39">
        <v>8.1616933760519303E-2</v>
      </c>
      <c r="AZ29" s="39">
        <v>26</v>
      </c>
      <c r="BA29" s="39">
        <v>1770880321.4632452</v>
      </c>
      <c r="BB29" s="39">
        <v>0</v>
      </c>
      <c r="BC29" s="39">
        <v>0</v>
      </c>
      <c r="BD29" s="39">
        <v>26</v>
      </c>
      <c r="BE29" s="39">
        <v>1770880321.4632452</v>
      </c>
      <c r="BF29" s="39">
        <v>0</v>
      </c>
      <c r="BG29" s="39">
        <v>0</v>
      </c>
      <c r="BH29" s="39">
        <v>0.13147410465679898</v>
      </c>
      <c r="BI29" s="39">
        <v>0</v>
      </c>
      <c r="BJ29" s="39">
        <v>0.13147410465679898</v>
      </c>
      <c r="BK29" s="39">
        <v>0</v>
      </c>
      <c r="BL29" s="40">
        <v>104169430.67430854</v>
      </c>
      <c r="BM29" s="40">
        <v>7.733770862164647E-3</v>
      </c>
    </row>
    <row r="30" spans="1:65" x14ac:dyDescent="0.35">
      <c r="A30" s="39">
        <v>29</v>
      </c>
      <c r="B30" s="32" t="s">
        <v>269</v>
      </c>
      <c r="C30" s="32" t="s">
        <v>24</v>
      </c>
      <c r="D30" s="32" t="s">
        <v>4</v>
      </c>
      <c r="E30" s="32" t="s">
        <v>5</v>
      </c>
      <c r="F30" s="39">
        <v>0</v>
      </c>
      <c r="G30" s="39">
        <v>0</v>
      </c>
      <c r="H30" s="39">
        <v>1</v>
      </c>
      <c r="I30" s="39">
        <v>2015</v>
      </c>
      <c r="J30" s="39">
        <v>0</v>
      </c>
      <c r="K30" s="39" t="s">
        <v>152</v>
      </c>
      <c r="L30" s="39">
        <v>68558815111.619919</v>
      </c>
      <c r="M30" s="39">
        <v>2</v>
      </c>
      <c r="N30" s="39">
        <v>330000000</v>
      </c>
      <c r="O30" s="39">
        <v>1</v>
      </c>
      <c r="P30" s="39">
        <v>130000000</v>
      </c>
      <c r="Q30" s="39">
        <v>3</v>
      </c>
      <c r="R30" s="19">
        <v>460000000</v>
      </c>
      <c r="S30" s="39">
        <v>4.8133854043820668E-3</v>
      </c>
      <c r="T30" s="39">
        <v>1.8961821289989961E-3</v>
      </c>
      <c r="U30" s="39">
        <v>6.7095675333810629E-3</v>
      </c>
      <c r="V30" s="39">
        <v>2.4578625533467897E-4</v>
      </c>
      <c r="W30" s="39">
        <v>1.6349322131951606E-4</v>
      </c>
      <c r="X30" s="39">
        <v>2.1466938581222029E-4</v>
      </c>
      <c r="Y30" s="39">
        <v>27058823.529411763</v>
      </c>
      <c r="Z30" s="39">
        <v>3.9468044314006252E-4</v>
      </c>
      <c r="AA30" s="39">
        <v>0</v>
      </c>
      <c r="AB30" s="39" t="s">
        <v>152</v>
      </c>
      <c r="AC30" s="39" t="s">
        <v>152</v>
      </c>
      <c r="AD30" s="39" t="s">
        <v>152</v>
      </c>
      <c r="AE30" s="39" t="s">
        <v>152</v>
      </c>
      <c r="AF30" s="39" t="s">
        <v>152</v>
      </c>
      <c r="AG30" s="39" t="s">
        <v>152</v>
      </c>
      <c r="AH30" s="39">
        <v>0</v>
      </c>
      <c r="AI30" s="39" t="s">
        <v>152</v>
      </c>
      <c r="AJ30" s="39" t="s">
        <v>152</v>
      </c>
      <c r="AK30" s="39" t="s">
        <v>152</v>
      </c>
      <c r="AL30" s="19">
        <v>1703728000</v>
      </c>
      <c r="AM30" s="19">
        <v>923172000</v>
      </c>
      <c r="AN30" s="39">
        <v>-780556000</v>
      </c>
      <c r="AO30" s="39">
        <v>2626900000</v>
      </c>
      <c r="AP30" s="39">
        <v>37674821000</v>
      </c>
      <c r="AQ30" s="39">
        <v>33351426000</v>
      </c>
      <c r="AR30" s="39">
        <v>-4323395000</v>
      </c>
      <c r="AS30" s="39">
        <v>71026247000</v>
      </c>
      <c r="AT30" s="39">
        <v>4.5221926867283588E-2</v>
      </c>
      <c r="AU30" s="39">
        <v>2.7680135775903555E-2</v>
      </c>
      <c r="AV30" s="39">
        <v>1.5078554141179257E-2</v>
      </c>
      <c r="AW30" s="39">
        <v>1.6119974813024202E-2</v>
      </c>
      <c r="AX30" s="39">
        <v>3.6984919110255116E-2</v>
      </c>
      <c r="AY30" s="39">
        <v>3.8316006420518946E-2</v>
      </c>
      <c r="AZ30" s="39">
        <v>42</v>
      </c>
      <c r="BA30" s="39">
        <v>743441449.33620834</v>
      </c>
      <c r="BB30" s="39">
        <v>0</v>
      </c>
      <c r="BC30" s="39">
        <v>0</v>
      </c>
      <c r="BD30" s="39">
        <v>42</v>
      </c>
      <c r="BE30" s="39">
        <v>743441449.33620834</v>
      </c>
      <c r="BF30" s="39">
        <v>0</v>
      </c>
      <c r="BG30" s="39">
        <v>0</v>
      </c>
      <c r="BH30" s="39">
        <v>1.0843849155295621E-2</v>
      </c>
      <c r="BI30" s="39">
        <v>0</v>
      </c>
      <c r="BJ30" s="39">
        <v>1.0843849155295621E-2</v>
      </c>
      <c r="BK30" s="39">
        <v>0</v>
      </c>
      <c r="BL30" s="40">
        <v>43731849.960953429</v>
      </c>
      <c r="BM30" s="40">
        <v>6.378734797232718E-4</v>
      </c>
    </row>
    <row r="31" spans="1:65" x14ac:dyDescent="0.35">
      <c r="A31" s="39">
        <v>30</v>
      </c>
      <c r="B31" s="32" t="s">
        <v>270</v>
      </c>
      <c r="C31" s="32" t="s">
        <v>149</v>
      </c>
      <c r="D31" s="32" t="s">
        <v>9</v>
      </c>
      <c r="E31" s="32" t="s">
        <v>2</v>
      </c>
      <c r="F31" s="39">
        <v>0</v>
      </c>
      <c r="G31" s="39">
        <v>0</v>
      </c>
      <c r="H31" s="39">
        <v>0</v>
      </c>
      <c r="I31" s="39" t="s">
        <v>152</v>
      </c>
      <c r="J31" s="39">
        <v>1</v>
      </c>
      <c r="K31" s="39">
        <v>2018</v>
      </c>
      <c r="L31" s="39">
        <v>15990803569.996128</v>
      </c>
      <c r="M31" s="39">
        <v>0</v>
      </c>
      <c r="N31" s="39">
        <v>0</v>
      </c>
      <c r="O31" s="39">
        <v>0</v>
      </c>
      <c r="P31" s="39">
        <v>0</v>
      </c>
      <c r="Q31" s="39">
        <v>0</v>
      </c>
      <c r="R31" s="19">
        <v>0</v>
      </c>
      <c r="S31" s="39">
        <v>0</v>
      </c>
      <c r="T31" s="39">
        <v>0</v>
      </c>
      <c r="U31" s="39">
        <v>0</v>
      </c>
      <c r="V31" s="39">
        <v>0</v>
      </c>
      <c r="W31" s="39">
        <v>0</v>
      </c>
      <c r="X31" s="39">
        <v>0</v>
      </c>
      <c r="Y31" s="39">
        <v>0</v>
      </c>
      <c r="Z31" s="39">
        <v>0</v>
      </c>
      <c r="AA31" s="39">
        <v>0</v>
      </c>
      <c r="AB31" s="39" t="s">
        <v>152</v>
      </c>
      <c r="AC31" s="39" t="s">
        <v>152</v>
      </c>
      <c r="AD31" s="39" t="s">
        <v>152</v>
      </c>
      <c r="AE31" s="39" t="s">
        <v>152</v>
      </c>
      <c r="AF31" s="39" t="s">
        <v>152</v>
      </c>
      <c r="AG31" s="39" t="s">
        <v>152</v>
      </c>
      <c r="AH31" s="39">
        <v>0</v>
      </c>
      <c r="AI31" s="39" t="s">
        <v>152</v>
      </c>
      <c r="AJ31" s="39" t="s">
        <v>152</v>
      </c>
      <c r="AK31" s="39" t="s">
        <v>152</v>
      </c>
      <c r="AL31" s="19">
        <v>520739000</v>
      </c>
      <c r="AM31" s="19">
        <v>13757000</v>
      </c>
      <c r="AN31" s="39">
        <v>-506982000</v>
      </c>
      <c r="AO31" s="39">
        <v>534496000</v>
      </c>
      <c r="AP31" s="39">
        <v>4259342000</v>
      </c>
      <c r="AQ31" s="39">
        <v>3261124000</v>
      </c>
      <c r="AR31" s="39">
        <v>-998218000</v>
      </c>
      <c r="AS31" s="39">
        <v>7520466000</v>
      </c>
      <c r="AT31" s="39">
        <v>0.1222580858733579</v>
      </c>
      <c r="AU31" s="39">
        <v>4.2184841790744538E-3</v>
      </c>
      <c r="AV31" s="39">
        <v>1.7047119866289142E-3</v>
      </c>
      <c r="AW31" s="39">
        <v>1.5762215607257315E-3</v>
      </c>
      <c r="AX31" s="39">
        <v>7.1072191537066981E-2</v>
      </c>
      <c r="AY31" s="39">
        <v>3.3425212038930036E-2</v>
      </c>
      <c r="AZ31" s="39">
        <v>0</v>
      </c>
      <c r="BA31" s="39" t="s">
        <v>152</v>
      </c>
      <c r="BB31" s="39" t="s">
        <v>152</v>
      </c>
      <c r="BC31" s="39" t="s">
        <v>152</v>
      </c>
      <c r="BD31" s="39" t="s">
        <v>152</v>
      </c>
      <c r="BE31" s="39" t="s">
        <v>152</v>
      </c>
      <c r="BF31" s="39" t="s">
        <v>152</v>
      </c>
      <c r="BG31" s="39" t="s">
        <v>152</v>
      </c>
      <c r="BH31" s="39">
        <v>0</v>
      </c>
      <c r="BI31" s="39">
        <v>0</v>
      </c>
      <c r="BJ31" s="39">
        <v>0</v>
      </c>
      <c r="BK31" s="39">
        <v>0</v>
      </c>
      <c r="BL31" s="40">
        <v>0</v>
      </c>
      <c r="BM31" s="40">
        <v>0</v>
      </c>
    </row>
    <row r="32" spans="1:65" x14ac:dyDescent="0.35">
      <c r="A32" s="39">
        <v>31</v>
      </c>
      <c r="B32" s="32" t="s">
        <v>271</v>
      </c>
      <c r="C32" s="32" t="s">
        <v>25</v>
      </c>
      <c r="D32" s="32" t="s">
        <v>9</v>
      </c>
      <c r="E32" s="32" t="s">
        <v>2</v>
      </c>
      <c r="F32" s="39">
        <v>0</v>
      </c>
      <c r="G32" s="39">
        <v>0</v>
      </c>
      <c r="H32" s="39">
        <v>1</v>
      </c>
      <c r="I32" s="39">
        <v>2018</v>
      </c>
      <c r="J32" s="39">
        <v>0</v>
      </c>
      <c r="K32" s="39" t="s">
        <v>152</v>
      </c>
      <c r="L32" s="39">
        <v>3012308945.6267095</v>
      </c>
      <c r="M32" s="39">
        <v>0</v>
      </c>
      <c r="N32" s="39">
        <v>0</v>
      </c>
      <c r="O32" s="39">
        <v>0</v>
      </c>
      <c r="P32" s="39">
        <v>0</v>
      </c>
      <c r="Q32" s="39">
        <v>0</v>
      </c>
      <c r="R32" s="19">
        <v>0</v>
      </c>
      <c r="S32" s="39">
        <v>0</v>
      </c>
      <c r="T32" s="39">
        <v>0</v>
      </c>
      <c r="U32" s="39">
        <v>0</v>
      </c>
      <c r="V32" s="39">
        <v>0</v>
      </c>
      <c r="W32" s="39">
        <v>0</v>
      </c>
      <c r="X32" s="39">
        <v>0</v>
      </c>
      <c r="Y32" s="39">
        <v>0</v>
      </c>
      <c r="Z32" s="39">
        <v>0</v>
      </c>
      <c r="AA32" s="39">
        <v>0</v>
      </c>
      <c r="AB32" s="39" t="s">
        <v>152</v>
      </c>
      <c r="AC32" s="39" t="s">
        <v>152</v>
      </c>
      <c r="AD32" s="39" t="s">
        <v>152</v>
      </c>
      <c r="AE32" s="39" t="s">
        <v>152</v>
      </c>
      <c r="AF32" s="39" t="s">
        <v>152</v>
      </c>
      <c r="AG32" s="39" t="s">
        <v>152</v>
      </c>
      <c r="AH32" s="39">
        <v>0</v>
      </c>
      <c r="AI32" s="39" t="s">
        <v>152</v>
      </c>
      <c r="AJ32" s="39" t="s">
        <v>152</v>
      </c>
      <c r="AK32" s="39" t="s">
        <v>152</v>
      </c>
      <c r="AL32" s="19">
        <v>136273000</v>
      </c>
      <c r="AM32" s="19">
        <v>5550000</v>
      </c>
      <c r="AN32" s="39">
        <v>-130723000</v>
      </c>
      <c r="AO32" s="39">
        <v>141823000</v>
      </c>
      <c r="AP32" s="39">
        <v>887345000</v>
      </c>
      <c r="AQ32" s="39">
        <v>180772000</v>
      </c>
      <c r="AR32" s="39">
        <v>-706573000</v>
      </c>
      <c r="AS32" s="39">
        <v>1068117000</v>
      </c>
      <c r="AT32" s="39">
        <v>0.1535738636043478</v>
      </c>
      <c r="AU32" s="39">
        <v>3.0701657336313144E-2</v>
      </c>
      <c r="AV32" s="39">
        <v>3.5514115977895976E-4</v>
      </c>
      <c r="AW32" s="39">
        <v>8.7373777867849226E-5</v>
      </c>
      <c r="AX32" s="39">
        <v>0.13277852519901845</v>
      </c>
      <c r="AY32" s="39">
        <v>4.7081160186407706E-2</v>
      </c>
      <c r="AZ32" s="39">
        <v>113</v>
      </c>
      <c r="BA32" s="39">
        <v>585558908.34845948</v>
      </c>
      <c r="BB32" s="39">
        <v>110</v>
      </c>
      <c r="BC32" s="39">
        <v>568921147.99284697</v>
      </c>
      <c r="BD32" s="39">
        <v>3</v>
      </c>
      <c r="BE32" s="39">
        <v>16637760.3556125</v>
      </c>
      <c r="BF32" s="39">
        <v>0</v>
      </c>
      <c r="BG32" s="39">
        <v>0</v>
      </c>
      <c r="BH32" s="39">
        <v>0.19438872934948384</v>
      </c>
      <c r="BI32" s="39">
        <v>0.1888654710596038</v>
      </c>
      <c r="BJ32" s="39">
        <v>5.5232582898800311E-3</v>
      </c>
      <c r="BK32" s="39">
        <v>0</v>
      </c>
      <c r="BL32" s="40">
        <v>34444641.667556442</v>
      </c>
      <c r="BM32" s="40">
        <v>1.1434631138204933E-2</v>
      </c>
    </row>
    <row r="33" spans="1:65" x14ac:dyDescent="0.35">
      <c r="A33" s="39">
        <v>32</v>
      </c>
      <c r="B33" s="32" t="s">
        <v>275</v>
      </c>
      <c r="C33" s="32" t="s">
        <v>192</v>
      </c>
      <c r="D33" s="32" t="s">
        <v>9</v>
      </c>
      <c r="E33" s="32" t="s">
        <v>10</v>
      </c>
      <c r="F33" s="39">
        <v>0</v>
      </c>
      <c r="G33" s="39">
        <v>0</v>
      </c>
      <c r="H33" s="39">
        <v>1</v>
      </c>
      <c r="I33" s="39">
        <v>2018</v>
      </c>
      <c r="J33" s="39">
        <v>0</v>
      </c>
      <c r="K33" s="39" t="s">
        <v>152</v>
      </c>
      <c r="L33" s="39">
        <v>1981845740.7061462</v>
      </c>
      <c r="M33" s="39">
        <v>0</v>
      </c>
      <c r="N33" s="39">
        <v>0</v>
      </c>
      <c r="O33" s="39">
        <v>1</v>
      </c>
      <c r="P33" s="39">
        <v>130000000</v>
      </c>
      <c r="Q33" s="39">
        <v>1</v>
      </c>
      <c r="R33" s="19">
        <v>130000000</v>
      </c>
      <c r="S33" s="39">
        <v>0</v>
      </c>
      <c r="T33" s="39">
        <v>6.5595418114469409E-2</v>
      </c>
      <c r="U33" s="39">
        <v>6.5595418114469409E-2</v>
      </c>
      <c r="V33" s="39">
        <v>0</v>
      </c>
      <c r="W33" s="39">
        <v>1.6349322131951606E-4</v>
      </c>
      <c r="X33" s="39">
        <v>6.0667435120844866E-5</v>
      </c>
      <c r="Y33" s="39">
        <v>7647058.823529412</v>
      </c>
      <c r="Z33" s="39">
        <v>3.858554006733495E-3</v>
      </c>
      <c r="AA33" s="39">
        <v>0</v>
      </c>
      <c r="AB33" s="39" t="s">
        <v>152</v>
      </c>
      <c r="AC33" s="39" t="s">
        <v>152</v>
      </c>
      <c r="AD33" s="39" t="s">
        <v>152</v>
      </c>
      <c r="AE33" s="39" t="s">
        <v>152</v>
      </c>
      <c r="AF33" s="39" t="s">
        <v>152</v>
      </c>
      <c r="AG33" s="39" t="s">
        <v>152</v>
      </c>
      <c r="AH33" s="39">
        <v>0</v>
      </c>
      <c r="AI33" s="39" t="s">
        <v>152</v>
      </c>
      <c r="AJ33" s="39" t="s">
        <v>152</v>
      </c>
      <c r="AK33" s="39" t="s">
        <v>152</v>
      </c>
      <c r="AL33" s="19">
        <v>40821000</v>
      </c>
      <c r="AM33" s="19">
        <v>68000</v>
      </c>
      <c r="AN33" s="39">
        <v>-40753000</v>
      </c>
      <c r="AO33" s="39">
        <v>40889000</v>
      </c>
      <c r="AP33" s="39">
        <v>789807000</v>
      </c>
      <c r="AQ33" s="39">
        <v>61879000</v>
      </c>
      <c r="AR33" s="39">
        <v>-727928000</v>
      </c>
      <c r="AS33" s="39">
        <v>851686000</v>
      </c>
      <c r="AT33" s="39">
        <v>5.1684778686438587E-2</v>
      </c>
      <c r="AU33" s="39">
        <v>1.0989188577708107E-3</v>
      </c>
      <c r="AV33" s="39">
        <v>3.1610362821849543E-4</v>
      </c>
      <c r="AW33" s="39">
        <v>2.9908403960152251E-5</v>
      </c>
      <c r="AX33" s="39">
        <v>4.8009477671348361E-2</v>
      </c>
      <c r="AY33" s="39">
        <v>2.0631777317557998E-2</v>
      </c>
      <c r="AZ33" s="39">
        <v>85</v>
      </c>
      <c r="BA33" s="39">
        <v>611101411.19392717</v>
      </c>
      <c r="BB33" s="39">
        <v>79</v>
      </c>
      <c r="BC33" s="39">
        <v>604429871.12164521</v>
      </c>
      <c r="BD33" s="39">
        <v>4</v>
      </c>
      <c r="BE33" s="39">
        <v>804822.50858124765</v>
      </c>
      <c r="BF33" s="39">
        <v>2</v>
      </c>
      <c r="BG33" s="39">
        <v>5866717.5637008101</v>
      </c>
      <c r="BH33" s="39">
        <v>0.30834963521236886</v>
      </c>
      <c r="BI33" s="39">
        <v>0.3049833085930706</v>
      </c>
      <c r="BJ33" s="39">
        <v>4.0609745352556222E-4</v>
      </c>
      <c r="BK33" s="39">
        <v>2.9602291657727384E-3</v>
      </c>
      <c r="BL33" s="40">
        <v>35947141.834936894</v>
      </c>
      <c r="BM33" s="40">
        <v>1.81382138360217E-2</v>
      </c>
    </row>
    <row r="34" spans="1:65" x14ac:dyDescent="0.35">
      <c r="A34" s="39">
        <v>33</v>
      </c>
      <c r="B34" s="32" t="s">
        <v>272</v>
      </c>
      <c r="C34" s="32" t="s">
        <v>26</v>
      </c>
      <c r="D34" s="32" t="s">
        <v>23</v>
      </c>
      <c r="E34" s="32" t="s">
        <v>10</v>
      </c>
      <c r="F34" s="39">
        <v>4</v>
      </c>
      <c r="G34" s="39">
        <v>1</v>
      </c>
      <c r="H34" s="39">
        <v>1</v>
      </c>
      <c r="I34" s="39">
        <v>2013</v>
      </c>
      <c r="J34" s="39">
        <v>0</v>
      </c>
      <c r="K34" s="39" t="s">
        <v>152</v>
      </c>
      <c r="L34" s="39">
        <v>27089389786.968418</v>
      </c>
      <c r="M34" s="39">
        <v>15</v>
      </c>
      <c r="N34" s="39">
        <v>5690000000</v>
      </c>
      <c r="O34" s="39">
        <v>32</v>
      </c>
      <c r="P34" s="39">
        <v>12530000000</v>
      </c>
      <c r="Q34" s="39">
        <v>47</v>
      </c>
      <c r="R34" s="19">
        <v>18220000000</v>
      </c>
      <c r="S34" s="39">
        <v>0.21004533674424897</v>
      </c>
      <c r="T34" s="39">
        <v>0.46254271870042873</v>
      </c>
      <c r="U34" s="39">
        <v>0.6725880554446777</v>
      </c>
      <c r="V34" s="39">
        <v>4.2379508874373431E-3</v>
      </c>
      <c r="W34" s="39">
        <v>1.5758231254873356E-2</v>
      </c>
      <c r="X34" s="39">
        <v>8.5027743684753347E-3</v>
      </c>
      <c r="Y34" s="39">
        <v>1071764705.8823529</v>
      </c>
      <c r="Z34" s="39">
        <v>3.9564003261451632E-2</v>
      </c>
      <c r="AA34" s="39">
        <v>1</v>
      </c>
      <c r="AB34" s="39">
        <v>2</v>
      </c>
      <c r="AC34" s="39">
        <v>135000000</v>
      </c>
      <c r="AD34" s="39">
        <v>1</v>
      </c>
      <c r="AE34" s="39">
        <v>50000000</v>
      </c>
      <c r="AF34" s="39">
        <v>0</v>
      </c>
      <c r="AG34" s="39">
        <v>0</v>
      </c>
      <c r="AH34" s="39">
        <v>3</v>
      </c>
      <c r="AI34" s="39">
        <v>185000000</v>
      </c>
      <c r="AJ34" s="39">
        <v>6.8292420558323476E-3</v>
      </c>
      <c r="AK34" s="39">
        <v>4.641217574509731E-3</v>
      </c>
      <c r="AL34" s="19">
        <v>7585748000</v>
      </c>
      <c r="AM34" s="19">
        <v>1012148000</v>
      </c>
      <c r="AN34" s="39">
        <v>-6573600000</v>
      </c>
      <c r="AO34" s="39">
        <v>8597896000</v>
      </c>
      <c r="AP34" s="39">
        <v>20279485000</v>
      </c>
      <c r="AQ34" s="39">
        <v>14824722000</v>
      </c>
      <c r="AR34" s="39">
        <v>-5454763000</v>
      </c>
      <c r="AS34" s="39">
        <v>35104207000</v>
      </c>
      <c r="AT34" s="39">
        <v>0.37406018939830077</v>
      </c>
      <c r="AU34" s="39">
        <v>6.827433256421267E-2</v>
      </c>
      <c r="AV34" s="39">
        <v>8.1164370370262039E-3</v>
      </c>
      <c r="AW34" s="39">
        <v>7.1653351568861179E-3</v>
      </c>
      <c r="AX34" s="39">
        <v>0.24492494589038857</v>
      </c>
      <c r="AY34" s="39">
        <v>0.31738979975606874</v>
      </c>
      <c r="AZ34" s="39">
        <v>308</v>
      </c>
      <c r="BA34" s="39">
        <v>14819153501.184505</v>
      </c>
      <c r="BB34" s="39">
        <v>199</v>
      </c>
      <c r="BC34" s="39">
        <v>3733341709.0953841</v>
      </c>
      <c r="BD34" s="39">
        <v>97</v>
      </c>
      <c r="BE34" s="39">
        <v>10598719750.883251</v>
      </c>
      <c r="BF34" s="39">
        <v>12</v>
      </c>
      <c r="BG34" s="39">
        <v>487092041.20587224</v>
      </c>
      <c r="BH34" s="39">
        <v>0.5470464125520238</v>
      </c>
      <c r="BI34" s="39">
        <v>0.13781564437052546</v>
      </c>
      <c r="BJ34" s="39">
        <v>0.39124985222006942</v>
      </c>
      <c r="BK34" s="39">
        <v>1.7980915961429002E-2</v>
      </c>
      <c r="BL34" s="40">
        <v>871714911.83438265</v>
      </c>
      <c r="BM34" s="40">
        <v>3.2179200738354341E-2</v>
      </c>
    </row>
    <row r="35" spans="1:65" x14ac:dyDescent="0.35">
      <c r="A35" s="39">
        <v>34</v>
      </c>
      <c r="B35" s="32" t="s">
        <v>273</v>
      </c>
      <c r="C35" s="32" t="s">
        <v>27</v>
      </c>
      <c r="D35" s="32" t="s">
        <v>9</v>
      </c>
      <c r="E35" s="32" t="s">
        <v>10</v>
      </c>
      <c r="F35" s="39">
        <v>0</v>
      </c>
      <c r="G35" s="39">
        <v>0</v>
      </c>
      <c r="H35" s="39">
        <v>1</v>
      </c>
      <c r="I35" s="39">
        <v>2015</v>
      </c>
      <c r="J35" s="39">
        <v>0</v>
      </c>
      <c r="K35" s="39" t="s">
        <v>152</v>
      </c>
      <c r="L35" s="39">
        <v>39007354359.279823</v>
      </c>
      <c r="M35" s="39">
        <v>15</v>
      </c>
      <c r="N35" s="39">
        <v>5970000000</v>
      </c>
      <c r="O35" s="39">
        <v>10</v>
      </c>
      <c r="P35" s="39">
        <v>3990000000</v>
      </c>
      <c r="Q35" s="39">
        <v>25</v>
      </c>
      <c r="R35" s="19">
        <v>9960000000</v>
      </c>
      <c r="S35" s="39">
        <v>0.15304806229648182</v>
      </c>
      <c r="T35" s="39">
        <v>0.10228840344438232</v>
      </c>
      <c r="U35" s="39">
        <v>0.25533646574086416</v>
      </c>
      <c r="V35" s="39">
        <v>4.4464968010546465E-3</v>
      </c>
      <c r="W35" s="39">
        <v>5.017984254345147E-3</v>
      </c>
      <c r="X35" s="39">
        <v>4.6480588754124223E-3</v>
      </c>
      <c r="Y35" s="39">
        <v>585882352.94117641</v>
      </c>
      <c r="Z35" s="39">
        <v>1.5019792102403772E-2</v>
      </c>
      <c r="AA35" s="39">
        <v>0</v>
      </c>
      <c r="AB35" s="39" t="s">
        <v>152</v>
      </c>
      <c r="AC35" s="39" t="s">
        <v>152</v>
      </c>
      <c r="AD35" s="39" t="s">
        <v>152</v>
      </c>
      <c r="AE35" s="39" t="s">
        <v>152</v>
      </c>
      <c r="AF35" s="39" t="s">
        <v>152</v>
      </c>
      <c r="AG35" s="39" t="s">
        <v>152</v>
      </c>
      <c r="AH35" s="39">
        <v>0</v>
      </c>
      <c r="AI35" s="39" t="s">
        <v>152</v>
      </c>
      <c r="AJ35" s="39" t="s">
        <v>152</v>
      </c>
      <c r="AK35" s="39" t="s">
        <v>152</v>
      </c>
      <c r="AL35" s="19">
        <v>1676311000</v>
      </c>
      <c r="AM35" s="19">
        <v>1015043000</v>
      </c>
      <c r="AN35" s="39">
        <v>-661268000</v>
      </c>
      <c r="AO35" s="39">
        <v>2691354000</v>
      </c>
      <c r="AP35" s="39">
        <v>6165015000</v>
      </c>
      <c r="AQ35" s="39">
        <v>5721600000</v>
      </c>
      <c r="AR35" s="39">
        <v>-443415000</v>
      </c>
      <c r="AS35" s="39">
        <v>11886615000</v>
      </c>
      <c r="AT35" s="39">
        <v>0.27190704321076264</v>
      </c>
      <c r="AU35" s="39">
        <v>0.17740544602908279</v>
      </c>
      <c r="AV35" s="39">
        <v>2.4674174950607528E-3</v>
      </c>
      <c r="AW35" s="39">
        <v>2.7654604001100063E-3</v>
      </c>
      <c r="AX35" s="39">
        <v>0.22641887534844865</v>
      </c>
      <c r="AY35" s="39">
        <v>6.8996066106178477E-2</v>
      </c>
      <c r="AZ35" s="39">
        <v>132</v>
      </c>
      <c r="BA35" s="39">
        <v>6758834345.7368317</v>
      </c>
      <c r="BB35" s="39">
        <v>103</v>
      </c>
      <c r="BC35" s="39">
        <v>1578225644.3265741</v>
      </c>
      <c r="BD35" s="39">
        <v>18</v>
      </c>
      <c r="BE35" s="39">
        <v>4176630992.847837</v>
      </c>
      <c r="BF35" s="39">
        <v>11</v>
      </c>
      <c r="BG35" s="39">
        <v>1003977708.5624185</v>
      </c>
      <c r="BH35" s="39">
        <v>0.17327077051891651</v>
      </c>
      <c r="BI35" s="39">
        <v>4.0459694594773644E-2</v>
      </c>
      <c r="BJ35" s="39">
        <v>0.10707291128689991</v>
      </c>
      <c r="BK35" s="39">
        <v>2.5738164637242895E-2</v>
      </c>
      <c r="BL35" s="40">
        <v>397578490.92569596</v>
      </c>
      <c r="BM35" s="40">
        <v>1.0192398265818617E-2</v>
      </c>
    </row>
    <row r="36" spans="1:65" x14ac:dyDescent="0.35">
      <c r="A36" s="39">
        <v>35</v>
      </c>
      <c r="B36" s="32" t="s">
        <v>274</v>
      </c>
      <c r="C36" s="32" t="s">
        <v>158</v>
      </c>
      <c r="D36" s="32" t="s">
        <v>215</v>
      </c>
      <c r="E36" s="32" t="s">
        <v>13</v>
      </c>
      <c r="F36" s="39">
        <v>2</v>
      </c>
      <c r="G36" s="39">
        <v>0</v>
      </c>
      <c r="H36" s="39">
        <v>0</v>
      </c>
      <c r="I36" s="39" t="s">
        <v>152</v>
      </c>
      <c r="J36" s="39">
        <v>0</v>
      </c>
      <c r="K36" s="39" t="s">
        <v>152</v>
      </c>
      <c r="L36" s="39">
        <v>1741576393905.9792</v>
      </c>
      <c r="M36" s="39">
        <v>71</v>
      </c>
      <c r="N36" s="39">
        <v>57130000000</v>
      </c>
      <c r="O36" s="39">
        <v>0</v>
      </c>
      <c r="P36" s="39">
        <v>0</v>
      </c>
      <c r="Q36" s="39">
        <v>71</v>
      </c>
      <c r="R36" s="19">
        <v>57130000000</v>
      </c>
      <c r="S36" s="39">
        <v>3.2803614127927955E-2</v>
      </c>
      <c r="T36" s="39">
        <v>0</v>
      </c>
      <c r="U36" s="39">
        <v>3.2803614127927955E-2</v>
      </c>
      <c r="V36" s="39">
        <v>4.2550814446273358E-2</v>
      </c>
      <c r="W36" s="39">
        <v>0</v>
      </c>
      <c r="X36" s="39">
        <v>2.6661004372722053E-2</v>
      </c>
      <c r="Y36" s="39">
        <v>3360588235.2941175</v>
      </c>
      <c r="Z36" s="39">
        <v>1.9296243604663501E-3</v>
      </c>
      <c r="AA36" s="39">
        <v>2</v>
      </c>
      <c r="AB36" s="39">
        <v>0</v>
      </c>
      <c r="AC36" s="39">
        <v>0</v>
      </c>
      <c r="AD36" s="39">
        <v>0</v>
      </c>
      <c r="AE36" s="39">
        <v>0</v>
      </c>
      <c r="AF36" s="39">
        <v>0</v>
      </c>
      <c r="AG36" s="39">
        <v>0</v>
      </c>
      <c r="AH36" s="39">
        <v>0</v>
      </c>
      <c r="AI36" s="39">
        <v>0</v>
      </c>
      <c r="AJ36" s="39">
        <v>0</v>
      </c>
      <c r="AK36" s="39">
        <v>0</v>
      </c>
      <c r="AL36" s="19">
        <v>56516369000</v>
      </c>
      <c r="AM36" s="19">
        <v>17521099000</v>
      </c>
      <c r="AN36" s="39">
        <v>-38995270000</v>
      </c>
      <c r="AO36" s="39">
        <v>74037468000</v>
      </c>
      <c r="AP36" s="39">
        <v>453157225000</v>
      </c>
      <c r="AQ36" s="39">
        <v>446562311000</v>
      </c>
      <c r="AR36" s="39">
        <v>-6594914000</v>
      </c>
      <c r="AS36" s="39">
        <v>899719536000</v>
      </c>
      <c r="AT36" s="39">
        <v>0.12471691033945227</v>
      </c>
      <c r="AU36" s="39">
        <v>3.923550771842902E-2</v>
      </c>
      <c r="AV36" s="39">
        <v>0.18136664144015577</v>
      </c>
      <c r="AW36" s="39">
        <v>0.21584004251470026</v>
      </c>
      <c r="AX36" s="39">
        <v>8.2289496934964859E-2</v>
      </c>
      <c r="AY36" s="39">
        <v>4.2511754442163728E-2</v>
      </c>
      <c r="AZ36" s="39" t="s">
        <v>152</v>
      </c>
      <c r="BA36" s="39" t="s">
        <v>152</v>
      </c>
      <c r="BB36" s="39" t="s">
        <v>152</v>
      </c>
      <c r="BC36" s="39" t="s">
        <v>152</v>
      </c>
      <c r="BD36" s="39" t="s">
        <v>152</v>
      </c>
      <c r="BE36" s="39" t="s">
        <v>152</v>
      </c>
      <c r="BF36" s="39" t="s">
        <v>152</v>
      </c>
      <c r="BG36" s="39" t="s">
        <v>152</v>
      </c>
      <c r="BH36" s="39">
        <v>0</v>
      </c>
      <c r="BI36" s="39">
        <v>0</v>
      </c>
      <c r="BJ36" s="39">
        <v>0</v>
      </c>
      <c r="BK36" s="39">
        <v>0</v>
      </c>
      <c r="BL36" s="40">
        <v>0</v>
      </c>
      <c r="BM36" s="40">
        <v>0</v>
      </c>
    </row>
    <row r="37" spans="1:65" x14ac:dyDescent="0.35">
      <c r="A37" s="39">
        <v>36</v>
      </c>
      <c r="B37" s="32" t="s">
        <v>452</v>
      </c>
      <c r="C37" s="32" t="s">
        <v>474</v>
      </c>
      <c r="D37" s="32" t="s">
        <v>12</v>
      </c>
      <c r="E37" s="32" t="s">
        <v>13</v>
      </c>
      <c r="F37" s="39">
        <v>0</v>
      </c>
      <c r="G37" s="39">
        <v>0</v>
      </c>
      <c r="H37" s="39">
        <v>0</v>
      </c>
      <c r="I37" s="39" t="s">
        <v>152</v>
      </c>
      <c r="J37" s="39">
        <v>0</v>
      </c>
      <c r="K37" s="39" t="s">
        <v>152</v>
      </c>
      <c r="L37" s="39">
        <v>5935769350.7740307</v>
      </c>
      <c r="M37" s="39">
        <v>0</v>
      </c>
      <c r="N37" s="39">
        <v>0</v>
      </c>
      <c r="O37" s="39">
        <v>0</v>
      </c>
      <c r="P37" s="39">
        <v>0</v>
      </c>
      <c r="Q37" s="39">
        <v>0</v>
      </c>
      <c r="R37" s="19">
        <v>0</v>
      </c>
      <c r="S37" s="39">
        <v>0</v>
      </c>
      <c r="T37" s="39">
        <v>0</v>
      </c>
      <c r="U37" s="39">
        <v>0</v>
      </c>
      <c r="V37" s="39">
        <v>0</v>
      </c>
      <c r="W37" s="39">
        <v>0</v>
      </c>
      <c r="X37" s="39">
        <v>0</v>
      </c>
      <c r="Y37" s="39">
        <v>0</v>
      </c>
      <c r="Z37" s="39">
        <v>0</v>
      </c>
      <c r="AA37" s="39">
        <v>0</v>
      </c>
      <c r="AB37" s="39" t="s">
        <v>152</v>
      </c>
      <c r="AC37" s="39" t="s">
        <v>152</v>
      </c>
      <c r="AD37" s="39" t="s">
        <v>152</v>
      </c>
      <c r="AE37" s="39" t="s">
        <v>152</v>
      </c>
      <c r="AF37" s="39" t="s">
        <v>152</v>
      </c>
      <c r="AG37" s="39" t="s">
        <v>152</v>
      </c>
      <c r="AH37" s="39">
        <v>0</v>
      </c>
      <c r="AI37" s="39" t="s">
        <v>152</v>
      </c>
      <c r="AJ37" s="39" t="s">
        <v>152</v>
      </c>
      <c r="AK37" s="39" t="s">
        <v>152</v>
      </c>
      <c r="AL37" s="19">
        <v>38326000</v>
      </c>
      <c r="AM37" s="19">
        <v>82000</v>
      </c>
      <c r="AN37" s="39">
        <v>-38244000</v>
      </c>
      <c r="AO37" s="39">
        <v>38408000</v>
      </c>
      <c r="AP37" s="39">
        <v>4477846000</v>
      </c>
      <c r="AQ37" s="39">
        <v>1535610000</v>
      </c>
      <c r="AR37" s="39">
        <v>-2942236000</v>
      </c>
      <c r="AS37" s="39">
        <v>6013456000</v>
      </c>
      <c r="AT37" s="39">
        <v>8.5590259245181717E-3</v>
      </c>
      <c r="AU37" s="39">
        <v>5.33989750001628E-5</v>
      </c>
      <c r="AV37" s="39">
        <v>1.7921636136469759E-3</v>
      </c>
      <c r="AW37" s="39">
        <v>7.4221697514907149E-4</v>
      </c>
      <c r="AX37" s="39">
        <v>6.3870094002517024E-3</v>
      </c>
      <c r="AY37" s="39">
        <v>6.4706018260280874E-3</v>
      </c>
      <c r="AZ37" s="39">
        <v>0</v>
      </c>
      <c r="BA37" s="39" t="s">
        <v>152</v>
      </c>
      <c r="BB37" s="39" t="s">
        <v>152</v>
      </c>
      <c r="BC37" s="39" t="s">
        <v>152</v>
      </c>
      <c r="BD37" s="39" t="s">
        <v>152</v>
      </c>
      <c r="BE37" s="39" t="s">
        <v>152</v>
      </c>
      <c r="BF37" s="39" t="s">
        <v>152</v>
      </c>
      <c r="BG37" s="39" t="s">
        <v>152</v>
      </c>
      <c r="BH37" s="39">
        <v>0</v>
      </c>
      <c r="BI37" s="39">
        <v>0</v>
      </c>
      <c r="BJ37" s="39">
        <v>0</v>
      </c>
      <c r="BK37" s="39">
        <v>0</v>
      </c>
      <c r="BL37" s="40">
        <v>0</v>
      </c>
      <c r="BM37" s="40">
        <v>0</v>
      </c>
    </row>
    <row r="38" spans="1:65" x14ac:dyDescent="0.35">
      <c r="A38" s="39">
        <v>37</v>
      </c>
      <c r="B38" s="32" t="s">
        <v>276</v>
      </c>
      <c r="C38" s="32" t="s">
        <v>187</v>
      </c>
      <c r="D38" s="32" t="s">
        <v>9</v>
      </c>
      <c r="E38" s="32" t="s">
        <v>2</v>
      </c>
      <c r="F38" s="39">
        <v>0</v>
      </c>
      <c r="G38" s="39">
        <v>0</v>
      </c>
      <c r="H38" s="39">
        <v>0</v>
      </c>
      <c r="I38" s="39" t="s">
        <v>152</v>
      </c>
      <c r="J38" s="39">
        <v>0</v>
      </c>
      <c r="K38" s="39" t="s">
        <v>152</v>
      </c>
      <c r="L38" s="39">
        <v>2220307318.7488565</v>
      </c>
      <c r="M38" s="39">
        <v>0</v>
      </c>
      <c r="N38" s="39">
        <v>0</v>
      </c>
      <c r="O38" s="39">
        <v>0</v>
      </c>
      <c r="P38" s="39">
        <v>0</v>
      </c>
      <c r="Q38" s="39">
        <v>0</v>
      </c>
      <c r="R38" s="19">
        <v>0</v>
      </c>
      <c r="S38" s="39">
        <v>0</v>
      </c>
      <c r="T38" s="39">
        <v>0</v>
      </c>
      <c r="U38" s="39">
        <v>0</v>
      </c>
      <c r="V38" s="39">
        <v>0</v>
      </c>
      <c r="W38" s="39">
        <v>0</v>
      </c>
      <c r="X38" s="39">
        <v>0</v>
      </c>
      <c r="Y38" s="39">
        <v>0</v>
      </c>
      <c r="Z38" s="39">
        <v>0</v>
      </c>
      <c r="AA38" s="39">
        <v>0</v>
      </c>
      <c r="AB38" s="39" t="s">
        <v>152</v>
      </c>
      <c r="AC38" s="39" t="s">
        <v>152</v>
      </c>
      <c r="AD38" s="39" t="s">
        <v>152</v>
      </c>
      <c r="AE38" s="39" t="s">
        <v>152</v>
      </c>
      <c r="AF38" s="39" t="s">
        <v>152</v>
      </c>
      <c r="AG38" s="39" t="s">
        <v>152</v>
      </c>
      <c r="AH38" s="39">
        <v>0</v>
      </c>
      <c r="AI38" s="39" t="s">
        <v>152</v>
      </c>
      <c r="AJ38" s="39" t="s">
        <v>152</v>
      </c>
      <c r="AK38" s="39" t="s">
        <v>152</v>
      </c>
      <c r="AL38" s="19">
        <v>103158000</v>
      </c>
      <c r="AM38" s="19">
        <v>7442000</v>
      </c>
      <c r="AN38" s="39">
        <v>-95716000</v>
      </c>
      <c r="AO38" s="39">
        <v>110600000</v>
      </c>
      <c r="AP38" s="39">
        <v>567832000</v>
      </c>
      <c r="AQ38" s="39">
        <v>125191000</v>
      </c>
      <c r="AR38" s="39">
        <v>-442641000</v>
      </c>
      <c r="AS38" s="39">
        <v>693023000</v>
      </c>
      <c r="AT38" s="39">
        <v>0.18166993054283662</v>
      </c>
      <c r="AU38" s="39">
        <v>5.9445167783626615E-2</v>
      </c>
      <c r="AV38" s="39">
        <v>2.2726280650660821E-4</v>
      </c>
      <c r="AW38" s="39">
        <v>6.0509429696268848E-5</v>
      </c>
      <c r="AX38" s="39">
        <v>0.15959066293615073</v>
      </c>
      <c r="AY38" s="39">
        <v>4.9812924123640287E-2</v>
      </c>
      <c r="AZ38" s="39">
        <v>107</v>
      </c>
      <c r="BA38" s="39">
        <v>474603128.61500078</v>
      </c>
      <c r="BB38" s="39">
        <v>101</v>
      </c>
      <c r="BC38" s="39">
        <v>287310403.61804402</v>
      </c>
      <c r="BD38" s="39">
        <v>1</v>
      </c>
      <c r="BE38" s="39">
        <v>119460798.289351</v>
      </c>
      <c r="BF38" s="39">
        <v>5</v>
      </c>
      <c r="BG38" s="39">
        <v>67831926.707605794</v>
      </c>
      <c r="BH38" s="39">
        <v>0.21375560248229047</v>
      </c>
      <c r="BI38" s="39">
        <v>0.12940118748063376</v>
      </c>
      <c r="BJ38" s="39">
        <v>5.3803722250786064E-2</v>
      </c>
      <c r="BK38" s="39">
        <v>3.0550692750870675E-2</v>
      </c>
      <c r="BL38" s="40">
        <v>27917831.095000047</v>
      </c>
      <c r="BM38" s="40">
        <v>1.2573858969546499E-2</v>
      </c>
    </row>
    <row r="39" spans="1:65" x14ac:dyDescent="0.35">
      <c r="A39" s="39">
        <v>38</v>
      </c>
      <c r="B39" s="32" t="s">
        <v>277</v>
      </c>
      <c r="C39" s="32" t="s">
        <v>28</v>
      </c>
      <c r="D39" s="32" t="s">
        <v>9</v>
      </c>
      <c r="E39" s="32" t="s">
        <v>2</v>
      </c>
      <c r="F39" s="39">
        <v>0</v>
      </c>
      <c r="G39" s="39">
        <v>0</v>
      </c>
      <c r="H39" s="39">
        <v>1</v>
      </c>
      <c r="I39" s="39">
        <v>2018</v>
      </c>
      <c r="J39" s="39">
        <v>1</v>
      </c>
      <c r="K39" s="39">
        <v>2006</v>
      </c>
      <c r="L39" s="39">
        <v>11314951342.780731</v>
      </c>
      <c r="M39" s="39">
        <v>5</v>
      </c>
      <c r="N39" s="39">
        <v>7730000000</v>
      </c>
      <c r="O39" s="39">
        <v>3</v>
      </c>
      <c r="P39" s="39">
        <v>550000000</v>
      </c>
      <c r="Q39" s="39">
        <v>8</v>
      </c>
      <c r="R39" s="19">
        <v>8280000000</v>
      </c>
      <c r="S39" s="39">
        <v>0.6831668794521123</v>
      </c>
      <c r="T39" s="39">
        <v>4.8608251448727269E-2</v>
      </c>
      <c r="U39" s="39">
        <v>0.73177513090083957</v>
      </c>
      <c r="V39" s="39">
        <v>5.7573568295062674E-3</v>
      </c>
      <c r="W39" s="39">
        <v>6.9170209019795261E-4</v>
      </c>
      <c r="X39" s="39">
        <v>3.8640489446199653E-3</v>
      </c>
      <c r="Y39" s="39">
        <v>487058823.52941179</v>
      </c>
      <c r="Z39" s="39">
        <v>4.3045595935343503E-2</v>
      </c>
      <c r="AA39" s="39">
        <v>0</v>
      </c>
      <c r="AB39" s="39" t="s">
        <v>152</v>
      </c>
      <c r="AC39" s="39" t="s">
        <v>152</v>
      </c>
      <c r="AD39" s="39" t="s">
        <v>152</v>
      </c>
      <c r="AE39" s="39" t="s">
        <v>152</v>
      </c>
      <c r="AF39" s="39" t="s">
        <v>152</v>
      </c>
      <c r="AG39" s="39" t="s">
        <v>152</v>
      </c>
      <c r="AH39" s="39">
        <v>0</v>
      </c>
      <c r="AI39" s="39" t="s">
        <v>152</v>
      </c>
      <c r="AJ39" s="39" t="s">
        <v>152</v>
      </c>
      <c r="AK39" s="39" t="s">
        <v>152</v>
      </c>
      <c r="AL39" s="19">
        <v>278769000</v>
      </c>
      <c r="AM39" s="19">
        <v>439827000</v>
      </c>
      <c r="AN39" s="39">
        <v>161058000</v>
      </c>
      <c r="AO39" s="39">
        <v>718596000</v>
      </c>
      <c r="AP39" s="39">
        <v>1006326000</v>
      </c>
      <c r="AQ39" s="39">
        <v>1319682000</v>
      </c>
      <c r="AR39" s="39">
        <v>313356000</v>
      </c>
      <c r="AS39" s="39">
        <v>2326008000</v>
      </c>
      <c r="AT39" s="39">
        <v>0.27701659303247655</v>
      </c>
      <c r="AU39" s="39">
        <v>0.3332825635266678</v>
      </c>
      <c r="AV39" s="39">
        <v>4.0276080076601708E-4</v>
      </c>
      <c r="AW39" s="39">
        <v>6.3785100526740309E-4</v>
      </c>
      <c r="AX39" s="39">
        <v>0.3089396081182868</v>
      </c>
      <c r="AY39" s="39">
        <v>6.3508536469181129E-2</v>
      </c>
      <c r="AZ39" s="39">
        <v>96</v>
      </c>
      <c r="BA39" s="39">
        <v>4127853844.9958119</v>
      </c>
      <c r="BB39" s="39">
        <v>85</v>
      </c>
      <c r="BC39" s="39">
        <v>2946617135.621397</v>
      </c>
      <c r="BD39" s="39">
        <v>6</v>
      </c>
      <c r="BE39" s="39">
        <v>736995321.85174417</v>
      </c>
      <c r="BF39" s="39">
        <v>5</v>
      </c>
      <c r="BG39" s="39">
        <v>444241387.52267027</v>
      </c>
      <c r="BH39" s="39">
        <v>0.3648141048020947</v>
      </c>
      <c r="BI39" s="39">
        <v>0.26041801209347881</v>
      </c>
      <c r="BJ39" s="39">
        <v>6.5134643492918656E-2</v>
      </c>
      <c r="BK39" s="39">
        <v>3.9261449215697179E-2</v>
      </c>
      <c r="BL39" s="40">
        <v>242814932.05857718</v>
      </c>
      <c r="BM39" s="40">
        <v>2.145965322365263E-2</v>
      </c>
    </row>
    <row r="40" spans="1:65" x14ac:dyDescent="0.35">
      <c r="A40" s="39">
        <v>39</v>
      </c>
      <c r="B40" s="32" t="s">
        <v>278</v>
      </c>
      <c r="C40" s="32" t="s">
        <v>29</v>
      </c>
      <c r="D40" s="32" t="s">
        <v>12</v>
      </c>
      <c r="E40" s="32" t="s">
        <v>13</v>
      </c>
      <c r="F40" s="39">
        <v>2</v>
      </c>
      <c r="G40" s="39">
        <v>1</v>
      </c>
      <c r="H40" s="39">
        <v>1</v>
      </c>
      <c r="I40" s="39">
        <v>2018</v>
      </c>
      <c r="J40" s="39">
        <v>0</v>
      </c>
      <c r="K40" s="39" t="s">
        <v>152</v>
      </c>
      <c r="L40" s="39">
        <v>279385487344.5257</v>
      </c>
      <c r="M40" s="39">
        <v>2</v>
      </c>
      <c r="N40" s="39">
        <v>2100000000</v>
      </c>
      <c r="O40" s="39">
        <v>11</v>
      </c>
      <c r="P40" s="39">
        <v>13110000000</v>
      </c>
      <c r="Q40" s="39">
        <v>13</v>
      </c>
      <c r="R40" s="19">
        <v>15210000000</v>
      </c>
      <c r="S40" s="39">
        <v>7.5164963647892484E-3</v>
      </c>
      <c r="T40" s="39">
        <v>4.6924413020184311E-2</v>
      </c>
      <c r="U40" s="39">
        <v>5.4440909384973556E-2</v>
      </c>
      <c r="V40" s="39">
        <v>1.5640943521297752E-3</v>
      </c>
      <c r="W40" s="39">
        <v>1.6487662549991195E-2</v>
      </c>
      <c r="X40" s="39">
        <v>7.0980899091388494E-3</v>
      </c>
      <c r="Y40" s="39">
        <v>894705882.35294116</v>
      </c>
      <c r="Z40" s="39">
        <v>3.2024064344102093E-3</v>
      </c>
      <c r="AA40" s="39">
        <v>2</v>
      </c>
      <c r="AB40" s="39">
        <v>0</v>
      </c>
      <c r="AC40" s="39">
        <v>0</v>
      </c>
      <c r="AD40" s="39">
        <v>0</v>
      </c>
      <c r="AE40" s="39">
        <v>0</v>
      </c>
      <c r="AF40" s="39">
        <v>0</v>
      </c>
      <c r="AG40" s="39">
        <v>0</v>
      </c>
      <c r="AH40" s="39">
        <v>0</v>
      </c>
      <c r="AI40" s="39">
        <v>0</v>
      </c>
      <c r="AJ40" s="39">
        <v>0</v>
      </c>
      <c r="AK40" s="39">
        <v>0</v>
      </c>
      <c r="AL40" s="19">
        <v>14642138000</v>
      </c>
      <c r="AM40" s="19">
        <v>21677089000</v>
      </c>
      <c r="AN40" s="39">
        <v>7034951000</v>
      </c>
      <c r="AO40" s="39">
        <v>36319227000</v>
      </c>
      <c r="AP40" s="39">
        <v>64119106000</v>
      </c>
      <c r="AQ40" s="39">
        <v>69145962000</v>
      </c>
      <c r="AR40" s="39">
        <v>5026856000</v>
      </c>
      <c r="AS40" s="39">
        <v>133265068000</v>
      </c>
      <c r="AT40" s="39">
        <v>0.22835842408657414</v>
      </c>
      <c r="AU40" s="39">
        <v>0.31349754017450793</v>
      </c>
      <c r="AV40" s="39">
        <v>2.5662322624041445E-2</v>
      </c>
      <c r="AW40" s="39">
        <v>3.3420794836848317E-2</v>
      </c>
      <c r="AX40" s="39">
        <v>0.27253373704803124</v>
      </c>
      <c r="AY40" s="39">
        <v>0.12999682748450264</v>
      </c>
      <c r="AZ40" s="39">
        <v>32</v>
      </c>
      <c r="BA40" s="39">
        <v>1502672359.4791894</v>
      </c>
      <c r="BB40" s="39">
        <v>8</v>
      </c>
      <c r="BC40" s="39">
        <v>6355155.097238021</v>
      </c>
      <c r="BD40" s="39">
        <v>21</v>
      </c>
      <c r="BE40" s="39">
        <v>1215003113.1098843</v>
      </c>
      <c r="BF40" s="39">
        <v>3</v>
      </c>
      <c r="BG40" s="39">
        <v>281314091.27206707</v>
      </c>
      <c r="BH40" s="39">
        <v>5.3784911083307671E-3</v>
      </c>
      <c r="BI40" s="39">
        <v>2.2746904850505452E-5</v>
      </c>
      <c r="BJ40" s="39">
        <v>4.3488411823324122E-3</v>
      </c>
      <c r="BK40" s="39">
        <v>1.0069030211478491E-3</v>
      </c>
      <c r="BL40" s="40">
        <v>88392491.734069958</v>
      </c>
      <c r="BM40" s="40">
        <v>3.1638182990180978E-4</v>
      </c>
    </row>
    <row r="41" spans="1:65" x14ac:dyDescent="0.35">
      <c r="A41" s="39">
        <v>40</v>
      </c>
      <c r="B41" s="32" t="s">
        <v>279</v>
      </c>
      <c r="C41" s="32" t="s">
        <v>30</v>
      </c>
      <c r="D41" s="32" t="s">
        <v>23</v>
      </c>
      <c r="E41" s="32" t="s">
        <v>5</v>
      </c>
      <c r="F41" s="39">
        <v>0</v>
      </c>
      <c r="G41" s="39" t="s">
        <v>152</v>
      </c>
      <c r="H41" s="39">
        <v>1</v>
      </c>
      <c r="I41" s="39">
        <v>2013</v>
      </c>
      <c r="J41" s="39">
        <v>0</v>
      </c>
      <c r="K41" s="39" t="s">
        <v>152</v>
      </c>
      <c r="L41" s="39" t="s">
        <v>152</v>
      </c>
      <c r="M41" s="39">
        <v>0</v>
      </c>
      <c r="N41" s="39">
        <v>0</v>
      </c>
      <c r="O41" s="39">
        <v>0</v>
      </c>
      <c r="P41" s="39">
        <v>0</v>
      </c>
      <c r="Q41" s="39">
        <v>0</v>
      </c>
      <c r="R41" s="19">
        <v>0</v>
      </c>
      <c r="S41" s="39">
        <v>0</v>
      </c>
      <c r="T41" s="39">
        <v>0</v>
      </c>
      <c r="U41" s="39">
        <v>0</v>
      </c>
      <c r="V41" s="39">
        <v>0</v>
      </c>
      <c r="W41" s="39">
        <v>0</v>
      </c>
      <c r="X41" s="39">
        <v>0</v>
      </c>
      <c r="Y41" s="39">
        <v>0</v>
      </c>
      <c r="Z41" s="39">
        <v>0</v>
      </c>
      <c r="AA41" s="39">
        <v>1</v>
      </c>
      <c r="AB41" s="39">
        <v>7</v>
      </c>
      <c r="AC41" s="39">
        <v>1610000000</v>
      </c>
      <c r="AD41" s="39">
        <v>4</v>
      </c>
      <c r="AE41" s="39">
        <v>1500000000</v>
      </c>
      <c r="AF41" s="39">
        <v>0</v>
      </c>
      <c r="AG41" s="39">
        <v>0</v>
      </c>
      <c r="AH41" s="39">
        <v>11</v>
      </c>
      <c r="AI41" s="39">
        <v>3110000000</v>
      </c>
      <c r="AJ41" s="39" t="s">
        <v>152</v>
      </c>
      <c r="AK41" s="39">
        <v>7.8022630576893306E-2</v>
      </c>
      <c r="AL41" s="19" t="s">
        <v>152</v>
      </c>
      <c r="AM41" s="19" t="s">
        <v>152</v>
      </c>
      <c r="AN41" s="39" t="s">
        <v>152</v>
      </c>
      <c r="AO41" s="39" t="s">
        <v>152</v>
      </c>
      <c r="AP41" s="39">
        <v>2068950255000</v>
      </c>
      <c r="AQ41" s="39">
        <v>2498569866000</v>
      </c>
      <c r="AR41" s="39">
        <v>429619611000</v>
      </c>
      <c r="AS41" s="39">
        <v>4567520121000</v>
      </c>
      <c r="AT41" s="39" t="s">
        <v>152</v>
      </c>
      <c r="AU41" s="39" t="s">
        <v>152</v>
      </c>
      <c r="AV41" s="39" t="s">
        <v>152</v>
      </c>
      <c r="AW41" s="39" t="s">
        <v>152</v>
      </c>
      <c r="AX41" s="39" t="s">
        <v>152</v>
      </c>
      <c r="AY41" s="39" t="s">
        <v>152</v>
      </c>
      <c r="AZ41" s="39" t="s">
        <v>152</v>
      </c>
      <c r="BA41" s="39" t="s">
        <v>152</v>
      </c>
      <c r="BB41" s="39" t="s">
        <v>152</v>
      </c>
      <c r="BC41" s="39" t="s">
        <v>152</v>
      </c>
      <c r="BD41" s="39" t="s">
        <v>152</v>
      </c>
      <c r="BE41" s="39" t="s">
        <v>152</v>
      </c>
      <c r="BF41" s="39" t="s">
        <v>152</v>
      </c>
      <c r="BG41" s="39" t="s">
        <v>152</v>
      </c>
      <c r="BH41" s="39">
        <v>0</v>
      </c>
      <c r="BI41" s="39">
        <v>0</v>
      </c>
      <c r="BJ41" s="39">
        <v>0</v>
      </c>
      <c r="BK41" s="39">
        <v>0</v>
      </c>
      <c r="BL41" s="40">
        <v>0</v>
      </c>
      <c r="BM41" s="40">
        <v>0</v>
      </c>
    </row>
    <row r="42" spans="1:65" x14ac:dyDescent="0.35">
      <c r="A42" s="39">
        <v>41</v>
      </c>
      <c r="B42" s="32" t="s">
        <v>280</v>
      </c>
      <c r="C42" s="32" t="s">
        <v>155</v>
      </c>
      <c r="D42" s="32" t="s">
        <v>12</v>
      </c>
      <c r="E42" s="32" t="s">
        <v>5</v>
      </c>
      <c r="F42" s="39">
        <v>0</v>
      </c>
      <c r="G42" s="39">
        <v>0</v>
      </c>
      <c r="H42" s="39">
        <v>0</v>
      </c>
      <c r="I42" s="39" t="s">
        <v>152</v>
      </c>
      <c r="J42" s="39">
        <v>0</v>
      </c>
      <c r="K42" s="39" t="s">
        <v>152</v>
      </c>
      <c r="L42" s="39">
        <v>323429888934.25677</v>
      </c>
      <c r="M42" s="39">
        <v>7</v>
      </c>
      <c r="N42" s="39">
        <v>2440000000</v>
      </c>
      <c r="O42" s="39">
        <v>0</v>
      </c>
      <c r="P42" s="39">
        <v>0</v>
      </c>
      <c r="Q42" s="39">
        <v>7</v>
      </c>
      <c r="R42" s="19">
        <v>2440000000</v>
      </c>
      <c r="S42" s="39">
        <v>7.5441388798051867E-3</v>
      </c>
      <c r="T42" s="39">
        <v>0</v>
      </c>
      <c r="U42" s="39">
        <v>7.5441388798051867E-3</v>
      </c>
      <c r="V42" s="39">
        <v>1.8173286758079291E-3</v>
      </c>
      <c r="W42" s="39">
        <v>0</v>
      </c>
      <c r="X42" s="39">
        <v>1.1386810899604728E-3</v>
      </c>
      <c r="Y42" s="39">
        <v>143529411.7647059</v>
      </c>
      <c r="Z42" s="39">
        <v>4.4377287528265809E-4</v>
      </c>
      <c r="AA42" s="39">
        <v>0</v>
      </c>
      <c r="AB42" s="39" t="s">
        <v>152</v>
      </c>
      <c r="AC42" s="39" t="s">
        <v>152</v>
      </c>
      <c r="AD42" s="39" t="s">
        <v>152</v>
      </c>
      <c r="AE42" s="39" t="s">
        <v>152</v>
      </c>
      <c r="AF42" s="39" t="s">
        <v>152</v>
      </c>
      <c r="AG42" s="39" t="s">
        <v>152</v>
      </c>
      <c r="AH42" s="39">
        <v>0</v>
      </c>
      <c r="AI42" s="39" t="s">
        <v>152</v>
      </c>
      <c r="AJ42" s="39" t="s">
        <v>152</v>
      </c>
      <c r="AK42" s="39" t="s">
        <v>152</v>
      </c>
      <c r="AL42" s="19">
        <v>10483257000</v>
      </c>
      <c r="AM42" s="19">
        <v>4564929000</v>
      </c>
      <c r="AN42" s="39">
        <v>-5918328000</v>
      </c>
      <c r="AO42" s="39">
        <v>15048186000</v>
      </c>
      <c r="AP42" s="39">
        <v>50413025000</v>
      </c>
      <c r="AQ42" s="39">
        <v>39496225000</v>
      </c>
      <c r="AR42" s="39">
        <v>-10916800000</v>
      </c>
      <c r="AS42" s="39">
        <v>89909250000</v>
      </c>
      <c r="AT42" s="39">
        <v>0.20794739058011297</v>
      </c>
      <c r="AU42" s="39">
        <v>0.1155788686133928</v>
      </c>
      <c r="AV42" s="39">
        <v>2.0176752183723008E-2</v>
      </c>
      <c r="AW42" s="39">
        <v>1.9089982905364733E-2</v>
      </c>
      <c r="AX42" s="39">
        <v>0.167370832255858</v>
      </c>
      <c r="AY42" s="39">
        <v>4.6526887325057421E-2</v>
      </c>
      <c r="AZ42" s="39">
        <v>46</v>
      </c>
      <c r="BA42" s="39">
        <v>672303255.93577743</v>
      </c>
      <c r="BB42" s="39">
        <v>34</v>
      </c>
      <c r="BC42" s="39">
        <v>59405922.509903975</v>
      </c>
      <c r="BD42" s="39">
        <v>9</v>
      </c>
      <c r="BE42" s="39">
        <v>510473727.21455789</v>
      </c>
      <c r="BF42" s="39">
        <v>3</v>
      </c>
      <c r="BG42" s="39">
        <v>102423606.21131551</v>
      </c>
      <c r="BH42" s="39">
        <v>2.0786676771002936E-3</v>
      </c>
      <c r="BI42" s="39">
        <v>1.8367480725313965E-4</v>
      </c>
      <c r="BJ42" s="39">
        <v>1.5783133986059072E-3</v>
      </c>
      <c r="BK42" s="39">
        <v>3.1667947124124649E-4</v>
      </c>
      <c r="BL42" s="40">
        <v>39547250.349163376</v>
      </c>
      <c r="BM42" s="40">
        <v>1.2227456924119372E-4</v>
      </c>
    </row>
    <row r="43" spans="1:65" x14ac:dyDescent="0.35">
      <c r="A43" s="39">
        <v>42</v>
      </c>
      <c r="B43" s="32" t="s">
        <v>281</v>
      </c>
      <c r="C43" s="32" t="s">
        <v>134</v>
      </c>
      <c r="D43" s="32" t="s">
        <v>9</v>
      </c>
      <c r="E43" s="32" t="s">
        <v>10</v>
      </c>
      <c r="F43" s="39">
        <v>0</v>
      </c>
      <c r="G43" s="39">
        <v>0</v>
      </c>
      <c r="H43" s="39">
        <v>1</v>
      </c>
      <c r="I43" s="39" t="s">
        <v>152</v>
      </c>
      <c r="J43" s="39">
        <v>0</v>
      </c>
      <c r="K43" s="39" t="s">
        <v>152</v>
      </c>
      <c r="L43" s="39">
        <v>1165839899.8026922</v>
      </c>
      <c r="M43" s="39">
        <v>0</v>
      </c>
      <c r="N43" s="39">
        <v>0</v>
      </c>
      <c r="O43" s="39">
        <v>0</v>
      </c>
      <c r="P43" s="39">
        <v>0</v>
      </c>
      <c r="Q43" s="39">
        <v>0</v>
      </c>
      <c r="R43" s="19">
        <v>0</v>
      </c>
      <c r="S43" s="39">
        <v>0</v>
      </c>
      <c r="T43" s="39">
        <v>0</v>
      </c>
      <c r="U43" s="39">
        <v>0</v>
      </c>
      <c r="V43" s="39">
        <v>0</v>
      </c>
      <c r="W43" s="39">
        <v>0</v>
      </c>
      <c r="X43" s="39">
        <v>0</v>
      </c>
      <c r="Y43" s="39">
        <v>0</v>
      </c>
      <c r="Z43" s="39">
        <v>0</v>
      </c>
      <c r="AA43" s="39">
        <v>0</v>
      </c>
      <c r="AB43" s="39" t="s">
        <v>152</v>
      </c>
      <c r="AC43" s="39" t="s">
        <v>152</v>
      </c>
      <c r="AD43" s="39" t="s">
        <v>152</v>
      </c>
      <c r="AE43" s="39" t="s">
        <v>152</v>
      </c>
      <c r="AF43" s="39" t="s">
        <v>152</v>
      </c>
      <c r="AG43" s="39" t="s">
        <v>152</v>
      </c>
      <c r="AH43" s="39">
        <v>0</v>
      </c>
      <c r="AI43" s="39" t="s">
        <v>152</v>
      </c>
      <c r="AJ43" s="39" t="s">
        <v>152</v>
      </c>
      <c r="AK43" s="39" t="s">
        <v>152</v>
      </c>
      <c r="AL43" s="19">
        <v>19759000</v>
      </c>
      <c r="AM43" s="19">
        <v>14000</v>
      </c>
      <c r="AN43" s="39">
        <v>-19745000</v>
      </c>
      <c r="AO43" s="39">
        <v>19773000</v>
      </c>
      <c r="AP43" s="39">
        <v>203688000</v>
      </c>
      <c r="AQ43" s="39">
        <v>49638000</v>
      </c>
      <c r="AR43" s="39">
        <v>-154050000</v>
      </c>
      <c r="AS43" s="39">
        <v>253326000</v>
      </c>
      <c r="AT43" s="39">
        <v>9.7006205569302076E-2</v>
      </c>
      <c r="AU43" s="39">
        <v>2.8204198396389861E-4</v>
      </c>
      <c r="AV43" s="39">
        <v>8.1521834859109749E-5</v>
      </c>
      <c r="AW43" s="39">
        <v>2.3991876982078528E-5</v>
      </c>
      <c r="AX43" s="39">
        <v>7.80535752350726E-2</v>
      </c>
      <c r="AY43" s="39">
        <v>1.6960304758266036E-2</v>
      </c>
      <c r="AZ43" s="39">
        <v>68</v>
      </c>
      <c r="BA43" s="39">
        <v>348572569.68054128</v>
      </c>
      <c r="BB43" s="39">
        <v>64</v>
      </c>
      <c r="BC43" s="39">
        <v>201306498.51118547</v>
      </c>
      <c r="BD43" s="39">
        <v>2</v>
      </c>
      <c r="BE43" s="39">
        <v>77587.527207982697</v>
      </c>
      <c r="BF43" s="39">
        <v>2</v>
      </c>
      <c r="BG43" s="39">
        <v>147188483.64214787</v>
      </c>
      <c r="BH43" s="39">
        <v>0.29898836859120537</v>
      </c>
      <c r="BI43" s="39">
        <v>0.17267079171441529</v>
      </c>
      <c r="BJ43" s="39">
        <v>6.655075642986115E-5</v>
      </c>
      <c r="BK43" s="39">
        <v>0.12625102612036027</v>
      </c>
      <c r="BL43" s="40">
        <v>20504268.804737721</v>
      </c>
      <c r="BM43" s="40">
        <v>1.7587551093600315E-2</v>
      </c>
    </row>
    <row r="44" spans="1:65" x14ac:dyDescent="0.35">
      <c r="A44" s="39">
        <v>43</v>
      </c>
      <c r="B44" s="32" t="s">
        <v>388</v>
      </c>
      <c r="C44" s="32" t="s">
        <v>135</v>
      </c>
      <c r="D44" s="32" t="s">
        <v>9</v>
      </c>
      <c r="E44" s="32" t="s">
        <v>10</v>
      </c>
      <c r="F44" s="39">
        <v>0</v>
      </c>
      <c r="G44" s="39">
        <v>0</v>
      </c>
      <c r="H44" s="39">
        <v>1</v>
      </c>
      <c r="I44" s="39" t="s">
        <v>152</v>
      </c>
      <c r="J44" s="39">
        <v>0</v>
      </c>
      <c r="K44" s="39" t="s">
        <v>152</v>
      </c>
      <c r="L44" s="39">
        <v>12693562947.785587</v>
      </c>
      <c r="M44" s="39">
        <v>10</v>
      </c>
      <c r="N44" s="39">
        <v>4280000000</v>
      </c>
      <c r="O44" s="39">
        <v>12</v>
      </c>
      <c r="P44" s="39">
        <v>6710000000</v>
      </c>
      <c r="Q44" s="39">
        <v>22</v>
      </c>
      <c r="R44" s="19">
        <v>10990000000</v>
      </c>
      <c r="S44" s="39">
        <v>0.33717877459666695</v>
      </c>
      <c r="T44" s="39">
        <v>0.5286143872765503</v>
      </c>
      <c r="U44" s="39">
        <v>0.86579316187321731</v>
      </c>
      <c r="V44" s="39">
        <v>3.1877732510073513E-3</v>
      </c>
      <c r="W44" s="39">
        <v>8.438765500415021E-3</v>
      </c>
      <c r="X44" s="39">
        <v>5.1287316306006542E-3</v>
      </c>
      <c r="Y44" s="39">
        <v>646470588.2352941</v>
      </c>
      <c r="Z44" s="39">
        <v>5.0929009521953957E-2</v>
      </c>
      <c r="AA44" s="39">
        <v>0</v>
      </c>
      <c r="AB44" s="39" t="s">
        <v>152</v>
      </c>
      <c r="AC44" s="39" t="s">
        <v>152</v>
      </c>
      <c r="AD44" s="39" t="s">
        <v>152</v>
      </c>
      <c r="AE44" s="39" t="s">
        <v>152</v>
      </c>
      <c r="AF44" s="39" t="s">
        <v>152</v>
      </c>
      <c r="AG44" s="39" t="s">
        <v>152</v>
      </c>
      <c r="AH44" s="39">
        <v>0</v>
      </c>
      <c r="AI44" s="39" t="s">
        <v>152</v>
      </c>
      <c r="AJ44" s="39" t="s">
        <v>152</v>
      </c>
      <c r="AK44" s="39" t="s">
        <v>152</v>
      </c>
      <c r="AL44" s="19">
        <v>256304000</v>
      </c>
      <c r="AM44" s="19">
        <v>3333674000</v>
      </c>
      <c r="AN44" s="39">
        <v>3077370000</v>
      </c>
      <c r="AO44" s="39">
        <v>3589978000</v>
      </c>
      <c r="AP44" s="39">
        <v>2302133000</v>
      </c>
      <c r="AQ44" s="39">
        <v>5577729000</v>
      </c>
      <c r="AR44" s="39">
        <v>3275596000</v>
      </c>
      <c r="AS44" s="39">
        <v>7879862000</v>
      </c>
      <c r="AT44" s="39">
        <v>0.11133327223057921</v>
      </c>
      <c r="AU44" s="39">
        <v>0.59767586413753693</v>
      </c>
      <c r="AV44" s="39">
        <v>9.2138027890551692E-4</v>
      </c>
      <c r="AW44" s="39">
        <v>2.6959222371443631E-3</v>
      </c>
      <c r="AX44" s="39">
        <v>0.45558894305509412</v>
      </c>
      <c r="AY44" s="39">
        <v>0.28281878104415731</v>
      </c>
      <c r="AZ44" s="39">
        <v>168</v>
      </c>
      <c r="BA44" s="39">
        <v>14102108181.011784</v>
      </c>
      <c r="BB44" s="39">
        <v>142</v>
      </c>
      <c r="BC44" s="39">
        <v>8393094901.1244373</v>
      </c>
      <c r="BD44" s="39">
        <v>10</v>
      </c>
      <c r="BE44" s="39">
        <v>2265789246.255024</v>
      </c>
      <c r="BF44" s="39">
        <v>16</v>
      </c>
      <c r="BG44" s="39">
        <v>3443224033.6323285</v>
      </c>
      <c r="BH44" s="39">
        <v>1.1109653167530806</v>
      </c>
      <c r="BI44" s="39">
        <v>0.66120875089595132</v>
      </c>
      <c r="BJ44" s="39">
        <v>0.17849907512770435</v>
      </c>
      <c r="BK44" s="39">
        <v>0.27125749072942557</v>
      </c>
      <c r="BL44" s="40">
        <v>829535775.35363436</v>
      </c>
      <c r="BM44" s="40">
        <v>6.535090098547533E-2</v>
      </c>
    </row>
    <row r="45" spans="1:65" x14ac:dyDescent="0.35">
      <c r="A45" s="39">
        <v>44</v>
      </c>
      <c r="B45" s="32" t="s">
        <v>289</v>
      </c>
      <c r="C45" s="32" t="s">
        <v>193</v>
      </c>
      <c r="D45" s="32" t="s">
        <v>9</v>
      </c>
      <c r="E45" s="32" t="s">
        <v>2</v>
      </c>
      <c r="F45" s="39">
        <v>1</v>
      </c>
      <c r="G45" s="39">
        <v>0</v>
      </c>
      <c r="H45" s="39">
        <v>1</v>
      </c>
      <c r="I45" s="39">
        <v>2021</v>
      </c>
      <c r="J45" s="39">
        <v>0</v>
      </c>
      <c r="K45" s="39" t="s">
        <v>152</v>
      </c>
      <c r="L45" s="39">
        <v>50400746171.423866</v>
      </c>
      <c r="M45" s="39">
        <v>28</v>
      </c>
      <c r="N45" s="39">
        <v>16340000000</v>
      </c>
      <c r="O45" s="39">
        <v>0</v>
      </c>
      <c r="P45" s="39">
        <v>0</v>
      </c>
      <c r="Q45" s="39">
        <v>28</v>
      </c>
      <c r="R45" s="19">
        <v>16340000000</v>
      </c>
      <c r="S45" s="39">
        <v>0.32420154940611629</v>
      </c>
      <c r="T45" s="39">
        <v>0</v>
      </c>
      <c r="U45" s="39">
        <v>0.32420154940611629</v>
      </c>
      <c r="V45" s="39">
        <v>1.2170143673238345E-2</v>
      </c>
      <c r="W45" s="39">
        <v>0</v>
      </c>
      <c r="X45" s="39">
        <v>7.625429922112347E-3</v>
      </c>
      <c r="Y45" s="39">
        <v>961176470.58823526</v>
      </c>
      <c r="Z45" s="39">
        <v>1.9070679376830369E-2</v>
      </c>
      <c r="AA45" s="39">
        <v>0</v>
      </c>
      <c r="AB45" s="39" t="s">
        <v>152</v>
      </c>
      <c r="AC45" s="39" t="s">
        <v>152</v>
      </c>
      <c r="AD45" s="39" t="s">
        <v>152</v>
      </c>
      <c r="AE45" s="39" t="s">
        <v>152</v>
      </c>
      <c r="AF45" s="39" t="s">
        <v>152</v>
      </c>
      <c r="AG45" s="39" t="s">
        <v>152</v>
      </c>
      <c r="AH45" s="39">
        <v>0</v>
      </c>
      <c r="AI45" s="39" t="s">
        <v>152</v>
      </c>
      <c r="AJ45" s="39" t="s">
        <v>152</v>
      </c>
      <c r="AK45" s="39" t="s">
        <v>152</v>
      </c>
      <c r="AL45" s="19">
        <v>2055303000</v>
      </c>
      <c r="AM45" s="19">
        <v>3565623000</v>
      </c>
      <c r="AN45" s="39">
        <v>1510320000</v>
      </c>
      <c r="AO45" s="39">
        <v>5620926000</v>
      </c>
      <c r="AP45" s="39">
        <v>8824802000</v>
      </c>
      <c r="AQ45" s="39">
        <v>13382299000</v>
      </c>
      <c r="AR45" s="39">
        <v>4557497000</v>
      </c>
      <c r="AS45" s="39">
        <v>22207101000</v>
      </c>
      <c r="AT45" s="39">
        <v>0.23290074950123527</v>
      </c>
      <c r="AU45" s="39">
        <v>0.26644323221294042</v>
      </c>
      <c r="AV45" s="39">
        <v>3.5319412597126076E-3</v>
      </c>
      <c r="AW45" s="39">
        <v>6.4681588973244785E-3</v>
      </c>
      <c r="AX45" s="39">
        <v>0.25311390262060768</v>
      </c>
      <c r="AY45" s="39">
        <v>0.11152465840251674</v>
      </c>
      <c r="AZ45" s="39">
        <v>249</v>
      </c>
      <c r="BA45" s="39">
        <v>13037513170.499128</v>
      </c>
      <c r="BB45" s="39">
        <v>154</v>
      </c>
      <c r="BC45" s="39">
        <v>1001809010.4741279</v>
      </c>
      <c r="BD45" s="39">
        <v>62</v>
      </c>
      <c r="BE45" s="39">
        <v>10544151469.910511</v>
      </c>
      <c r="BF45" s="39">
        <v>33</v>
      </c>
      <c r="BG45" s="39">
        <v>1491552690.11449</v>
      </c>
      <c r="BH45" s="39">
        <v>0.2586769871651447</v>
      </c>
      <c r="BI45" s="39">
        <v>1.9876868629419855E-2</v>
      </c>
      <c r="BJ45" s="39">
        <v>0.20920625726546915</v>
      </c>
      <c r="BK45" s="39">
        <v>2.959386127025572E-2</v>
      </c>
      <c r="BL45" s="40">
        <v>766912539.44112515</v>
      </c>
      <c r="BM45" s="40">
        <v>1.5216293362655571E-2</v>
      </c>
    </row>
    <row r="46" spans="1:65" x14ac:dyDescent="0.35">
      <c r="A46" s="39">
        <v>45</v>
      </c>
      <c r="B46" s="32" t="s">
        <v>282</v>
      </c>
      <c r="C46" s="32" t="s">
        <v>31</v>
      </c>
      <c r="D46" s="32" t="s">
        <v>23</v>
      </c>
      <c r="E46" s="32" t="s">
        <v>5</v>
      </c>
      <c r="F46" s="39">
        <v>0</v>
      </c>
      <c r="G46" s="39">
        <v>0</v>
      </c>
      <c r="H46" s="39">
        <v>1</v>
      </c>
      <c r="I46" s="39">
        <v>2018</v>
      </c>
      <c r="J46" s="39">
        <v>0</v>
      </c>
      <c r="K46" s="39" t="s">
        <v>152</v>
      </c>
      <c r="L46" s="39" t="s">
        <v>152</v>
      </c>
      <c r="M46" s="39">
        <v>0</v>
      </c>
      <c r="N46" s="39">
        <v>0</v>
      </c>
      <c r="O46" s="39">
        <v>0</v>
      </c>
      <c r="P46" s="39">
        <v>0</v>
      </c>
      <c r="Q46" s="39">
        <v>0</v>
      </c>
      <c r="R46" s="19">
        <v>0</v>
      </c>
      <c r="S46" s="39">
        <v>0</v>
      </c>
      <c r="T46" s="39">
        <v>0</v>
      </c>
      <c r="U46" s="39">
        <v>0</v>
      </c>
      <c r="V46" s="39">
        <v>0</v>
      </c>
      <c r="W46" s="39">
        <v>0</v>
      </c>
      <c r="X46" s="39">
        <v>0</v>
      </c>
      <c r="Y46" s="39">
        <v>0</v>
      </c>
      <c r="Z46" s="39">
        <v>0</v>
      </c>
      <c r="AA46" s="39">
        <v>1</v>
      </c>
      <c r="AB46" s="39">
        <v>1</v>
      </c>
      <c r="AC46" s="39">
        <v>20000000</v>
      </c>
      <c r="AD46" s="39">
        <v>0</v>
      </c>
      <c r="AE46" s="39">
        <v>0</v>
      </c>
      <c r="AF46" s="39">
        <v>0</v>
      </c>
      <c r="AG46" s="39">
        <v>0</v>
      </c>
      <c r="AH46" s="39">
        <v>1</v>
      </c>
      <c r="AI46" s="39">
        <v>20000000</v>
      </c>
      <c r="AJ46" s="39" t="s">
        <v>152</v>
      </c>
      <c r="AK46" s="39">
        <v>5.0175325129834928E-4</v>
      </c>
      <c r="AL46" s="19">
        <v>42699000</v>
      </c>
      <c r="AM46" s="19">
        <v>1266000</v>
      </c>
      <c r="AN46" s="39">
        <v>-41433000</v>
      </c>
      <c r="AO46" s="39">
        <v>43965000</v>
      </c>
      <c r="AP46" s="39">
        <v>198303000</v>
      </c>
      <c r="AQ46" s="39">
        <v>32222000</v>
      </c>
      <c r="AR46" s="39">
        <v>-166081000</v>
      </c>
      <c r="AS46" s="39">
        <v>230525000</v>
      </c>
      <c r="AT46" s="39">
        <v>0.21532200723135808</v>
      </c>
      <c r="AU46" s="39">
        <v>3.9289926137421639E-2</v>
      </c>
      <c r="AV46" s="39">
        <v>7.9366601950365474E-5</v>
      </c>
      <c r="AW46" s="39">
        <v>1.5574081552772761E-5</v>
      </c>
      <c r="AX46" s="39">
        <v>0.19071684199110725</v>
      </c>
      <c r="AY46" s="39" t="s">
        <v>152</v>
      </c>
      <c r="AZ46" s="39">
        <v>34</v>
      </c>
      <c r="BA46" s="39">
        <v>131478490.98164041</v>
      </c>
      <c r="BB46" s="39">
        <v>31</v>
      </c>
      <c r="BC46" s="39">
        <v>129493135.9661479</v>
      </c>
      <c r="BD46" s="39">
        <v>2</v>
      </c>
      <c r="BE46" s="39">
        <v>0</v>
      </c>
      <c r="BF46" s="39">
        <v>1</v>
      </c>
      <c r="BG46" s="39">
        <v>1985355.0154925101</v>
      </c>
      <c r="BH46" s="39">
        <v>0</v>
      </c>
      <c r="BI46" s="39">
        <v>0</v>
      </c>
      <c r="BJ46" s="39">
        <v>0</v>
      </c>
      <c r="BK46" s="39">
        <v>0</v>
      </c>
      <c r="BL46" s="40">
        <v>7734028.8812729651</v>
      </c>
      <c r="BM46" s="40">
        <v>0</v>
      </c>
    </row>
    <row r="47" spans="1:65" x14ac:dyDescent="0.35">
      <c r="A47" s="39">
        <v>46</v>
      </c>
      <c r="B47" s="32" t="s">
        <v>283</v>
      </c>
      <c r="C47" s="32" t="s">
        <v>32</v>
      </c>
      <c r="D47" s="32" t="s">
        <v>12</v>
      </c>
      <c r="E47" s="32" t="s">
        <v>5</v>
      </c>
      <c r="F47" s="39">
        <v>0</v>
      </c>
      <c r="G47" s="39">
        <v>1</v>
      </c>
      <c r="H47" s="39">
        <v>1</v>
      </c>
      <c r="I47" s="39">
        <v>2018</v>
      </c>
      <c r="J47" s="39">
        <v>1</v>
      </c>
      <c r="K47" s="39">
        <v>2007</v>
      </c>
      <c r="L47" s="39">
        <v>63951114302.259895</v>
      </c>
      <c r="M47" s="39">
        <v>2</v>
      </c>
      <c r="N47" s="39">
        <v>340000000</v>
      </c>
      <c r="O47" s="39">
        <v>1</v>
      </c>
      <c r="P47" s="39">
        <v>470000000</v>
      </c>
      <c r="Q47" s="39">
        <v>3</v>
      </c>
      <c r="R47" s="19">
        <v>810000000</v>
      </c>
      <c r="S47" s="39">
        <v>5.3165609967797721E-3</v>
      </c>
      <c r="T47" s="39">
        <v>7.3493637308426263E-3</v>
      </c>
      <c r="U47" s="39">
        <v>1.2665924727622398E-2</v>
      </c>
      <c r="V47" s="39">
        <v>2.5323432367815407E-4</v>
      </c>
      <c r="W47" s="39">
        <v>5.9109087707825037E-4</v>
      </c>
      <c r="X47" s="39">
        <v>3.7800478806064878E-4</v>
      </c>
      <c r="Y47" s="39">
        <v>47647058.823529415</v>
      </c>
      <c r="Z47" s="39">
        <v>7.4505439574249399E-4</v>
      </c>
      <c r="AA47" s="39">
        <v>0</v>
      </c>
      <c r="AB47" s="39" t="s">
        <v>152</v>
      </c>
      <c r="AC47" s="39" t="s">
        <v>152</v>
      </c>
      <c r="AD47" s="39" t="s">
        <v>152</v>
      </c>
      <c r="AE47" s="39" t="s">
        <v>152</v>
      </c>
      <c r="AF47" s="39" t="s">
        <v>152</v>
      </c>
      <c r="AG47" s="39" t="s">
        <v>152</v>
      </c>
      <c r="AH47" s="39">
        <v>0</v>
      </c>
      <c r="AI47" s="39" t="s">
        <v>152</v>
      </c>
      <c r="AJ47" s="39" t="s">
        <v>152</v>
      </c>
      <c r="AK47" s="39" t="s">
        <v>152</v>
      </c>
      <c r="AL47" s="19">
        <v>2123512000</v>
      </c>
      <c r="AM47" s="19">
        <v>122060000</v>
      </c>
      <c r="AN47" s="39">
        <v>-2001452000</v>
      </c>
      <c r="AO47" s="39">
        <v>2245572000</v>
      </c>
      <c r="AP47" s="39">
        <v>16108703000</v>
      </c>
      <c r="AQ47" s="39">
        <v>11452817000</v>
      </c>
      <c r="AR47" s="39">
        <v>-4655886000</v>
      </c>
      <c r="AS47" s="39">
        <v>27561520000</v>
      </c>
      <c r="AT47" s="39">
        <v>0.13182389668491623</v>
      </c>
      <c r="AU47" s="39">
        <v>1.0657639950066434E-2</v>
      </c>
      <c r="AV47" s="39">
        <v>6.4471693264229893E-3</v>
      </c>
      <c r="AW47" s="39">
        <v>5.535569051175665E-3</v>
      </c>
      <c r="AX47" s="39">
        <v>8.1474896885222581E-2</v>
      </c>
      <c r="AY47" s="39">
        <v>3.5113883854884551E-2</v>
      </c>
      <c r="AZ47" s="39">
        <v>49</v>
      </c>
      <c r="BA47" s="39">
        <v>2307465109.615099</v>
      </c>
      <c r="BB47" s="39">
        <v>32</v>
      </c>
      <c r="BC47" s="39">
        <v>612464513.52537298</v>
      </c>
      <c r="BD47" s="39">
        <v>14</v>
      </c>
      <c r="BE47" s="39">
        <v>1539869204.1605048</v>
      </c>
      <c r="BF47" s="39">
        <v>3</v>
      </c>
      <c r="BG47" s="39">
        <v>155131391.92922124</v>
      </c>
      <c r="BH47" s="39">
        <v>3.6081702950617051E-2</v>
      </c>
      <c r="BI47" s="39">
        <v>9.5770733662373392E-3</v>
      </c>
      <c r="BJ47" s="39">
        <v>2.4078848679358965E-2</v>
      </c>
      <c r="BK47" s="39">
        <v>2.4257809050207469E-3</v>
      </c>
      <c r="BL47" s="40">
        <v>135733241.74206465</v>
      </c>
      <c r="BM47" s="40">
        <v>2.1224531147421796E-3</v>
      </c>
    </row>
    <row r="48" spans="1:65" x14ac:dyDescent="0.35">
      <c r="A48" s="39">
        <v>47</v>
      </c>
      <c r="B48" s="32" t="s">
        <v>329</v>
      </c>
      <c r="C48" s="32" t="s">
        <v>194</v>
      </c>
      <c r="D48" s="32" t="s">
        <v>9</v>
      </c>
      <c r="E48" s="32" t="s">
        <v>10</v>
      </c>
      <c r="F48" s="39">
        <v>0</v>
      </c>
      <c r="G48" s="39">
        <v>0</v>
      </c>
      <c r="H48" s="39">
        <v>1</v>
      </c>
      <c r="I48" s="39">
        <v>2017</v>
      </c>
      <c r="J48" s="39">
        <v>0</v>
      </c>
      <c r="K48" s="39" t="s">
        <v>152</v>
      </c>
      <c r="L48" s="39">
        <v>58539424929.724831</v>
      </c>
      <c r="M48" s="39">
        <v>3</v>
      </c>
      <c r="N48" s="39">
        <v>1620000000</v>
      </c>
      <c r="O48" s="39">
        <v>10</v>
      </c>
      <c r="P48" s="39">
        <v>3250000000</v>
      </c>
      <c r="Q48" s="39">
        <v>13</v>
      </c>
      <c r="R48" s="19">
        <v>4870000000</v>
      </c>
      <c r="S48" s="39">
        <v>2.7673657572563636E-2</v>
      </c>
      <c r="T48" s="39">
        <v>5.5518140191871491E-2</v>
      </c>
      <c r="U48" s="39">
        <v>8.3191797764435124E-2</v>
      </c>
      <c r="V48" s="39">
        <v>1.2065870716429694E-3</v>
      </c>
      <c r="W48" s="39">
        <v>4.0873305329879013E-3</v>
      </c>
      <c r="X48" s="39">
        <v>2.2726954541424193E-3</v>
      </c>
      <c r="Y48" s="39">
        <v>286470588.2352941</v>
      </c>
      <c r="Z48" s="39">
        <v>4.8936351626138307E-3</v>
      </c>
      <c r="AA48" s="39">
        <v>2</v>
      </c>
      <c r="AB48" s="39">
        <v>0</v>
      </c>
      <c r="AC48" s="39">
        <v>0</v>
      </c>
      <c r="AD48" s="39">
        <v>0</v>
      </c>
      <c r="AE48" s="39">
        <v>0</v>
      </c>
      <c r="AF48" s="39">
        <v>0</v>
      </c>
      <c r="AG48" s="39">
        <v>0</v>
      </c>
      <c r="AH48" s="39">
        <v>0</v>
      </c>
      <c r="AI48" s="39">
        <v>0</v>
      </c>
      <c r="AJ48" s="39">
        <v>0</v>
      </c>
      <c r="AK48" s="39">
        <v>0</v>
      </c>
      <c r="AL48" s="19">
        <v>1801977</v>
      </c>
      <c r="AM48" s="19">
        <v>371260</v>
      </c>
      <c r="AN48" s="39">
        <v>-1430717</v>
      </c>
      <c r="AO48" s="39">
        <v>2173237</v>
      </c>
      <c r="AP48" s="39">
        <v>10482561000</v>
      </c>
      <c r="AQ48" s="39">
        <v>12717852000</v>
      </c>
      <c r="AR48" s="39">
        <v>2235291000</v>
      </c>
      <c r="AS48" s="39">
        <v>23200413000</v>
      </c>
      <c r="AT48" s="39">
        <v>1.7190236240933871E-4</v>
      </c>
      <c r="AU48" s="39">
        <v>2.9192036516858349E-5</v>
      </c>
      <c r="AV48" s="39">
        <v>4.195424407635916E-3</v>
      </c>
      <c r="AW48" s="39">
        <v>6.1470071449349567E-3</v>
      </c>
      <c r="AX48" s="39">
        <v>9.3672341091514185E-5</v>
      </c>
      <c r="AY48" s="39">
        <v>3.7124331211126836E-5</v>
      </c>
      <c r="AZ48" s="39">
        <v>94</v>
      </c>
      <c r="BA48" s="39">
        <v>3399096727.9645572</v>
      </c>
      <c r="BB48" s="39">
        <v>85</v>
      </c>
      <c r="BC48" s="39">
        <v>1322772802.478085</v>
      </c>
      <c r="BD48" s="39">
        <v>7</v>
      </c>
      <c r="BE48" s="39">
        <v>2076323925.4864721</v>
      </c>
      <c r="BF48" s="39">
        <v>2</v>
      </c>
      <c r="BG48" s="39">
        <v>0</v>
      </c>
      <c r="BH48" s="39">
        <v>5.806508574426706E-2</v>
      </c>
      <c r="BI48" s="39">
        <v>2.2596272581530172E-2</v>
      </c>
      <c r="BJ48" s="39">
        <v>3.5468813162736888E-2</v>
      </c>
      <c r="BK48" s="39">
        <v>0</v>
      </c>
      <c r="BL48" s="40">
        <v>199946866.3508563</v>
      </c>
      <c r="BM48" s="40">
        <v>3.4155932790745332E-3</v>
      </c>
    </row>
    <row r="49" spans="1:65" x14ac:dyDescent="0.35">
      <c r="A49" s="39">
        <v>48</v>
      </c>
      <c r="B49" s="32" t="s">
        <v>284</v>
      </c>
      <c r="C49" s="32" t="s">
        <v>33</v>
      </c>
      <c r="D49" s="32" t="s">
        <v>4</v>
      </c>
      <c r="E49" s="32" t="s">
        <v>13</v>
      </c>
      <c r="F49" s="39">
        <v>1</v>
      </c>
      <c r="G49" s="39">
        <v>0</v>
      </c>
      <c r="H49" s="39">
        <v>1</v>
      </c>
      <c r="I49" s="39">
        <v>2017</v>
      </c>
      <c r="J49" s="39">
        <v>0</v>
      </c>
      <c r="K49" s="39" t="s">
        <v>152</v>
      </c>
      <c r="L49" s="39">
        <v>60752588976.317482</v>
      </c>
      <c r="M49" s="39">
        <v>0</v>
      </c>
      <c r="N49" s="39">
        <v>0</v>
      </c>
      <c r="O49" s="39">
        <v>3</v>
      </c>
      <c r="P49" s="39">
        <v>690000000</v>
      </c>
      <c r="Q49" s="39">
        <v>3</v>
      </c>
      <c r="R49" s="19">
        <v>690000000</v>
      </c>
      <c r="S49" s="39">
        <v>0</v>
      </c>
      <c r="T49" s="39">
        <v>1.135754066824996E-2</v>
      </c>
      <c r="U49" s="39">
        <v>1.135754066824996E-2</v>
      </c>
      <c r="V49" s="39">
        <v>0</v>
      </c>
      <c r="W49" s="39">
        <v>8.6777171315743137E-4</v>
      </c>
      <c r="X49" s="39">
        <v>3.2200407871833044E-4</v>
      </c>
      <c r="Y49" s="39">
        <v>40588235.294117644</v>
      </c>
      <c r="Z49" s="39">
        <v>6.6809062754411529E-4</v>
      </c>
      <c r="AA49" s="39">
        <v>3</v>
      </c>
      <c r="AB49" s="39">
        <v>0</v>
      </c>
      <c r="AC49" s="39">
        <v>0</v>
      </c>
      <c r="AD49" s="39">
        <v>0</v>
      </c>
      <c r="AE49" s="39">
        <v>0</v>
      </c>
      <c r="AF49" s="39">
        <v>0</v>
      </c>
      <c r="AG49" s="39">
        <v>0</v>
      </c>
      <c r="AH49" s="39">
        <v>0</v>
      </c>
      <c r="AI49" s="39">
        <v>0</v>
      </c>
      <c r="AJ49" s="39">
        <v>0</v>
      </c>
      <c r="AK49" s="39">
        <v>0</v>
      </c>
      <c r="AL49" s="19">
        <v>804121000</v>
      </c>
      <c r="AM49" s="19">
        <v>120454000</v>
      </c>
      <c r="AN49" s="39">
        <v>-683667000</v>
      </c>
      <c r="AO49" s="39">
        <v>924575000</v>
      </c>
      <c r="AP49" s="39">
        <v>28004414000</v>
      </c>
      <c r="AQ49" s="39">
        <v>17063050000</v>
      </c>
      <c r="AR49" s="39">
        <v>-10941364000</v>
      </c>
      <c r="AS49" s="39">
        <v>45067464000</v>
      </c>
      <c r="AT49" s="39">
        <v>2.8714080573155359E-2</v>
      </c>
      <c r="AU49" s="39">
        <v>7.0593475375152741E-3</v>
      </c>
      <c r="AV49" s="39">
        <v>1.120817727816141E-2</v>
      </c>
      <c r="AW49" s="39">
        <v>8.2472016708782601E-3</v>
      </c>
      <c r="AX49" s="39">
        <v>2.0515354491657218E-2</v>
      </c>
      <c r="AY49" s="39">
        <v>1.521869299035827E-2</v>
      </c>
      <c r="AZ49" s="39" t="s">
        <v>152</v>
      </c>
      <c r="BA49" s="39" t="s">
        <v>152</v>
      </c>
      <c r="BB49" s="39" t="s">
        <v>152</v>
      </c>
      <c r="BC49" s="39" t="s">
        <v>152</v>
      </c>
      <c r="BD49" s="39" t="s">
        <v>152</v>
      </c>
      <c r="BE49" s="39" t="s">
        <v>152</v>
      </c>
      <c r="BF49" s="39" t="s">
        <v>152</v>
      </c>
      <c r="BG49" s="39" t="s">
        <v>152</v>
      </c>
      <c r="BH49" s="39">
        <v>0</v>
      </c>
      <c r="BI49" s="39">
        <v>0</v>
      </c>
      <c r="BJ49" s="39">
        <v>0</v>
      </c>
      <c r="BK49" s="39">
        <v>0</v>
      </c>
      <c r="BL49" s="40">
        <v>0</v>
      </c>
      <c r="BM49" s="40">
        <v>0</v>
      </c>
    </row>
    <row r="50" spans="1:65" x14ac:dyDescent="0.35">
      <c r="A50" s="39">
        <v>49</v>
      </c>
      <c r="B50" s="32" t="s">
        <v>285</v>
      </c>
      <c r="C50" s="32" t="s">
        <v>34</v>
      </c>
      <c r="D50" s="32" t="s">
        <v>12</v>
      </c>
      <c r="E50" s="32" t="s">
        <v>5</v>
      </c>
      <c r="F50" s="39">
        <v>0</v>
      </c>
      <c r="G50" s="39">
        <v>0</v>
      </c>
      <c r="H50" s="39">
        <v>1</v>
      </c>
      <c r="I50" s="39">
        <v>2019</v>
      </c>
      <c r="J50" s="39">
        <v>0</v>
      </c>
      <c r="K50" s="39" t="s">
        <v>152</v>
      </c>
      <c r="L50" s="39">
        <v>103131000000</v>
      </c>
      <c r="M50" s="39">
        <v>1</v>
      </c>
      <c r="N50" s="39">
        <v>500000000</v>
      </c>
      <c r="O50" s="39">
        <v>2</v>
      </c>
      <c r="P50" s="39">
        <v>240000000</v>
      </c>
      <c r="Q50" s="39">
        <v>3</v>
      </c>
      <c r="R50" s="19">
        <v>740000000</v>
      </c>
      <c r="S50" s="39">
        <v>4.8482027712327038E-3</v>
      </c>
      <c r="T50" s="39">
        <v>2.3271373301916977E-3</v>
      </c>
      <c r="U50" s="39">
        <v>7.1753401014244024E-3</v>
      </c>
      <c r="V50" s="39">
        <v>3.7240341717375598E-4</v>
      </c>
      <c r="W50" s="39">
        <v>3.0183363935910656E-4</v>
      </c>
      <c r="X50" s="39">
        <v>3.4533770761096307E-4</v>
      </c>
      <c r="Y50" s="39">
        <v>43529411.764705881</v>
      </c>
      <c r="Z50" s="39">
        <v>4.2207882949555302E-4</v>
      </c>
      <c r="AA50" s="39">
        <v>0</v>
      </c>
      <c r="AB50" s="39" t="s">
        <v>152</v>
      </c>
      <c r="AC50" s="39" t="s">
        <v>152</v>
      </c>
      <c r="AD50" s="39" t="s">
        <v>152</v>
      </c>
      <c r="AE50" s="39" t="s">
        <v>152</v>
      </c>
      <c r="AF50" s="39" t="s">
        <v>152</v>
      </c>
      <c r="AG50" s="39" t="s">
        <v>152</v>
      </c>
      <c r="AH50" s="39">
        <v>0</v>
      </c>
      <c r="AI50" s="39" t="s">
        <v>152</v>
      </c>
      <c r="AJ50" s="39" t="s">
        <v>152</v>
      </c>
      <c r="AK50" s="39" t="s">
        <v>152</v>
      </c>
      <c r="AL50" s="19">
        <v>790430000</v>
      </c>
      <c r="AM50" s="19">
        <v>491944000</v>
      </c>
      <c r="AN50" s="39">
        <v>-298486000</v>
      </c>
      <c r="AO50" s="39">
        <v>1282374000</v>
      </c>
      <c r="AP50" s="39">
        <v>5756952000</v>
      </c>
      <c r="AQ50" s="39">
        <v>1694809000</v>
      </c>
      <c r="AR50" s="39">
        <v>-4062143000</v>
      </c>
      <c r="AS50" s="39">
        <v>7451761000</v>
      </c>
      <c r="AT50" s="39">
        <v>0.13730008518396541</v>
      </c>
      <c r="AU50" s="39">
        <v>0.29026515672267494</v>
      </c>
      <c r="AV50" s="39">
        <v>2.3040988680522248E-3</v>
      </c>
      <c r="AW50" s="39">
        <v>8.1916372609934984E-4</v>
      </c>
      <c r="AX50" s="39">
        <v>0.17209006032265392</v>
      </c>
      <c r="AY50" s="39">
        <v>1.2434418361113536E-2</v>
      </c>
      <c r="AZ50" s="39">
        <v>118</v>
      </c>
      <c r="BA50" s="39">
        <v>8611964867.0887985</v>
      </c>
      <c r="BB50" s="39">
        <v>69</v>
      </c>
      <c r="BC50" s="39">
        <v>3389033867.9750204</v>
      </c>
      <c r="BD50" s="39">
        <v>27</v>
      </c>
      <c r="BE50" s="39">
        <v>3153882808.8466272</v>
      </c>
      <c r="BF50" s="39">
        <v>22</v>
      </c>
      <c r="BG50" s="39">
        <v>2069048190.2671511</v>
      </c>
      <c r="BH50" s="39">
        <v>8.3505103868757202E-2</v>
      </c>
      <c r="BI50" s="39">
        <v>3.2861446781035968E-2</v>
      </c>
      <c r="BJ50" s="39">
        <v>3.0581326747986807E-2</v>
      </c>
      <c r="BK50" s="39">
        <v>2.0062330339734428E-2</v>
      </c>
      <c r="BL50" s="40">
        <v>506586168.65228224</v>
      </c>
      <c r="BM50" s="40">
        <v>4.9120649334563051E-3</v>
      </c>
    </row>
    <row r="51" spans="1:65" x14ac:dyDescent="0.35">
      <c r="A51" s="39">
        <v>50</v>
      </c>
      <c r="B51" s="32" t="s">
        <v>286</v>
      </c>
      <c r="C51" s="32" t="s">
        <v>195</v>
      </c>
      <c r="D51" s="32" t="s">
        <v>12</v>
      </c>
      <c r="E51" s="32" t="s">
        <v>13</v>
      </c>
      <c r="F51" s="39">
        <v>0</v>
      </c>
      <c r="G51" s="39">
        <v>0</v>
      </c>
      <c r="H51" s="39">
        <v>0</v>
      </c>
      <c r="I51" s="39" t="s">
        <v>152</v>
      </c>
      <c r="J51" s="39">
        <v>0</v>
      </c>
      <c r="K51" s="39" t="s">
        <v>152</v>
      </c>
      <c r="L51" s="39">
        <v>3101787709.4972067</v>
      </c>
      <c r="M51" s="39">
        <v>0</v>
      </c>
      <c r="N51" s="39">
        <v>0</v>
      </c>
      <c r="O51" s="39">
        <v>0</v>
      </c>
      <c r="P51" s="39">
        <v>0</v>
      </c>
      <c r="Q51" s="39">
        <v>0</v>
      </c>
      <c r="R51" s="19">
        <v>0</v>
      </c>
      <c r="S51" s="39">
        <v>0</v>
      </c>
      <c r="T51" s="39">
        <v>0</v>
      </c>
      <c r="U51" s="39">
        <v>0</v>
      </c>
      <c r="V51" s="39">
        <v>0</v>
      </c>
      <c r="W51" s="39">
        <v>0</v>
      </c>
      <c r="X51" s="39">
        <v>0</v>
      </c>
      <c r="Y51" s="39">
        <v>0</v>
      </c>
      <c r="Z51" s="39">
        <v>0</v>
      </c>
      <c r="AA51" s="39">
        <v>0</v>
      </c>
      <c r="AB51" s="39" t="s">
        <v>152</v>
      </c>
      <c r="AC51" s="39" t="s">
        <v>152</v>
      </c>
      <c r="AD51" s="39" t="s">
        <v>152</v>
      </c>
      <c r="AE51" s="39" t="s">
        <v>152</v>
      </c>
      <c r="AF51" s="39" t="s">
        <v>152</v>
      </c>
      <c r="AG51" s="39" t="s">
        <v>152</v>
      </c>
      <c r="AH51" s="39">
        <v>0</v>
      </c>
      <c r="AI51" s="39" t="s">
        <v>152</v>
      </c>
      <c r="AJ51" s="39" t="s">
        <v>152</v>
      </c>
      <c r="AK51" s="39" t="s">
        <v>152</v>
      </c>
      <c r="AL51" s="19">
        <v>37699000</v>
      </c>
      <c r="AM51" s="19">
        <v>13000</v>
      </c>
      <c r="AN51" s="39">
        <v>-37686000</v>
      </c>
      <c r="AO51" s="39">
        <v>37712000</v>
      </c>
      <c r="AP51" s="39">
        <v>1201848000</v>
      </c>
      <c r="AQ51" s="39">
        <v>96336000</v>
      </c>
      <c r="AR51" s="39">
        <v>-1105512000</v>
      </c>
      <c r="AS51" s="39">
        <v>1298184000</v>
      </c>
      <c r="AT51" s="39">
        <v>3.1367527341227844E-2</v>
      </c>
      <c r="AU51" s="39">
        <v>1.349443614017605E-4</v>
      </c>
      <c r="AV51" s="39">
        <v>4.8101436599972189E-4</v>
      </c>
      <c r="AW51" s="39">
        <v>4.6562743481717983E-5</v>
      </c>
      <c r="AX51" s="39">
        <v>2.9049811120765625E-2</v>
      </c>
      <c r="AY51" s="39">
        <v>1.2158149922553221E-2</v>
      </c>
      <c r="AZ51" s="39">
        <v>2</v>
      </c>
      <c r="BA51" s="39">
        <v>0</v>
      </c>
      <c r="BB51" s="39">
        <v>0</v>
      </c>
      <c r="BC51" s="39">
        <v>0</v>
      </c>
      <c r="BD51" s="39">
        <v>2</v>
      </c>
      <c r="BE51" s="39">
        <v>0</v>
      </c>
      <c r="BF51" s="39">
        <v>0</v>
      </c>
      <c r="BG51" s="39">
        <v>0</v>
      </c>
      <c r="BH51" s="39">
        <v>0</v>
      </c>
      <c r="BI51" s="39">
        <v>0</v>
      </c>
      <c r="BJ51" s="39">
        <v>0</v>
      </c>
      <c r="BK51" s="39">
        <v>0</v>
      </c>
      <c r="BL51" s="40">
        <v>0</v>
      </c>
      <c r="BM51" s="40">
        <v>0</v>
      </c>
    </row>
    <row r="52" spans="1:65" x14ac:dyDescent="0.35">
      <c r="A52" s="39">
        <v>51</v>
      </c>
      <c r="B52" s="32" t="s">
        <v>287</v>
      </c>
      <c r="C52" s="32" t="s">
        <v>35</v>
      </c>
      <c r="D52" s="32" t="s">
        <v>4</v>
      </c>
      <c r="E52" s="32" t="s">
        <v>13</v>
      </c>
      <c r="F52" s="39">
        <v>0</v>
      </c>
      <c r="G52" s="39">
        <v>0</v>
      </c>
      <c r="H52" s="39">
        <v>1</v>
      </c>
      <c r="I52" s="39">
        <v>2019</v>
      </c>
      <c r="J52" s="39">
        <v>0</v>
      </c>
      <c r="K52" s="39" t="s">
        <v>152</v>
      </c>
      <c r="L52" s="39">
        <v>24949065263.629242</v>
      </c>
      <c r="M52" s="39">
        <v>1</v>
      </c>
      <c r="N52" s="39">
        <v>130000000</v>
      </c>
      <c r="O52" s="39">
        <v>1</v>
      </c>
      <c r="P52" s="39">
        <v>170000000</v>
      </c>
      <c r="Q52" s="39">
        <v>2</v>
      </c>
      <c r="R52" s="19">
        <v>300000000</v>
      </c>
      <c r="S52" s="39">
        <v>5.2106160542020009E-3</v>
      </c>
      <c r="T52" s="39">
        <v>6.8138825324180006E-3</v>
      </c>
      <c r="U52" s="39">
        <v>1.2024498586620002E-2</v>
      </c>
      <c r="V52" s="39">
        <v>9.6824888465176558E-5</v>
      </c>
      <c r="W52" s="39">
        <v>2.1379882787936715E-4</v>
      </c>
      <c r="X52" s="39">
        <v>1.4000177335579583E-4</v>
      </c>
      <c r="Y52" s="39">
        <v>17647058.823529411</v>
      </c>
      <c r="Z52" s="39">
        <v>7.0732344627176481E-4</v>
      </c>
      <c r="AA52" s="39">
        <v>1</v>
      </c>
      <c r="AB52" s="39">
        <v>0</v>
      </c>
      <c r="AC52" s="39">
        <v>0</v>
      </c>
      <c r="AD52" s="39">
        <v>0</v>
      </c>
      <c r="AE52" s="39">
        <v>0</v>
      </c>
      <c r="AF52" s="39">
        <v>0</v>
      </c>
      <c r="AG52" s="39">
        <v>0</v>
      </c>
      <c r="AH52" s="39">
        <v>0</v>
      </c>
      <c r="AI52" s="39">
        <v>0</v>
      </c>
      <c r="AJ52" s="39">
        <v>0</v>
      </c>
      <c r="AK52" s="39">
        <v>0</v>
      </c>
      <c r="AL52" s="19">
        <v>461258000</v>
      </c>
      <c r="AM52" s="19">
        <v>38578000</v>
      </c>
      <c r="AN52" s="39">
        <v>-422680000</v>
      </c>
      <c r="AO52" s="39">
        <v>499836000</v>
      </c>
      <c r="AP52" s="39">
        <v>9179163000</v>
      </c>
      <c r="AQ52" s="39">
        <v>3520899000</v>
      </c>
      <c r="AR52" s="39">
        <v>-5658264000</v>
      </c>
      <c r="AS52" s="39">
        <v>12700062000</v>
      </c>
      <c r="AT52" s="39">
        <v>5.025055116681118E-2</v>
      </c>
      <c r="AU52" s="39">
        <v>1.0956860733579691E-2</v>
      </c>
      <c r="AV52" s="39">
        <v>3.6737667915186486E-3</v>
      </c>
      <c r="AW52" s="39">
        <v>1.7017804036085925E-3</v>
      </c>
      <c r="AX52" s="39">
        <v>3.9356973217926021E-2</v>
      </c>
      <c r="AY52" s="39">
        <v>2.0034257585139319E-2</v>
      </c>
      <c r="AZ52" s="39" t="s">
        <v>152</v>
      </c>
      <c r="BA52" s="39" t="s">
        <v>152</v>
      </c>
      <c r="BB52" s="39" t="s">
        <v>152</v>
      </c>
      <c r="BC52" s="39" t="s">
        <v>152</v>
      </c>
      <c r="BD52" s="39" t="s">
        <v>152</v>
      </c>
      <c r="BE52" s="39" t="s">
        <v>152</v>
      </c>
      <c r="BF52" s="39" t="s">
        <v>152</v>
      </c>
      <c r="BG52" s="39" t="s">
        <v>152</v>
      </c>
      <c r="BH52" s="39">
        <v>0</v>
      </c>
      <c r="BI52" s="39">
        <v>0</v>
      </c>
      <c r="BJ52" s="39">
        <v>0</v>
      </c>
      <c r="BK52" s="39">
        <v>0</v>
      </c>
      <c r="BL52" s="40">
        <v>0</v>
      </c>
      <c r="BM52" s="40">
        <v>0</v>
      </c>
    </row>
    <row r="53" spans="1:65" x14ac:dyDescent="0.35">
      <c r="A53" s="39">
        <v>52</v>
      </c>
      <c r="B53" s="32" t="s">
        <v>288</v>
      </c>
      <c r="C53" s="32" t="s">
        <v>36</v>
      </c>
      <c r="D53" s="32" t="s">
        <v>4</v>
      </c>
      <c r="E53" s="32" t="s">
        <v>13</v>
      </c>
      <c r="F53" s="39">
        <v>0</v>
      </c>
      <c r="G53" s="39">
        <v>0</v>
      </c>
      <c r="H53" s="39">
        <v>1</v>
      </c>
      <c r="I53" s="39">
        <v>2015</v>
      </c>
      <c r="J53" s="39">
        <v>0</v>
      </c>
      <c r="K53" s="39" t="s">
        <v>152</v>
      </c>
      <c r="L53" s="39">
        <v>252498032247.16284</v>
      </c>
      <c r="M53" s="39">
        <v>1</v>
      </c>
      <c r="N53" s="39">
        <v>100000000</v>
      </c>
      <c r="O53" s="39">
        <v>4</v>
      </c>
      <c r="P53" s="39">
        <v>860000000</v>
      </c>
      <c r="Q53" s="39">
        <v>5</v>
      </c>
      <c r="R53" s="19">
        <v>960000000</v>
      </c>
      <c r="S53" s="39">
        <v>3.960426903529805E-4</v>
      </c>
      <c r="T53" s="39">
        <v>3.4059671370356322E-3</v>
      </c>
      <c r="U53" s="39">
        <v>3.8020098273886128E-3</v>
      </c>
      <c r="V53" s="39">
        <v>7.4480683434751193E-5</v>
      </c>
      <c r="W53" s="39">
        <v>1.0815705410367985E-3</v>
      </c>
      <c r="X53" s="39">
        <v>4.4800567473854668E-4</v>
      </c>
      <c r="Y53" s="39">
        <v>56470588.235294119</v>
      </c>
      <c r="Z53" s="39">
        <v>2.2364763690521251E-4</v>
      </c>
      <c r="AA53" s="39">
        <v>0</v>
      </c>
      <c r="AB53" s="39" t="s">
        <v>152</v>
      </c>
      <c r="AC53" s="39" t="s">
        <v>152</v>
      </c>
      <c r="AD53" s="39" t="s">
        <v>152</v>
      </c>
      <c r="AE53" s="39" t="s">
        <v>152</v>
      </c>
      <c r="AF53" s="39" t="s">
        <v>152</v>
      </c>
      <c r="AG53" s="39" t="s">
        <v>152</v>
      </c>
      <c r="AH53" s="39">
        <v>0</v>
      </c>
      <c r="AI53" s="39" t="s">
        <v>152</v>
      </c>
      <c r="AJ53" s="39" t="s">
        <v>152</v>
      </c>
      <c r="AK53" s="39" t="s">
        <v>152</v>
      </c>
      <c r="AL53" s="19">
        <v>28337633000</v>
      </c>
      <c r="AM53" s="19">
        <v>2469651000</v>
      </c>
      <c r="AN53" s="39">
        <v>-25867982000</v>
      </c>
      <c r="AO53" s="39">
        <v>30807284000</v>
      </c>
      <c r="AP53" s="39">
        <v>179273065000</v>
      </c>
      <c r="AQ53" s="39">
        <v>199469710000</v>
      </c>
      <c r="AR53" s="39">
        <v>20196645000</v>
      </c>
      <c r="AS53" s="39">
        <v>378742775000</v>
      </c>
      <c r="AT53" s="39">
        <v>0.15806966316998039</v>
      </c>
      <c r="AU53" s="39">
        <v>1.2381082822048521E-2</v>
      </c>
      <c r="AV53" s="39">
        <v>7.1750271000826996E-2</v>
      </c>
      <c r="AW53" s="39">
        <v>9.641107103370157E-2</v>
      </c>
      <c r="AX53" s="39">
        <v>8.1340915348154172E-2</v>
      </c>
      <c r="AY53" s="39">
        <v>0.1220099963782833</v>
      </c>
      <c r="AZ53" s="39" t="s">
        <v>152</v>
      </c>
      <c r="BA53" s="39" t="s">
        <v>152</v>
      </c>
      <c r="BB53" s="39" t="s">
        <v>152</v>
      </c>
      <c r="BC53" s="39" t="s">
        <v>152</v>
      </c>
      <c r="BD53" s="39" t="s">
        <v>152</v>
      </c>
      <c r="BE53" s="39" t="s">
        <v>152</v>
      </c>
      <c r="BF53" s="39" t="s">
        <v>152</v>
      </c>
      <c r="BG53" s="39" t="s">
        <v>152</v>
      </c>
      <c r="BH53" s="39">
        <v>0</v>
      </c>
      <c r="BI53" s="39">
        <v>0</v>
      </c>
      <c r="BJ53" s="39">
        <v>0</v>
      </c>
      <c r="BK53" s="39">
        <v>0</v>
      </c>
      <c r="BL53" s="40">
        <v>0</v>
      </c>
      <c r="BM53" s="40">
        <v>0</v>
      </c>
    </row>
    <row r="54" spans="1:65" x14ac:dyDescent="0.35">
      <c r="A54" s="39">
        <v>53</v>
      </c>
      <c r="B54" s="32" t="s">
        <v>290</v>
      </c>
      <c r="C54" s="32" t="s">
        <v>170</v>
      </c>
      <c r="D54" s="32" t="s">
        <v>4</v>
      </c>
      <c r="E54" s="32" t="s">
        <v>13</v>
      </c>
      <c r="F54" s="39">
        <v>3</v>
      </c>
      <c r="G54" s="39">
        <v>0</v>
      </c>
      <c r="H54" s="39">
        <v>0</v>
      </c>
      <c r="I54" s="39" t="s">
        <v>152</v>
      </c>
      <c r="J54" s="39">
        <v>0</v>
      </c>
      <c r="K54" s="39" t="s">
        <v>152</v>
      </c>
      <c r="L54" s="39">
        <v>347561349210.97949</v>
      </c>
      <c r="M54" s="39">
        <v>3</v>
      </c>
      <c r="N54" s="39">
        <v>1430000000</v>
      </c>
      <c r="O54" s="39">
        <v>0</v>
      </c>
      <c r="P54" s="39">
        <v>0</v>
      </c>
      <c r="Q54" s="39">
        <v>3</v>
      </c>
      <c r="R54" s="19">
        <v>1430000000</v>
      </c>
      <c r="S54" s="39">
        <v>4.1143815422696782E-3</v>
      </c>
      <c r="T54" s="39">
        <v>0</v>
      </c>
      <c r="U54" s="39">
        <v>4.1143815422696782E-3</v>
      </c>
      <c r="V54" s="39">
        <v>1.0650737731169421E-3</v>
      </c>
      <c r="W54" s="39">
        <v>0</v>
      </c>
      <c r="X54" s="39">
        <v>6.6734178632929346E-4</v>
      </c>
      <c r="Y54" s="39">
        <v>84117647.058823526</v>
      </c>
      <c r="Z54" s="39">
        <v>2.4202244366292223E-4</v>
      </c>
      <c r="AA54" s="39">
        <v>2</v>
      </c>
      <c r="AB54" s="39">
        <v>0</v>
      </c>
      <c r="AC54" s="39">
        <v>0</v>
      </c>
      <c r="AD54" s="39">
        <v>0</v>
      </c>
      <c r="AE54" s="39">
        <v>0</v>
      </c>
      <c r="AF54" s="39">
        <v>0</v>
      </c>
      <c r="AG54" s="39">
        <v>0</v>
      </c>
      <c r="AH54" s="39">
        <v>0</v>
      </c>
      <c r="AI54" s="39">
        <v>0</v>
      </c>
      <c r="AJ54" s="39">
        <v>0</v>
      </c>
      <c r="AK54" s="39">
        <v>0</v>
      </c>
      <c r="AL54" s="19">
        <v>7064542000</v>
      </c>
      <c r="AM54" s="19">
        <v>3803406000</v>
      </c>
      <c r="AN54" s="39">
        <v>-3261136000</v>
      </c>
      <c r="AO54" s="39">
        <v>10867948000</v>
      </c>
      <c r="AP54" s="39">
        <v>97209694000</v>
      </c>
      <c r="AQ54" s="39">
        <v>109991555000</v>
      </c>
      <c r="AR54" s="39">
        <v>12781861000</v>
      </c>
      <c r="AS54" s="39">
        <v>207201249000</v>
      </c>
      <c r="AT54" s="39">
        <v>7.2673225367832148E-2</v>
      </c>
      <c r="AU54" s="39">
        <v>3.4579072911552163E-2</v>
      </c>
      <c r="AV54" s="39">
        <v>3.8906133994013353E-2</v>
      </c>
      <c r="AW54" s="39">
        <v>5.3162977086657896E-2</v>
      </c>
      <c r="AX54" s="39">
        <v>5.2451170311236882E-2</v>
      </c>
      <c r="AY54" s="39">
        <v>3.1269150107375292E-2</v>
      </c>
      <c r="AZ54" s="39" t="s">
        <v>152</v>
      </c>
      <c r="BA54" s="39" t="s">
        <v>152</v>
      </c>
      <c r="BB54" s="39" t="s">
        <v>152</v>
      </c>
      <c r="BC54" s="39" t="s">
        <v>152</v>
      </c>
      <c r="BD54" s="39" t="s">
        <v>152</v>
      </c>
      <c r="BE54" s="39" t="s">
        <v>152</v>
      </c>
      <c r="BF54" s="39" t="s">
        <v>152</v>
      </c>
      <c r="BG54" s="39" t="s">
        <v>152</v>
      </c>
      <c r="BH54" s="39">
        <v>0</v>
      </c>
      <c r="BI54" s="39">
        <v>0</v>
      </c>
      <c r="BJ54" s="39">
        <v>0</v>
      </c>
      <c r="BK54" s="39">
        <v>0</v>
      </c>
      <c r="BL54" s="40">
        <v>0</v>
      </c>
      <c r="BM54" s="40">
        <v>0</v>
      </c>
    </row>
    <row r="55" spans="1:65" x14ac:dyDescent="0.35">
      <c r="A55" s="39">
        <v>54</v>
      </c>
      <c r="B55" s="32" t="s">
        <v>291</v>
      </c>
      <c r="C55" s="32" t="s">
        <v>37</v>
      </c>
      <c r="D55" s="32" t="s">
        <v>7</v>
      </c>
      <c r="E55" s="32" t="s">
        <v>10</v>
      </c>
      <c r="F55" s="39">
        <v>0</v>
      </c>
      <c r="G55" s="39">
        <v>0</v>
      </c>
      <c r="H55" s="39">
        <v>1</v>
      </c>
      <c r="I55" s="39">
        <v>2018</v>
      </c>
      <c r="J55" s="39">
        <v>0</v>
      </c>
      <c r="K55" s="39" t="s">
        <v>152</v>
      </c>
      <c r="L55" s="39">
        <v>3324634256.1332436</v>
      </c>
      <c r="M55" s="39">
        <v>3</v>
      </c>
      <c r="N55" s="39">
        <v>1120000000</v>
      </c>
      <c r="O55" s="39">
        <v>3</v>
      </c>
      <c r="P55" s="39">
        <v>1480000000</v>
      </c>
      <c r="Q55" s="39">
        <v>6</v>
      </c>
      <c r="R55" s="19">
        <v>2600000000</v>
      </c>
      <c r="S55" s="39">
        <v>0.33687916134950424</v>
      </c>
      <c r="T55" s="39">
        <v>0.44516174892613064</v>
      </c>
      <c r="U55" s="39">
        <v>0.78204091027563483</v>
      </c>
      <c r="V55" s="39">
        <v>8.3418365446921337E-4</v>
      </c>
      <c r="W55" s="39">
        <v>1.8613074427144905E-3</v>
      </c>
      <c r="X55" s="39">
        <v>1.2133487024168974E-3</v>
      </c>
      <c r="Y55" s="39">
        <v>152941176.47058824</v>
      </c>
      <c r="Z55" s="39">
        <v>4.6002406486802053E-2</v>
      </c>
      <c r="AA55" s="39">
        <v>3</v>
      </c>
      <c r="AB55" s="39">
        <v>0</v>
      </c>
      <c r="AC55" s="39">
        <v>0</v>
      </c>
      <c r="AD55" s="39">
        <v>0</v>
      </c>
      <c r="AE55" s="39">
        <v>0</v>
      </c>
      <c r="AF55" s="39">
        <v>0</v>
      </c>
      <c r="AG55" s="39">
        <v>0</v>
      </c>
      <c r="AH55" s="39">
        <v>0</v>
      </c>
      <c r="AI55" s="39">
        <v>0</v>
      </c>
      <c r="AJ55" s="39">
        <v>0</v>
      </c>
      <c r="AK55" s="39">
        <v>0</v>
      </c>
      <c r="AL55" s="19">
        <v>2210291000</v>
      </c>
      <c r="AM55" s="19">
        <v>20136000</v>
      </c>
      <c r="AN55" s="39">
        <v>-2190155000</v>
      </c>
      <c r="AO55" s="39">
        <v>2230427000</v>
      </c>
      <c r="AP55" s="39">
        <v>5301007000</v>
      </c>
      <c r="AQ55" s="39">
        <v>193889000</v>
      </c>
      <c r="AR55" s="39">
        <v>-5107118000</v>
      </c>
      <c r="AS55" s="39">
        <v>5494896000</v>
      </c>
      <c r="AT55" s="39">
        <v>0.41695681594082029</v>
      </c>
      <c r="AU55" s="39">
        <v>0.10385323561419163</v>
      </c>
      <c r="AV55" s="39">
        <v>2.1216164783442563E-3</v>
      </c>
      <c r="AW55" s="39">
        <v>9.3713707969261925E-5</v>
      </c>
      <c r="AX55" s="39">
        <v>0.40590886524512931</v>
      </c>
      <c r="AY55" s="39">
        <v>0.67087890822436669</v>
      </c>
      <c r="AZ55" s="39">
        <v>96</v>
      </c>
      <c r="BA55" s="39">
        <v>2750209235.8192444</v>
      </c>
      <c r="BB55" s="39">
        <v>83</v>
      </c>
      <c r="BC55" s="39">
        <v>705039731.5457077</v>
      </c>
      <c r="BD55" s="39">
        <v>7</v>
      </c>
      <c r="BE55" s="39">
        <v>1179677224.0810373</v>
      </c>
      <c r="BF55" s="39">
        <v>6</v>
      </c>
      <c r="BG55" s="39">
        <v>865492280.19250023</v>
      </c>
      <c r="BH55" s="39">
        <v>0.82722159008789997</v>
      </c>
      <c r="BI55" s="39">
        <v>0.21206535132249787</v>
      </c>
      <c r="BJ55" s="39">
        <v>0.35482917313529555</v>
      </c>
      <c r="BK55" s="39">
        <v>0.26032706563010682</v>
      </c>
      <c r="BL55" s="40">
        <v>161777013.87172025</v>
      </c>
      <c r="BM55" s="40">
        <v>4.8660093534582352E-2</v>
      </c>
    </row>
    <row r="56" spans="1:65" x14ac:dyDescent="0.35">
      <c r="A56" s="39">
        <v>55</v>
      </c>
      <c r="B56" s="32" t="s">
        <v>292</v>
      </c>
      <c r="C56" s="32" t="s">
        <v>136</v>
      </c>
      <c r="D56" s="32" t="s">
        <v>12</v>
      </c>
      <c r="E56" s="32" t="s">
        <v>5</v>
      </c>
      <c r="F56" s="39">
        <v>0</v>
      </c>
      <c r="G56" s="39">
        <v>0</v>
      </c>
      <c r="H56" s="39">
        <v>1</v>
      </c>
      <c r="I56" s="39" t="s">
        <v>152</v>
      </c>
      <c r="J56" s="39">
        <v>1</v>
      </c>
      <c r="K56" s="39">
        <v>2004</v>
      </c>
      <c r="L56" s="39">
        <v>574607407.4074074</v>
      </c>
      <c r="M56" s="39">
        <v>0</v>
      </c>
      <c r="N56" s="39">
        <v>0</v>
      </c>
      <c r="O56" s="39">
        <v>0</v>
      </c>
      <c r="P56" s="39">
        <v>0</v>
      </c>
      <c r="Q56" s="39">
        <v>0</v>
      </c>
      <c r="R56" s="19">
        <v>0</v>
      </c>
      <c r="S56" s="39">
        <v>0</v>
      </c>
      <c r="T56" s="39">
        <v>0</v>
      </c>
      <c r="U56" s="39">
        <v>0</v>
      </c>
      <c r="V56" s="39">
        <v>0</v>
      </c>
      <c r="W56" s="39">
        <v>0</v>
      </c>
      <c r="X56" s="39">
        <v>0</v>
      </c>
      <c r="Y56" s="39">
        <v>0</v>
      </c>
      <c r="Z56" s="39">
        <v>0</v>
      </c>
      <c r="AA56" s="39">
        <v>0</v>
      </c>
      <c r="AB56" s="39" t="s">
        <v>152</v>
      </c>
      <c r="AC56" s="39" t="s">
        <v>152</v>
      </c>
      <c r="AD56" s="39" t="s">
        <v>152</v>
      </c>
      <c r="AE56" s="39" t="s">
        <v>152</v>
      </c>
      <c r="AF56" s="39" t="s">
        <v>152</v>
      </c>
      <c r="AG56" s="39" t="s">
        <v>152</v>
      </c>
      <c r="AH56" s="39">
        <v>0</v>
      </c>
      <c r="AI56" s="39" t="s">
        <v>152</v>
      </c>
      <c r="AJ56" s="39" t="s">
        <v>152</v>
      </c>
      <c r="AK56" s="39" t="s">
        <v>152</v>
      </c>
      <c r="AL56" s="19">
        <v>33896000</v>
      </c>
      <c r="AM56" s="19">
        <v>477000</v>
      </c>
      <c r="AN56" s="39">
        <v>-33419000</v>
      </c>
      <c r="AO56" s="39">
        <v>34373000</v>
      </c>
      <c r="AP56" s="39">
        <v>503996000</v>
      </c>
      <c r="AQ56" s="39">
        <v>59490000</v>
      </c>
      <c r="AR56" s="39">
        <v>-444506000</v>
      </c>
      <c r="AS56" s="39">
        <v>563486000</v>
      </c>
      <c r="AT56" s="39">
        <v>6.7254502019857304E-2</v>
      </c>
      <c r="AU56" s="39">
        <v>8.0181543116490169E-3</v>
      </c>
      <c r="AV56" s="39">
        <v>2.017137911003686E-4</v>
      </c>
      <c r="AW56" s="39">
        <v>2.8753712108945799E-5</v>
      </c>
      <c r="AX56" s="39">
        <v>6.1000628232112247E-2</v>
      </c>
      <c r="AY56" s="39">
        <v>5.9819973701851187E-2</v>
      </c>
      <c r="AZ56" s="39">
        <v>83</v>
      </c>
      <c r="BA56" s="39">
        <v>573892308.24714231</v>
      </c>
      <c r="BB56" s="39">
        <v>64</v>
      </c>
      <c r="BC56" s="39">
        <v>559674140.21692443</v>
      </c>
      <c r="BD56" s="39">
        <v>5</v>
      </c>
      <c r="BE56" s="39">
        <v>0</v>
      </c>
      <c r="BF56" s="39">
        <v>14</v>
      </c>
      <c r="BG56" s="39">
        <v>14218168.030217908</v>
      </c>
      <c r="BH56" s="39">
        <v>0.99875549957928389</v>
      </c>
      <c r="BI56" s="39">
        <v>0.9740113562791316</v>
      </c>
      <c r="BJ56" s="39">
        <v>0</v>
      </c>
      <c r="BK56" s="39">
        <v>2.4744143300152344E-2</v>
      </c>
      <c r="BL56" s="40">
        <v>33758371.073361315</v>
      </c>
      <c r="BM56" s="40">
        <v>5.8750323504663762E-2</v>
      </c>
    </row>
    <row r="57" spans="1:65" x14ac:dyDescent="0.35">
      <c r="A57" s="39">
        <v>56</v>
      </c>
      <c r="B57" s="32" t="s">
        <v>293</v>
      </c>
      <c r="C57" s="32" t="s">
        <v>38</v>
      </c>
      <c r="D57" s="32" t="s">
        <v>12</v>
      </c>
      <c r="E57" s="32" t="s">
        <v>5</v>
      </c>
      <c r="F57" s="39">
        <v>0</v>
      </c>
      <c r="G57" s="39">
        <v>0</v>
      </c>
      <c r="H57" s="39">
        <v>1</v>
      </c>
      <c r="I57" s="39">
        <v>2018</v>
      </c>
      <c r="J57" s="39">
        <v>1</v>
      </c>
      <c r="K57" s="39">
        <v>2018</v>
      </c>
      <c r="L57" s="39">
        <v>88941299733.50177</v>
      </c>
      <c r="M57" s="39">
        <v>0</v>
      </c>
      <c r="N57" s="39">
        <v>0</v>
      </c>
      <c r="O57" s="39">
        <v>0</v>
      </c>
      <c r="P57" s="39">
        <v>0</v>
      </c>
      <c r="Q57" s="39">
        <v>0</v>
      </c>
      <c r="R57" s="19">
        <v>0</v>
      </c>
      <c r="S57" s="39">
        <v>0</v>
      </c>
      <c r="T57" s="39">
        <v>0</v>
      </c>
      <c r="U57" s="39">
        <v>0</v>
      </c>
      <c r="V57" s="39">
        <v>0</v>
      </c>
      <c r="W57" s="39">
        <v>0</v>
      </c>
      <c r="X57" s="39">
        <v>0</v>
      </c>
      <c r="Y57" s="39">
        <v>0</v>
      </c>
      <c r="Z57" s="39">
        <v>0</v>
      </c>
      <c r="AA57" s="39">
        <v>0</v>
      </c>
      <c r="AB57" s="39" t="s">
        <v>152</v>
      </c>
      <c r="AC57" s="39" t="s">
        <v>152</v>
      </c>
      <c r="AD57" s="39" t="s">
        <v>152</v>
      </c>
      <c r="AE57" s="39" t="s">
        <v>152</v>
      </c>
      <c r="AF57" s="39" t="s">
        <v>152</v>
      </c>
      <c r="AG57" s="39" t="s">
        <v>152</v>
      </c>
      <c r="AH57" s="39">
        <v>0</v>
      </c>
      <c r="AI57" s="39" t="s">
        <v>152</v>
      </c>
      <c r="AJ57" s="39" t="s">
        <v>152</v>
      </c>
      <c r="AK57" s="39" t="s">
        <v>152</v>
      </c>
      <c r="AL57" s="19">
        <v>3451291000</v>
      </c>
      <c r="AM57" s="19">
        <v>305884000</v>
      </c>
      <c r="AN57" s="39">
        <v>-3145407000</v>
      </c>
      <c r="AO57" s="39">
        <v>3757175000</v>
      </c>
      <c r="AP57" s="39">
        <v>22202313000</v>
      </c>
      <c r="AQ57" s="39">
        <v>10078188000</v>
      </c>
      <c r="AR57" s="39">
        <v>-12124125000</v>
      </c>
      <c r="AS57" s="39">
        <v>32280501000</v>
      </c>
      <c r="AT57" s="39">
        <v>0.15544736262388517</v>
      </c>
      <c r="AU57" s="39">
        <v>3.0351090890545007E-2</v>
      </c>
      <c r="AV57" s="39">
        <v>8.8860084731366886E-3</v>
      </c>
      <c r="AW57" s="39">
        <v>4.8711601333305135E-3</v>
      </c>
      <c r="AX57" s="39">
        <v>0.11639147112369787</v>
      </c>
      <c r="AY57" s="39">
        <v>4.2243311164304631E-2</v>
      </c>
      <c r="AZ57" s="39">
        <v>5</v>
      </c>
      <c r="BA57" s="39">
        <v>353953921.70811945</v>
      </c>
      <c r="BB57" s="39">
        <v>3</v>
      </c>
      <c r="BC57" s="39">
        <v>3953921.7081194799</v>
      </c>
      <c r="BD57" s="39">
        <v>1</v>
      </c>
      <c r="BE57" s="39">
        <v>0</v>
      </c>
      <c r="BF57" s="39">
        <v>1</v>
      </c>
      <c r="BG57" s="39">
        <v>350000000</v>
      </c>
      <c r="BH57" s="39">
        <v>3.9796351387790052E-3</v>
      </c>
      <c r="BI57" s="39">
        <v>4.4455407330079131E-5</v>
      </c>
      <c r="BJ57" s="39">
        <v>0</v>
      </c>
      <c r="BK57" s="39">
        <v>3.9351797314489271E-3</v>
      </c>
      <c r="BL57" s="40">
        <v>20820818.924007028</v>
      </c>
      <c r="BM57" s="40">
        <v>2.3409618463405917E-4</v>
      </c>
    </row>
    <row r="58" spans="1:65" x14ac:dyDescent="0.35">
      <c r="A58" s="39">
        <v>57</v>
      </c>
      <c r="B58" s="32" t="s">
        <v>295</v>
      </c>
      <c r="C58" s="32" t="s">
        <v>39</v>
      </c>
      <c r="D58" s="32" t="s">
        <v>12</v>
      </c>
      <c r="E58" s="32" t="s">
        <v>5</v>
      </c>
      <c r="F58" s="39">
        <v>3</v>
      </c>
      <c r="G58" s="39">
        <v>0</v>
      </c>
      <c r="H58" s="39">
        <v>1</v>
      </c>
      <c r="I58" s="39">
        <v>2018</v>
      </c>
      <c r="J58" s="39">
        <v>0</v>
      </c>
      <c r="K58" s="39" t="s">
        <v>152</v>
      </c>
      <c r="L58" s="39">
        <v>108108009000</v>
      </c>
      <c r="M58" s="39">
        <v>14</v>
      </c>
      <c r="N58" s="39">
        <v>8310000000</v>
      </c>
      <c r="O58" s="39">
        <v>13</v>
      </c>
      <c r="P58" s="39">
        <v>5690000000</v>
      </c>
      <c r="Q58" s="39">
        <v>27</v>
      </c>
      <c r="R58" s="19">
        <v>14000000000</v>
      </c>
      <c r="S58" s="39">
        <v>7.6867570468345234E-2</v>
      </c>
      <c r="T58" s="39">
        <v>5.263254825088861E-2</v>
      </c>
      <c r="U58" s="39">
        <v>0.12950011871923384</v>
      </c>
      <c r="V58" s="39">
        <v>6.1893447934278246E-3</v>
      </c>
      <c r="W58" s="39">
        <v>7.1559725331388187E-3</v>
      </c>
      <c r="X58" s="39">
        <v>6.5334160899371396E-3</v>
      </c>
      <c r="Y58" s="39">
        <v>823529411.7647059</v>
      </c>
      <c r="Z58" s="39">
        <v>7.6176540423078731E-3</v>
      </c>
      <c r="AA58" s="39">
        <v>2</v>
      </c>
      <c r="AB58" s="39">
        <v>1</v>
      </c>
      <c r="AC58" s="39">
        <v>50000000</v>
      </c>
      <c r="AD58" s="39">
        <v>0</v>
      </c>
      <c r="AE58" s="39">
        <v>0</v>
      </c>
      <c r="AF58" s="39">
        <v>0</v>
      </c>
      <c r="AG58" s="39">
        <v>0</v>
      </c>
      <c r="AH58" s="39">
        <v>1</v>
      </c>
      <c r="AI58" s="39">
        <v>50000000</v>
      </c>
      <c r="AJ58" s="39">
        <v>4.625004239972637E-4</v>
      </c>
      <c r="AK58" s="39">
        <v>1.2543831282458731E-3</v>
      </c>
      <c r="AL58" s="19">
        <v>4496520000</v>
      </c>
      <c r="AM58" s="19">
        <v>2896831000</v>
      </c>
      <c r="AN58" s="39">
        <v>-1599689000</v>
      </c>
      <c r="AO58" s="39">
        <v>7393351000</v>
      </c>
      <c r="AP58" s="39">
        <v>22393118000</v>
      </c>
      <c r="AQ58" s="39">
        <v>22329379000</v>
      </c>
      <c r="AR58" s="39">
        <v>-63739000</v>
      </c>
      <c r="AS58" s="39">
        <v>44722497000</v>
      </c>
      <c r="AT58" s="39">
        <v>0.20079919196603171</v>
      </c>
      <c r="AU58" s="39">
        <v>0.1297318210237732</v>
      </c>
      <c r="AV58" s="39">
        <v>8.9623741584018597E-3</v>
      </c>
      <c r="AW58" s="39">
        <v>1.0792612797739789E-2</v>
      </c>
      <c r="AX58" s="39">
        <v>0.16531614949853984</v>
      </c>
      <c r="AY58" s="39">
        <v>6.8388559445211869E-2</v>
      </c>
      <c r="AZ58" s="39">
        <v>122</v>
      </c>
      <c r="BA58" s="39">
        <v>33929188045.953293</v>
      </c>
      <c r="BB58" s="39">
        <v>80</v>
      </c>
      <c r="BC58" s="39">
        <v>6998072030.8370457</v>
      </c>
      <c r="BD58" s="39">
        <v>34</v>
      </c>
      <c r="BE58" s="39">
        <v>26758269325.671894</v>
      </c>
      <c r="BF58" s="39">
        <v>8</v>
      </c>
      <c r="BG58" s="39">
        <v>172846689.44435728</v>
      </c>
      <c r="BH58" s="39">
        <v>0.31384527714272575</v>
      </c>
      <c r="BI58" s="39">
        <v>6.4732225628510512E-2</v>
      </c>
      <c r="BJ58" s="39">
        <v>0.24751421817112454</v>
      </c>
      <c r="BK58" s="39">
        <v>1.5988333430907722E-3</v>
      </c>
      <c r="BL58" s="40">
        <v>1995834590.9384289</v>
      </c>
      <c r="BM58" s="40">
        <v>1.8461486890748575E-2</v>
      </c>
    </row>
    <row r="59" spans="1:65" x14ac:dyDescent="0.35">
      <c r="A59" s="39">
        <v>58</v>
      </c>
      <c r="B59" s="32" t="s">
        <v>296</v>
      </c>
      <c r="C59" s="32" t="s">
        <v>141</v>
      </c>
      <c r="D59" s="32" t="s">
        <v>7</v>
      </c>
      <c r="E59" s="32" t="s">
        <v>10</v>
      </c>
      <c r="F59" s="39">
        <v>0</v>
      </c>
      <c r="G59" s="39">
        <v>0</v>
      </c>
      <c r="H59" s="39">
        <v>1</v>
      </c>
      <c r="I59" s="39">
        <v>2016</v>
      </c>
      <c r="J59" s="39">
        <v>0</v>
      </c>
      <c r="K59" s="39" t="s">
        <v>152</v>
      </c>
      <c r="L59" s="39">
        <v>303080865603.64465</v>
      </c>
      <c r="M59" s="39">
        <v>14</v>
      </c>
      <c r="N59" s="39">
        <v>8700000000</v>
      </c>
      <c r="O59" s="39">
        <v>19</v>
      </c>
      <c r="P59" s="39">
        <v>16000000000</v>
      </c>
      <c r="Q59" s="39">
        <v>33</v>
      </c>
      <c r="R59" s="19">
        <v>24700000000</v>
      </c>
      <c r="S59" s="39">
        <v>2.870521034929821E-2</v>
      </c>
      <c r="T59" s="39">
        <v>5.2791191446985214E-2</v>
      </c>
      <c r="U59" s="39">
        <v>8.1496401796283424E-2</v>
      </c>
      <c r="V59" s="39">
        <v>6.4798194588233538E-3</v>
      </c>
      <c r="W59" s="39">
        <v>2.0122242623940439E-2</v>
      </c>
      <c r="X59" s="39">
        <v>1.1526812672960525E-2</v>
      </c>
      <c r="Y59" s="39">
        <v>1452941176.4705882</v>
      </c>
      <c r="Z59" s="39">
        <v>4.7939059880166713E-3</v>
      </c>
      <c r="AA59" s="39">
        <v>2</v>
      </c>
      <c r="AB59" s="39">
        <v>3</v>
      </c>
      <c r="AC59" s="39">
        <v>660000000</v>
      </c>
      <c r="AD59" s="39">
        <v>2</v>
      </c>
      <c r="AE59" s="39">
        <v>649000000</v>
      </c>
      <c r="AF59" s="39">
        <v>0</v>
      </c>
      <c r="AG59" s="39">
        <v>0</v>
      </c>
      <c r="AH59" s="39">
        <v>5</v>
      </c>
      <c r="AI59" s="39">
        <v>1309000000</v>
      </c>
      <c r="AJ59" s="39">
        <v>4.318979350256478E-3</v>
      </c>
      <c r="AK59" s="39">
        <v>3.2839750297476961E-2</v>
      </c>
      <c r="AL59" s="19">
        <v>12040871000</v>
      </c>
      <c r="AM59" s="19">
        <v>556922000</v>
      </c>
      <c r="AN59" s="39">
        <v>-11483949000</v>
      </c>
      <c r="AO59" s="39">
        <v>12597793000</v>
      </c>
      <c r="AP59" s="39">
        <v>78657518000</v>
      </c>
      <c r="AQ59" s="39">
        <v>30632553000</v>
      </c>
      <c r="AR59" s="39">
        <v>-48024965000</v>
      </c>
      <c r="AS59" s="39">
        <v>109290071000</v>
      </c>
      <c r="AT59" s="39">
        <v>0.15307972214429649</v>
      </c>
      <c r="AU59" s="39">
        <v>1.8180724277209282E-2</v>
      </c>
      <c r="AV59" s="39">
        <v>3.1481016028550787E-2</v>
      </c>
      <c r="AW59" s="39">
        <v>1.4805843169003595E-2</v>
      </c>
      <c r="AX59" s="39">
        <v>0.11526932762263463</v>
      </c>
      <c r="AY59" s="39">
        <v>4.1565781379530632E-2</v>
      </c>
      <c r="AZ59" s="39">
        <v>71</v>
      </c>
      <c r="BA59" s="39">
        <v>6470899582.0142622</v>
      </c>
      <c r="BB59" s="39">
        <v>48</v>
      </c>
      <c r="BC59" s="39">
        <v>956566800.48591578</v>
      </c>
      <c r="BD59" s="39">
        <v>16</v>
      </c>
      <c r="BE59" s="39">
        <v>2572561247.8118019</v>
      </c>
      <c r="BF59" s="39">
        <v>7</v>
      </c>
      <c r="BG59" s="39">
        <v>2941771533.7165456</v>
      </c>
      <c r="BH59" s="39">
        <v>2.1350406166770718E-2</v>
      </c>
      <c r="BI59" s="39">
        <v>3.1561438185176306E-3</v>
      </c>
      <c r="BJ59" s="39">
        <v>8.4880358338954992E-3</v>
      </c>
      <c r="BK59" s="39">
        <v>9.7062265143575913E-3</v>
      </c>
      <c r="BL59" s="40">
        <v>380641151.88319188</v>
      </c>
      <c r="BM59" s="40">
        <v>1.2559062451041598E-3</v>
      </c>
    </row>
    <row r="60" spans="1:65" x14ac:dyDescent="0.35">
      <c r="A60" s="39">
        <v>59</v>
      </c>
      <c r="B60" s="32" t="s">
        <v>297</v>
      </c>
      <c r="C60" s="32" t="s">
        <v>40</v>
      </c>
      <c r="D60" s="32" t="s">
        <v>12</v>
      </c>
      <c r="E60" s="32" t="s">
        <v>10</v>
      </c>
      <c r="F60" s="39">
        <v>0</v>
      </c>
      <c r="G60" s="39">
        <v>0</v>
      </c>
      <c r="H60" s="39">
        <v>1</v>
      </c>
      <c r="I60" s="39">
        <v>2018</v>
      </c>
      <c r="J60" s="39">
        <v>1</v>
      </c>
      <c r="K60" s="39">
        <v>2018</v>
      </c>
      <c r="L60" s="39">
        <v>26896660000</v>
      </c>
      <c r="M60" s="39">
        <v>0</v>
      </c>
      <c r="N60" s="39">
        <v>0</v>
      </c>
      <c r="O60" s="39">
        <v>0</v>
      </c>
      <c r="P60" s="39">
        <v>0</v>
      </c>
      <c r="Q60" s="39">
        <v>0</v>
      </c>
      <c r="R60" s="19">
        <v>0</v>
      </c>
      <c r="S60" s="39">
        <v>0</v>
      </c>
      <c r="T60" s="39">
        <v>0</v>
      </c>
      <c r="U60" s="39">
        <v>0</v>
      </c>
      <c r="V60" s="39">
        <v>0</v>
      </c>
      <c r="W60" s="39">
        <v>0</v>
      </c>
      <c r="X60" s="39">
        <v>0</v>
      </c>
      <c r="Y60" s="39">
        <v>0</v>
      </c>
      <c r="Z60" s="39">
        <v>0</v>
      </c>
      <c r="AA60" s="39">
        <v>0</v>
      </c>
      <c r="AB60" s="39" t="s">
        <v>152</v>
      </c>
      <c r="AC60" s="39" t="s">
        <v>152</v>
      </c>
      <c r="AD60" s="39" t="s">
        <v>152</v>
      </c>
      <c r="AE60" s="39" t="s">
        <v>152</v>
      </c>
      <c r="AF60" s="39" t="s">
        <v>152</v>
      </c>
      <c r="AG60" s="39" t="s">
        <v>152</v>
      </c>
      <c r="AH60" s="39">
        <v>0</v>
      </c>
      <c r="AI60" s="39" t="s">
        <v>152</v>
      </c>
      <c r="AJ60" s="39" t="s">
        <v>152</v>
      </c>
      <c r="AK60" s="39" t="s">
        <v>152</v>
      </c>
      <c r="AL60" s="19">
        <v>961495000</v>
      </c>
      <c r="AM60" s="19">
        <v>51726000</v>
      </c>
      <c r="AN60" s="39">
        <v>-909769000</v>
      </c>
      <c r="AO60" s="39">
        <v>1013221000</v>
      </c>
      <c r="AP60" s="39">
        <v>11337642000</v>
      </c>
      <c r="AQ60" s="39">
        <v>4777618000</v>
      </c>
      <c r="AR60" s="39">
        <v>-6560024000</v>
      </c>
      <c r="AS60" s="39">
        <v>16115260000</v>
      </c>
      <c r="AT60" s="39">
        <v>8.4805553041805343E-2</v>
      </c>
      <c r="AU60" s="39">
        <v>1.0826734159156299E-2</v>
      </c>
      <c r="AV60" s="39">
        <v>4.5376525804942209E-3</v>
      </c>
      <c r="AW60" s="39">
        <v>2.309199067717556E-3</v>
      </c>
      <c r="AX60" s="39">
        <v>6.2873388328826219E-2</v>
      </c>
      <c r="AY60" s="39">
        <v>3.7670885530024921E-2</v>
      </c>
      <c r="AZ60" s="39">
        <v>1</v>
      </c>
      <c r="BA60" s="39">
        <v>19663044.242341101</v>
      </c>
      <c r="BB60" s="39">
        <v>0</v>
      </c>
      <c r="BC60" s="39">
        <v>0</v>
      </c>
      <c r="BD60" s="39">
        <v>0</v>
      </c>
      <c r="BE60" s="39">
        <v>0</v>
      </c>
      <c r="BF60" s="39">
        <v>1</v>
      </c>
      <c r="BG60" s="39">
        <v>19663044.242341101</v>
      </c>
      <c r="BH60" s="39">
        <v>7.3105895833687528E-4</v>
      </c>
      <c r="BI60" s="39">
        <v>0</v>
      </c>
      <c r="BJ60" s="39">
        <v>0</v>
      </c>
      <c r="BK60" s="39">
        <v>7.3105895833687528E-4</v>
      </c>
      <c r="BL60" s="40">
        <v>1156649.6613141824</v>
      </c>
      <c r="BM60" s="40">
        <v>4.3003468137463258E-5</v>
      </c>
    </row>
    <row r="61" spans="1:65" x14ac:dyDescent="0.35">
      <c r="A61" s="39">
        <v>60</v>
      </c>
      <c r="B61" s="32" t="s">
        <v>298</v>
      </c>
      <c r="C61" s="32" t="s">
        <v>41</v>
      </c>
      <c r="D61" s="32" t="s">
        <v>9</v>
      </c>
      <c r="E61" s="32" t="s">
        <v>5</v>
      </c>
      <c r="F61" s="39">
        <v>0</v>
      </c>
      <c r="G61" s="39">
        <v>0</v>
      </c>
      <c r="H61" s="39">
        <v>1</v>
      </c>
      <c r="I61" s="39">
        <v>2019</v>
      </c>
      <c r="J61" s="39">
        <v>0</v>
      </c>
      <c r="K61" s="39" t="s">
        <v>152</v>
      </c>
      <c r="L61" s="39">
        <v>11417278044.985857</v>
      </c>
      <c r="M61" s="39">
        <v>8</v>
      </c>
      <c r="N61" s="39">
        <v>2080000000</v>
      </c>
      <c r="O61" s="39">
        <v>5</v>
      </c>
      <c r="P61" s="39">
        <v>1280000000</v>
      </c>
      <c r="Q61" s="39">
        <v>13</v>
      </c>
      <c r="R61" s="19">
        <v>3360000000</v>
      </c>
      <c r="S61" s="39">
        <v>0.18218002502912475</v>
      </c>
      <c r="T61" s="39">
        <v>0.11211078463330754</v>
      </c>
      <c r="U61" s="39">
        <v>0.29429080966243232</v>
      </c>
      <c r="V61" s="39">
        <v>1.5491982154428249E-3</v>
      </c>
      <c r="W61" s="39">
        <v>1.609779409915235E-3</v>
      </c>
      <c r="X61" s="39">
        <v>1.5680198615849134E-3</v>
      </c>
      <c r="Y61" s="39">
        <v>197647058.82352942</v>
      </c>
      <c r="Z61" s="39">
        <v>1.7311224097790137E-2</v>
      </c>
      <c r="AA61" s="39">
        <v>0</v>
      </c>
      <c r="AB61" s="39" t="s">
        <v>152</v>
      </c>
      <c r="AC61" s="39" t="s">
        <v>152</v>
      </c>
      <c r="AD61" s="39" t="s">
        <v>152</v>
      </c>
      <c r="AE61" s="39" t="s">
        <v>152</v>
      </c>
      <c r="AF61" s="39" t="s">
        <v>152</v>
      </c>
      <c r="AG61" s="39" t="s">
        <v>152</v>
      </c>
      <c r="AH61" s="39">
        <v>0</v>
      </c>
      <c r="AI61" s="39" t="s">
        <v>152</v>
      </c>
      <c r="AJ61" s="39" t="s">
        <v>152</v>
      </c>
      <c r="AK61" s="39" t="s">
        <v>152</v>
      </c>
      <c r="AL61" s="19">
        <v>113297000</v>
      </c>
      <c r="AM61" s="19">
        <v>1723012000</v>
      </c>
      <c r="AN61" s="39">
        <v>1609715000</v>
      </c>
      <c r="AO61" s="39">
        <v>1836309000</v>
      </c>
      <c r="AP61" s="39">
        <v>1028414000</v>
      </c>
      <c r="AQ61" s="39">
        <v>5072616000</v>
      </c>
      <c r="AR61" s="39">
        <v>4044202000</v>
      </c>
      <c r="AS61" s="39">
        <v>6101030000</v>
      </c>
      <c r="AT61" s="39">
        <v>0.11016672274006382</v>
      </c>
      <c r="AU61" s="39">
        <v>0.33966931461005523</v>
      </c>
      <c r="AV61" s="39">
        <v>4.116010578669166E-4</v>
      </c>
      <c r="AW61" s="39">
        <v>2.4517824861864548E-3</v>
      </c>
      <c r="AX61" s="39">
        <v>0.30098344050103015</v>
      </c>
      <c r="AY61" s="39">
        <v>0.1608359709525034</v>
      </c>
      <c r="AZ61" s="39">
        <v>121</v>
      </c>
      <c r="BA61" s="39">
        <v>9890268670.6055279</v>
      </c>
      <c r="BB61" s="39">
        <v>89</v>
      </c>
      <c r="BC61" s="39">
        <v>237978965.35684896</v>
      </c>
      <c r="BD61" s="39">
        <v>29</v>
      </c>
      <c r="BE61" s="39">
        <v>9256483708.7608376</v>
      </c>
      <c r="BF61" s="39">
        <v>3</v>
      </c>
      <c r="BG61" s="39">
        <v>395805996.48784</v>
      </c>
      <c r="BH61" s="39">
        <v>0.86625451632484785</v>
      </c>
      <c r="BI61" s="39">
        <v>2.0843756665921132E-2</v>
      </c>
      <c r="BJ61" s="39">
        <v>0.81074347776141098</v>
      </c>
      <c r="BK61" s="39">
        <v>3.4667281897515556E-2</v>
      </c>
      <c r="BL61" s="40">
        <v>581780510.03561926</v>
      </c>
      <c r="BM61" s="40">
        <v>5.0956148019108694E-2</v>
      </c>
    </row>
    <row r="62" spans="1:65" x14ac:dyDescent="0.35">
      <c r="A62" s="39">
        <v>61</v>
      </c>
      <c r="B62" s="32" t="s">
        <v>299</v>
      </c>
      <c r="C62" s="32" t="s">
        <v>188</v>
      </c>
      <c r="D62" s="32" t="s">
        <v>9</v>
      </c>
      <c r="E62" s="32" t="s">
        <v>2</v>
      </c>
      <c r="F62" s="39">
        <v>0</v>
      </c>
      <c r="G62" s="39">
        <v>0</v>
      </c>
      <c r="H62" s="39">
        <v>0</v>
      </c>
      <c r="I62" s="39" t="s">
        <v>152</v>
      </c>
      <c r="J62" s="39">
        <v>0</v>
      </c>
      <c r="K62" s="39" t="s">
        <v>152</v>
      </c>
      <c r="L62" s="39" t="s">
        <v>152</v>
      </c>
      <c r="M62" s="39">
        <v>2</v>
      </c>
      <c r="N62" s="39">
        <v>500000000</v>
      </c>
      <c r="O62" s="39">
        <v>0</v>
      </c>
      <c r="P62" s="39">
        <v>0</v>
      </c>
      <c r="Q62" s="39">
        <v>2</v>
      </c>
      <c r="R62" s="19">
        <v>500000000</v>
      </c>
      <c r="S62" s="39">
        <v>0</v>
      </c>
      <c r="T62" s="39">
        <v>0</v>
      </c>
      <c r="U62" s="39">
        <v>0</v>
      </c>
      <c r="V62" s="39">
        <v>3.7240341717375598E-4</v>
      </c>
      <c r="W62" s="39">
        <v>0</v>
      </c>
      <c r="X62" s="39">
        <v>2.3333628892632639E-4</v>
      </c>
      <c r="Y62" s="39">
        <v>29411764.705882352</v>
      </c>
      <c r="Z62" s="39">
        <v>0</v>
      </c>
      <c r="AA62" s="39">
        <v>0</v>
      </c>
      <c r="AB62" s="39" t="s">
        <v>152</v>
      </c>
      <c r="AC62" s="39" t="s">
        <v>152</v>
      </c>
      <c r="AD62" s="39" t="s">
        <v>152</v>
      </c>
      <c r="AE62" s="39" t="s">
        <v>152</v>
      </c>
      <c r="AF62" s="39" t="s">
        <v>152</v>
      </c>
      <c r="AG62" s="39" t="s">
        <v>152</v>
      </c>
      <c r="AH62" s="39">
        <v>0</v>
      </c>
      <c r="AI62" s="39" t="s">
        <v>152</v>
      </c>
      <c r="AJ62" s="39" t="s">
        <v>152</v>
      </c>
      <c r="AK62" s="39" t="s">
        <v>152</v>
      </c>
      <c r="AL62" s="19">
        <v>48608000</v>
      </c>
      <c r="AM62" s="19">
        <v>209892000</v>
      </c>
      <c r="AN62" s="39">
        <v>161284000</v>
      </c>
      <c r="AO62" s="39">
        <v>258500000</v>
      </c>
      <c r="AP62" s="39">
        <v>388456000</v>
      </c>
      <c r="AQ62" s="39">
        <v>499061000</v>
      </c>
      <c r="AR62" s="39">
        <v>110605000</v>
      </c>
      <c r="AS62" s="39">
        <v>887517000</v>
      </c>
      <c r="AT62" s="39">
        <v>0.12513128900055603</v>
      </c>
      <c r="AU62" s="39">
        <v>0.42057383766713891</v>
      </c>
      <c r="AV62" s="39">
        <v>1.554713379385646E-4</v>
      </c>
      <c r="AW62" s="39">
        <v>2.4121459604643805E-4</v>
      </c>
      <c r="AX62" s="39">
        <v>0.29126202653019606</v>
      </c>
      <c r="AY62" s="39" t="s">
        <v>152</v>
      </c>
      <c r="AZ62" s="39">
        <v>61</v>
      </c>
      <c r="BA62" s="39">
        <v>1013396936.7712584</v>
      </c>
      <c r="BB62" s="39">
        <v>50</v>
      </c>
      <c r="BC62" s="39">
        <v>447050479.60460484</v>
      </c>
      <c r="BD62" s="39">
        <v>10</v>
      </c>
      <c r="BE62" s="39">
        <v>566346457.16665351</v>
      </c>
      <c r="BF62" s="39">
        <v>1</v>
      </c>
      <c r="BG62" s="39">
        <v>0</v>
      </c>
      <c r="BH62" s="39">
        <v>0</v>
      </c>
      <c r="BI62" s="39">
        <v>0</v>
      </c>
      <c r="BJ62" s="39">
        <v>0</v>
      </c>
      <c r="BK62" s="39">
        <v>0</v>
      </c>
      <c r="BL62" s="40">
        <v>59611584.515956372</v>
      </c>
      <c r="BM62" s="40">
        <v>0</v>
      </c>
    </row>
    <row r="63" spans="1:65" x14ac:dyDescent="0.35">
      <c r="A63" s="39">
        <v>62</v>
      </c>
      <c r="B63" s="32" t="s">
        <v>300</v>
      </c>
      <c r="C63" s="32" t="s">
        <v>42</v>
      </c>
      <c r="D63" s="32" t="s">
        <v>4</v>
      </c>
      <c r="E63" s="32" t="s">
        <v>13</v>
      </c>
      <c r="F63" s="39">
        <v>0</v>
      </c>
      <c r="G63" s="39">
        <v>0</v>
      </c>
      <c r="H63" s="39">
        <v>1</v>
      </c>
      <c r="I63" s="39">
        <v>2017</v>
      </c>
      <c r="J63" s="39">
        <v>0</v>
      </c>
      <c r="K63" s="39" t="s">
        <v>152</v>
      </c>
      <c r="L63" s="39">
        <v>31045591753.490147</v>
      </c>
      <c r="M63" s="39">
        <v>0</v>
      </c>
      <c r="N63" s="39">
        <v>0</v>
      </c>
      <c r="O63" s="39">
        <v>0</v>
      </c>
      <c r="P63" s="39">
        <v>0</v>
      </c>
      <c r="Q63" s="39">
        <v>0</v>
      </c>
      <c r="R63" s="19">
        <v>0</v>
      </c>
      <c r="S63" s="39">
        <v>0</v>
      </c>
      <c r="T63" s="39">
        <v>0</v>
      </c>
      <c r="U63" s="39">
        <v>0</v>
      </c>
      <c r="V63" s="39">
        <v>0</v>
      </c>
      <c r="W63" s="39">
        <v>0</v>
      </c>
      <c r="X63" s="39">
        <v>0</v>
      </c>
      <c r="Y63" s="39">
        <v>0</v>
      </c>
      <c r="Z63" s="39">
        <v>0</v>
      </c>
      <c r="AA63" s="39">
        <v>0</v>
      </c>
      <c r="AB63" s="39" t="s">
        <v>152</v>
      </c>
      <c r="AC63" s="39" t="s">
        <v>152</v>
      </c>
      <c r="AD63" s="39" t="s">
        <v>152</v>
      </c>
      <c r="AE63" s="39" t="s">
        <v>152</v>
      </c>
      <c r="AF63" s="39" t="s">
        <v>152</v>
      </c>
      <c r="AG63" s="39" t="s">
        <v>152</v>
      </c>
      <c r="AH63" s="39">
        <v>0</v>
      </c>
      <c r="AI63" s="39" t="s">
        <v>152</v>
      </c>
      <c r="AJ63" s="39" t="s">
        <v>152</v>
      </c>
      <c r="AK63" s="39" t="s">
        <v>152</v>
      </c>
      <c r="AL63" s="19">
        <v>1513684000</v>
      </c>
      <c r="AM63" s="19">
        <v>189548000</v>
      </c>
      <c r="AN63" s="39">
        <v>-1324136000</v>
      </c>
      <c r="AO63" s="39">
        <v>1703232000</v>
      </c>
      <c r="AP63" s="39">
        <v>18677042000</v>
      </c>
      <c r="AQ63" s="39">
        <v>16817428000</v>
      </c>
      <c r="AR63" s="39">
        <v>-1859614000</v>
      </c>
      <c r="AS63" s="39">
        <v>35494470000</v>
      </c>
      <c r="AT63" s="39">
        <v>8.1045167644855115E-2</v>
      </c>
      <c r="AU63" s="39">
        <v>1.1270926802838104E-2</v>
      </c>
      <c r="AV63" s="39">
        <v>7.4750929538345747E-3</v>
      </c>
      <c r="AW63" s="39">
        <v>8.1284834951239546E-3</v>
      </c>
      <c r="AX63" s="39">
        <v>4.7985841174695662E-2</v>
      </c>
      <c r="AY63" s="39">
        <v>5.4862281689590363E-2</v>
      </c>
      <c r="AZ63" s="39" t="s">
        <v>152</v>
      </c>
      <c r="BA63" s="39" t="s">
        <v>152</v>
      </c>
      <c r="BB63" s="39" t="s">
        <v>152</v>
      </c>
      <c r="BC63" s="39" t="s">
        <v>152</v>
      </c>
      <c r="BD63" s="39" t="s">
        <v>152</v>
      </c>
      <c r="BE63" s="39" t="s">
        <v>152</v>
      </c>
      <c r="BF63" s="39" t="s">
        <v>152</v>
      </c>
      <c r="BG63" s="39" t="s">
        <v>152</v>
      </c>
      <c r="BH63" s="39">
        <v>0</v>
      </c>
      <c r="BI63" s="39">
        <v>0</v>
      </c>
      <c r="BJ63" s="39">
        <v>0</v>
      </c>
      <c r="BK63" s="39">
        <v>0</v>
      </c>
      <c r="BL63" s="40">
        <v>0</v>
      </c>
      <c r="BM63" s="40">
        <v>0</v>
      </c>
    </row>
    <row r="64" spans="1:65" x14ac:dyDescent="0.35">
      <c r="A64" s="39">
        <v>63</v>
      </c>
      <c r="B64" s="32" t="s">
        <v>414</v>
      </c>
      <c r="C64" s="32" t="s">
        <v>196</v>
      </c>
      <c r="D64" s="32" t="s">
        <v>9</v>
      </c>
      <c r="E64" s="32" t="s">
        <v>10</v>
      </c>
      <c r="F64" s="39">
        <v>0</v>
      </c>
      <c r="G64" s="39">
        <v>0</v>
      </c>
      <c r="H64" s="39">
        <v>0</v>
      </c>
      <c r="I64" s="39" t="s">
        <v>152</v>
      </c>
      <c r="J64" s="39">
        <v>2</v>
      </c>
      <c r="K64" s="39" t="s">
        <v>152</v>
      </c>
      <c r="L64" s="39">
        <v>4471598726.6435986</v>
      </c>
      <c r="M64" s="39">
        <v>0</v>
      </c>
      <c r="N64" s="39">
        <v>0</v>
      </c>
      <c r="O64" s="39">
        <v>0</v>
      </c>
      <c r="P64" s="39">
        <v>0</v>
      </c>
      <c r="Q64" s="39">
        <v>0</v>
      </c>
      <c r="R64" s="19">
        <v>0</v>
      </c>
      <c r="S64" s="39">
        <v>0</v>
      </c>
      <c r="T64" s="39">
        <v>0</v>
      </c>
      <c r="U64" s="39">
        <v>0</v>
      </c>
      <c r="V64" s="39">
        <v>0</v>
      </c>
      <c r="W64" s="39">
        <v>0</v>
      </c>
      <c r="X64" s="39">
        <v>0</v>
      </c>
      <c r="Y64" s="39">
        <v>0</v>
      </c>
      <c r="Z64" s="39">
        <v>0</v>
      </c>
      <c r="AA64" s="39">
        <v>0</v>
      </c>
      <c r="AB64" s="39" t="s">
        <v>152</v>
      </c>
      <c r="AC64" s="39" t="s">
        <v>152</v>
      </c>
      <c r="AD64" s="39" t="s">
        <v>152</v>
      </c>
      <c r="AE64" s="39" t="s">
        <v>152</v>
      </c>
      <c r="AF64" s="39" t="s">
        <v>152</v>
      </c>
      <c r="AG64" s="39" t="s">
        <v>152</v>
      </c>
      <c r="AH64" s="39">
        <v>0</v>
      </c>
      <c r="AI64" s="39" t="s">
        <v>152</v>
      </c>
      <c r="AJ64" s="39" t="s">
        <v>152</v>
      </c>
      <c r="AK64" s="39" t="s">
        <v>152</v>
      </c>
      <c r="AL64" s="19">
        <v>131198000</v>
      </c>
      <c r="AM64" s="19">
        <v>260000</v>
      </c>
      <c r="AN64" s="39">
        <v>-130938000</v>
      </c>
      <c r="AO64" s="39">
        <v>131458000</v>
      </c>
      <c r="AP64" s="39">
        <v>1841927000</v>
      </c>
      <c r="AQ64" s="39">
        <v>2001762000</v>
      </c>
      <c r="AR64" s="39">
        <v>159835000</v>
      </c>
      <c r="AS64" s="39">
        <v>3843689000</v>
      </c>
      <c r="AT64" s="39">
        <v>7.1228664328173708E-2</v>
      </c>
      <c r="AU64" s="39">
        <v>1.2988557081211453E-4</v>
      </c>
      <c r="AV64" s="39">
        <v>7.3719251363131577E-4</v>
      </c>
      <c r="AW64" s="39">
        <v>9.675254371932689E-4</v>
      </c>
      <c r="AX64" s="39">
        <v>3.4200998051611357E-2</v>
      </c>
      <c r="AY64" s="39">
        <v>2.9398433991118193E-2</v>
      </c>
      <c r="AZ64" s="39">
        <v>0</v>
      </c>
      <c r="BA64" s="39" t="s">
        <v>152</v>
      </c>
      <c r="BB64" s="39" t="s">
        <v>152</v>
      </c>
      <c r="BC64" s="39" t="s">
        <v>152</v>
      </c>
      <c r="BD64" s="39" t="s">
        <v>152</v>
      </c>
      <c r="BE64" s="39" t="s">
        <v>152</v>
      </c>
      <c r="BF64" s="39" t="s">
        <v>152</v>
      </c>
      <c r="BG64" s="39" t="s">
        <v>152</v>
      </c>
      <c r="BH64" s="39">
        <v>0</v>
      </c>
      <c r="BI64" s="39">
        <v>0</v>
      </c>
      <c r="BJ64" s="39">
        <v>0</v>
      </c>
      <c r="BK64" s="39">
        <v>0</v>
      </c>
      <c r="BL64" s="40">
        <v>0</v>
      </c>
      <c r="BM64" s="40">
        <v>0</v>
      </c>
    </row>
    <row r="65" spans="1:65" x14ac:dyDescent="0.35">
      <c r="A65" s="39">
        <v>64</v>
      </c>
      <c r="B65" s="32" t="s">
        <v>301</v>
      </c>
      <c r="C65" s="32" t="s">
        <v>43</v>
      </c>
      <c r="D65" s="32" t="s">
        <v>9</v>
      </c>
      <c r="E65" s="32" t="s">
        <v>2</v>
      </c>
      <c r="F65" s="39">
        <v>1</v>
      </c>
      <c r="G65" s="39">
        <v>0</v>
      </c>
      <c r="H65" s="39">
        <v>1</v>
      </c>
      <c r="I65" s="39">
        <v>2018</v>
      </c>
      <c r="J65" s="39">
        <v>0</v>
      </c>
      <c r="K65" s="39" t="s">
        <v>152</v>
      </c>
      <c r="L65" s="39">
        <v>95912590628.141235</v>
      </c>
      <c r="M65" s="39">
        <v>21</v>
      </c>
      <c r="N65" s="39">
        <v>13780000000</v>
      </c>
      <c r="O65" s="39">
        <v>39</v>
      </c>
      <c r="P65" s="39">
        <v>11220000000</v>
      </c>
      <c r="Q65" s="39">
        <v>60</v>
      </c>
      <c r="R65" s="19">
        <v>25000000000</v>
      </c>
      <c r="S65" s="39">
        <v>0.14367248251510453</v>
      </c>
      <c r="T65" s="39">
        <v>0.11698151333958438</v>
      </c>
      <c r="U65" s="39">
        <v>0.2606539958546889</v>
      </c>
      <c r="V65" s="39">
        <v>1.0263438177308714E-2</v>
      </c>
      <c r="W65" s="39">
        <v>1.4110722640038232E-2</v>
      </c>
      <c r="X65" s="39">
        <v>1.166681444631632E-2</v>
      </c>
      <c r="Y65" s="39">
        <v>1470588235.2941177</v>
      </c>
      <c r="Z65" s="39">
        <v>1.533258799145229E-2</v>
      </c>
      <c r="AA65" s="39">
        <v>2</v>
      </c>
      <c r="AB65" s="39">
        <v>0</v>
      </c>
      <c r="AC65" s="39">
        <v>0</v>
      </c>
      <c r="AD65" s="39">
        <v>0</v>
      </c>
      <c r="AE65" s="39">
        <v>0</v>
      </c>
      <c r="AF65" s="39">
        <v>0</v>
      </c>
      <c r="AG65" s="39">
        <v>0</v>
      </c>
      <c r="AH65" s="39">
        <v>0</v>
      </c>
      <c r="AI65" s="39">
        <v>0</v>
      </c>
      <c r="AJ65" s="39">
        <v>0</v>
      </c>
      <c r="AK65" s="39">
        <v>0</v>
      </c>
      <c r="AL65" s="19">
        <v>4283703000</v>
      </c>
      <c r="AM65" s="19">
        <v>124363000</v>
      </c>
      <c r="AN65" s="39">
        <v>-4159340000</v>
      </c>
      <c r="AO65" s="39">
        <v>4408066000</v>
      </c>
      <c r="AP65" s="39">
        <v>15575890000</v>
      </c>
      <c r="AQ65" s="39">
        <v>2678468000</v>
      </c>
      <c r="AR65" s="39">
        <v>-12897422000</v>
      </c>
      <c r="AS65" s="39">
        <v>18254358000</v>
      </c>
      <c r="AT65" s="39">
        <v>0.27502139524611435</v>
      </c>
      <c r="AU65" s="39">
        <v>4.6430646175350983E-2</v>
      </c>
      <c r="AV65" s="39">
        <v>6.2339221376009335E-3</v>
      </c>
      <c r="AW65" s="39">
        <v>1.2946024166250434E-3</v>
      </c>
      <c r="AX65" s="39">
        <v>0.24148019886538874</v>
      </c>
      <c r="AY65" s="39">
        <v>4.5959200675647807E-2</v>
      </c>
      <c r="AZ65" s="39">
        <v>218</v>
      </c>
      <c r="BA65" s="39">
        <v>24549040327.122738</v>
      </c>
      <c r="BB65" s="39">
        <v>155</v>
      </c>
      <c r="BC65" s="39">
        <v>9669275552.7825241</v>
      </c>
      <c r="BD65" s="39">
        <v>48</v>
      </c>
      <c r="BE65" s="39">
        <v>12633865805.844887</v>
      </c>
      <c r="BF65" s="39">
        <v>15</v>
      </c>
      <c r="BG65" s="39">
        <v>2245898968.4953279</v>
      </c>
      <c r="BH65" s="39">
        <v>0.25595221822649766</v>
      </c>
      <c r="BI65" s="39">
        <v>0.10081341239411283</v>
      </c>
      <c r="BJ65" s="39">
        <v>0.13172270421541557</v>
      </c>
      <c r="BK65" s="39">
        <v>2.3416101616969252E-2</v>
      </c>
      <c r="BL65" s="40">
        <v>1444061195.7131023</v>
      </c>
      <c r="BM65" s="40">
        <v>1.5056012836852803E-2</v>
      </c>
    </row>
    <row r="66" spans="1:65" x14ac:dyDescent="0.35">
      <c r="A66" s="39">
        <v>65</v>
      </c>
      <c r="B66" s="32" t="s">
        <v>302</v>
      </c>
      <c r="C66" s="32" t="s">
        <v>44</v>
      </c>
      <c r="D66" s="32" t="s">
        <v>23</v>
      </c>
      <c r="E66" s="32" t="s">
        <v>5</v>
      </c>
      <c r="F66" s="39">
        <v>1</v>
      </c>
      <c r="G66" s="39">
        <v>0</v>
      </c>
      <c r="H66" s="39">
        <v>1</v>
      </c>
      <c r="I66" s="39">
        <v>2018</v>
      </c>
      <c r="J66" s="39">
        <v>0</v>
      </c>
      <c r="K66" s="39" t="s">
        <v>152</v>
      </c>
      <c r="L66" s="39">
        <v>5496250694.3158674</v>
      </c>
      <c r="M66" s="39">
        <v>1</v>
      </c>
      <c r="N66" s="39">
        <v>150000000</v>
      </c>
      <c r="O66" s="39">
        <v>2</v>
      </c>
      <c r="P66" s="39">
        <v>250000000</v>
      </c>
      <c r="Q66" s="39">
        <v>3</v>
      </c>
      <c r="R66" s="19">
        <v>400000000</v>
      </c>
      <c r="S66" s="39">
        <v>2.7291331553549323E-2</v>
      </c>
      <c r="T66" s="39">
        <v>4.548555258924887E-2</v>
      </c>
      <c r="U66" s="39">
        <v>7.277688414279819E-2</v>
      </c>
      <c r="V66" s="39">
        <v>1.117210251521268E-4</v>
      </c>
      <c r="W66" s="39">
        <v>3.1441004099906937E-4</v>
      </c>
      <c r="X66" s="39">
        <v>1.8666903114106112E-4</v>
      </c>
      <c r="Y66" s="39">
        <v>23529411.764705881</v>
      </c>
      <c r="Z66" s="39">
        <v>4.2809931848704821E-3</v>
      </c>
      <c r="AA66" s="39">
        <v>1</v>
      </c>
      <c r="AB66" s="39">
        <v>1</v>
      </c>
      <c r="AC66" s="39">
        <v>50000000</v>
      </c>
      <c r="AD66" s="39">
        <v>0</v>
      </c>
      <c r="AE66" s="39">
        <v>0</v>
      </c>
      <c r="AF66" s="39">
        <v>0</v>
      </c>
      <c r="AG66" s="39">
        <v>0</v>
      </c>
      <c r="AH66" s="39">
        <v>1</v>
      </c>
      <c r="AI66" s="39">
        <v>50000000</v>
      </c>
      <c r="AJ66" s="39">
        <v>9.0971105178497737E-3</v>
      </c>
      <c r="AK66" s="39">
        <v>1.2543831282458731E-3</v>
      </c>
      <c r="AL66" s="19">
        <v>348970000</v>
      </c>
      <c r="AM66" s="19">
        <v>37299000</v>
      </c>
      <c r="AN66" s="39">
        <v>-311671000</v>
      </c>
      <c r="AO66" s="39">
        <v>386269000</v>
      </c>
      <c r="AP66" s="39">
        <v>2785913000</v>
      </c>
      <c r="AQ66" s="39">
        <v>1028722000</v>
      </c>
      <c r="AR66" s="39">
        <v>-1757191000</v>
      </c>
      <c r="AS66" s="39">
        <v>3814635000</v>
      </c>
      <c r="AT66" s="39">
        <v>0.12526234667055289</v>
      </c>
      <c r="AU66" s="39">
        <v>3.6257608955577891E-2</v>
      </c>
      <c r="AV66" s="39">
        <v>1.1150030415039032E-3</v>
      </c>
      <c r="AW66" s="39">
        <v>4.9721930119581343E-4</v>
      </c>
      <c r="AX66" s="39">
        <v>0.10125975355440298</v>
      </c>
      <c r="AY66" s="39">
        <v>7.027863565238629E-2</v>
      </c>
      <c r="AZ66" s="39">
        <v>152</v>
      </c>
      <c r="BA66" s="39">
        <v>663916958.87909687</v>
      </c>
      <c r="BB66" s="39">
        <v>137</v>
      </c>
      <c r="BC66" s="39">
        <v>568657495.55746424</v>
      </c>
      <c r="BD66" s="39">
        <v>14</v>
      </c>
      <c r="BE66" s="39">
        <v>95259463.321632713</v>
      </c>
      <c r="BF66" s="39">
        <v>1</v>
      </c>
      <c r="BG66" s="39">
        <v>0</v>
      </c>
      <c r="BH66" s="39">
        <v>0.12079451899195735</v>
      </c>
      <c r="BI66" s="39">
        <v>0.10346280167779838</v>
      </c>
      <c r="BJ66" s="39">
        <v>1.7331717314158994E-2</v>
      </c>
      <c r="BK66" s="39">
        <v>0</v>
      </c>
      <c r="BL66" s="40">
        <v>39053938.75759393</v>
      </c>
      <c r="BM66" s="40">
        <v>7.1055599407033737E-3</v>
      </c>
    </row>
    <row r="67" spans="1:65" x14ac:dyDescent="0.35">
      <c r="A67" s="39">
        <v>66</v>
      </c>
      <c r="B67" s="32" t="s">
        <v>303</v>
      </c>
      <c r="C67" s="32" t="s">
        <v>178</v>
      </c>
      <c r="D67" s="32" t="s">
        <v>4</v>
      </c>
      <c r="E67" s="32" t="s">
        <v>13</v>
      </c>
      <c r="F67" s="39">
        <v>0</v>
      </c>
      <c r="G67" s="39">
        <v>0</v>
      </c>
      <c r="H67" s="39">
        <v>0</v>
      </c>
      <c r="I67" s="39" t="s">
        <v>152</v>
      </c>
      <c r="J67" s="39">
        <v>0</v>
      </c>
      <c r="K67" s="39" t="s">
        <v>152</v>
      </c>
      <c r="L67" s="39">
        <v>268782471380.39172</v>
      </c>
      <c r="M67" s="39">
        <v>8</v>
      </c>
      <c r="N67" s="39">
        <v>16330000000</v>
      </c>
      <c r="O67" s="39">
        <v>0</v>
      </c>
      <c r="P67" s="39">
        <v>0</v>
      </c>
      <c r="Q67" s="39">
        <v>8</v>
      </c>
      <c r="R67" s="19">
        <v>16330000000</v>
      </c>
      <c r="S67" s="39">
        <v>6.0755449996920112E-2</v>
      </c>
      <c r="T67" s="39">
        <v>0</v>
      </c>
      <c r="U67" s="39">
        <v>6.0755449996920112E-2</v>
      </c>
      <c r="V67" s="39">
        <v>1.216269560489487E-2</v>
      </c>
      <c r="W67" s="39">
        <v>0</v>
      </c>
      <c r="X67" s="39">
        <v>7.6207631963338199E-3</v>
      </c>
      <c r="Y67" s="39">
        <v>960588235.29411769</v>
      </c>
      <c r="Z67" s="39">
        <v>3.5738499998188302E-3</v>
      </c>
      <c r="AA67" s="39">
        <v>2</v>
      </c>
      <c r="AB67" s="39">
        <v>0</v>
      </c>
      <c r="AC67" s="39">
        <v>0</v>
      </c>
      <c r="AD67" s="39">
        <v>0</v>
      </c>
      <c r="AE67" s="39">
        <v>0</v>
      </c>
      <c r="AF67" s="39">
        <v>0</v>
      </c>
      <c r="AG67" s="39">
        <v>0</v>
      </c>
      <c r="AH67" s="39">
        <v>0</v>
      </c>
      <c r="AI67" s="39">
        <v>0</v>
      </c>
      <c r="AJ67" s="39">
        <v>0</v>
      </c>
      <c r="AK67" s="39">
        <v>0</v>
      </c>
      <c r="AL67" s="19">
        <v>5494261000</v>
      </c>
      <c r="AM67" s="19">
        <v>3842829000</v>
      </c>
      <c r="AN67" s="39">
        <v>-1651432000</v>
      </c>
      <c r="AO67" s="39">
        <v>9337090000</v>
      </c>
      <c r="AP67" s="39">
        <v>73719857000</v>
      </c>
      <c r="AQ67" s="39">
        <v>72839176000</v>
      </c>
      <c r="AR67" s="39">
        <v>-880681000</v>
      </c>
      <c r="AS67" s="39">
        <v>146559033000</v>
      </c>
      <c r="AT67" s="39">
        <v>7.4528915594613804E-2</v>
      </c>
      <c r="AU67" s="39">
        <v>5.2757722025850481E-2</v>
      </c>
      <c r="AV67" s="39">
        <v>2.9504821139150011E-2</v>
      </c>
      <c r="AW67" s="39">
        <v>3.5205861438171698E-2</v>
      </c>
      <c r="AX67" s="39">
        <v>6.370873093847447E-2</v>
      </c>
      <c r="AY67" s="39">
        <v>3.4738463234032013E-2</v>
      </c>
      <c r="AZ67" s="39" t="s">
        <v>152</v>
      </c>
      <c r="BA67" s="39" t="s">
        <v>152</v>
      </c>
      <c r="BB67" s="39" t="s">
        <v>152</v>
      </c>
      <c r="BC67" s="39" t="s">
        <v>152</v>
      </c>
      <c r="BD67" s="39" t="s">
        <v>152</v>
      </c>
      <c r="BE67" s="39" t="s">
        <v>152</v>
      </c>
      <c r="BF67" s="39" t="s">
        <v>152</v>
      </c>
      <c r="BG67" s="39" t="s">
        <v>152</v>
      </c>
      <c r="BH67" s="39">
        <v>0</v>
      </c>
      <c r="BI67" s="39">
        <v>0</v>
      </c>
      <c r="BJ67" s="39">
        <v>0</v>
      </c>
      <c r="BK67" s="39">
        <v>0</v>
      </c>
      <c r="BL67" s="40">
        <v>0</v>
      </c>
      <c r="BM67" s="40">
        <v>0</v>
      </c>
    </row>
    <row r="68" spans="1:65" x14ac:dyDescent="0.35">
      <c r="A68" s="39">
        <v>67</v>
      </c>
      <c r="B68" s="32" t="s">
        <v>304</v>
      </c>
      <c r="C68" s="32" t="s">
        <v>167</v>
      </c>
      <c r="D68" s="32" t="s">
        <v>4</v>
      </c>
      <c r="E68" s="32" t="s">
        <v>13</v>
      </c>
      <c r="F68" s="39">
        <v>3</v>
      </c>
      <c r="G68" s="39">
        <v>0</v>
      </c>
      <c r="H68" s="39">
        <v>0</v>
      </c>
      <c r="I68" s="39" t="s">
        <v>152</v>
      </c>
      <c r="J68" s="39">
        <v>0</v>
      </c>
      <c r="K68" s="39" t="s">
        <v>152</v>
      </c>
      <c r="L68" s="39">
        <v>2728870246705.8779</v>
      </c>
      <c r="M68" s="39">
        <v>44</v>
      </c>
      <c r="N68" s="39">
        <v>33980000000</v>
      </c>
      <c r="O68" s="39">
        <v>0</v>
      </c>
      <c r="P68" s="39">
        <v>0</v>
      </c>
      <c r="Q68" s="39">
        <v>44</v>
      </c>
      <c r="R68" s="19">
        <v>33980000000</v>
      </c>
      <c r="S68" s="39">
        <v>1.2452039462491314E-2</v>
      </c>
      <c r="T68" s="39">
        <v>0</v>
      </c>
      <c r="U68" s="39">
        <v>1.2452039462491314E-2</v>
      </c>
      <c r="V68" s="39">
        <v>2.5308536231128456E-2</v>
      </c>
      <c r="W68" s="39">
        <v>0</v>
      </c>
      <c r="X68" s="39">
        <v>1.5857534195433141E-2</v>
      </c>
      <c r="Y68" s="39">
        <v>1998823529.4117646</v>
      </c>
      <c r="Z68" s="39">
        <v>7.3247290955831253E-4</v>
      </c>
      <c r="AA68" s="39">
        <v>2</v>
      </c>
      <c r="AB68" s="39">
        <v>0</v>
      </c>
      <c r="AC68" s="39">
        <v>0</v>
      </c>
      <c r="AD68" s="39">
        <v>0</v>
      </c>
      <c r="AE68" s="39">
        <v>0</v>
      </c>
      <c r="AF68" s="39">
        <v>0</v>
      </c>
      <c r="AG68" s="39">
        <v>0</v>
      </c>
      <c r="AH68" s="39">
        <v>0</v>
      </c>
      <c r="AI68" s="39">
        <v>0</v>
      </c>
      <c r="AJ68" s="39">
        <v>0</v>
      </c>
      <c r="AK68" s="39">
        <v>0</v>
      </c>
      <c r="AL68" s="19">
        <v>59613001000</v>
      </c>
      <c r="AM68" s="19">
        <v>23438669000</v>
      </c>
      <c r="AN68" s="39">
        <v>-36174332000</v>
      </c>
      <c r="AO68" s="39">
        <v>83051670000</v>
      </c>
      <c r="AP68" s="39">
        <v>643953084000</v>
      </c>
      <c r="AQ68" s="39">
        <v>556550374000</v>
      </c>
      <c r="AR68" s="39">
        <v>-87402710000</v>
      </c>
      <c r="AS68" s="39">
        <v>1200503458000</v>
      </c>
      <c r="AT68" s="39">
        <v>9.2573515806005521E-2</v>
      </c>
      <c r="AU68" s="39">
        <v>4.211419144603791E-2</v>
      </c>
      <c r="AV68" s="39">
        <v>0.25772866821247414</v>
      </c>
      <c r="AW68" s="39">
        <v>0.26900133178890762</v>
      </c>
      <c r="AX68" s="39">
        <v>6.9180700352468288E-2</v>
      </c>
      <c r="AY68" s="39">
        <v>3.0434451802996056E-2</v>
      </c>
      <c r="AZ68" s="39" t="s">
        <v>152</v>
      </c>
      <c r="BA68" s="39" t="s">
        <v>152</v>
      </c>
      <c r="BB68" s="39" t="s">
        <v>152</v>
      </c>
      <c r="BC68" s="39" t="s">
        <v>152</v>
      </c>
      <c r="BD68" s="39" t="s">
        <v>152</v>
      </c>
      <c r="BE68" s="39" t="s">
        <v>152</v>
      </c>
      <c r="BF68" s="39" t="s">
        <v>152</v>
      </c>
      <c r="BG68" s="39" t="s">
        <v>152</v>
      </c>
      <c r="BH68" s="39">
        <v>0</v>
      </c>
      <c r="BI68" s="39">
        <v>0</v>
      </c>
      <c r="BJ68" s="39">
        <v>0</v>
      </c>
      <c r="BK68" s="39">
        <v>0</v>
      </c>
      <c r="BL68" s="40">
        <v>0</v>
      </c>
      <c r="BM68" s="40">
        <v>0</v>
      </c>
    </row>
    <row r="69" spans="1:65" x14ac:dyDescent="0.35">
      <c r="A69" s="39">
        <v>68</v>
      </c>
      <c r="B69" s="32" t="s">
        <v>453</v>
      </c>
      <c r="C69" s="32" t="s">
        <v>446</v>
      </c>
      <c r="D69" s="32" t="s">
        <v>23</v>
      </c>
      <c r="E69" s="32" t="s">
        <v>13</v>
      </c>
      <c r="F69" s="39">
        <v>0</v>
      </c>
      <c r="G69" s="39">
        <v>0</v>
      </c>
      <c r="H69" s="39">
        <v>0</v>
      </c>
      <c r="I69" s="39" t="s">
        <v>152</v>
      </c>
      <c r="J69" s="39">
        <v>0</v>
      </c>
      <c r="K69" s="39" t="s">
        <v>152</v>
      </c>
      <c r="L69" s="39">
        <v>3447543137.9414983</v>
      </c>
      <c r="M69" s="39">
        <v>0</v>
      </c>
      <c r="N69" s="39">
        <v>0</v>
      </c>
      <c r="O69" s="39">
        <v>0</v>
      </c>
      <c r="P69" s="39">
        <v>0</v>
      </c>
      <c r="Q69" s="39">
        <v>0</v>
      </c>
      <c r="R69" s="19">
        <v>0</v>
      </c>
      <c r="S69" s="39">
        <v>0</v>
      </c>
      <c r="T69" s="39">
        <v>0</v>
      </c>
      <c r="U69" s="39">
        <v>0</v>
      </c>
      <c r="V69" s="39">
        <v>0</v>
      </c>
      <c r="W69" s="39">
        <v>0</v>
      </c>
      <c r="X69" s="39">
        <v>0</v>
      </c>
      <c r="Y69" s="39">
        <v>0</v>
      </c>
      <c r="Z69" s="39">
        <v>0</v>
      </c>
      <c r="AA69" s="39">
        <v>0</v>
      </c>
      <c r="AB69" s="39" t="s">
        <v>152</v>
      </c>
      <c r="AC69" s="39" t="s">
        <v>152</v>
      </c>
      <c r="AD69" s="39" t="s">
        <v>152</v>
      </c>
      <c r="AE69" s="39" t="s">
        <v>152</v>
      </c>
      <c r="AF69" s="39" t="s">
        <v>152</v>
      </c>
      <c r="AG69" s="39" t="s">
        <v>152</v>
      </c>
      <c r="AH69" s="39">
        <v>0</v>
      </c>
      <c r="AI69" s="39" t="s">
        <v>152</v>
      </c>
      <c r="AJ69" s="39" t="s">
        <v>152</v>
      </c>
      <c r="AK69" s="39" t="s">
        <v>152</v>
      </c>
      <c r="AL69" s="19">
        <v>99339000</v>
      </c>
      <c r="AM69" s="19">
        <v>6805000</v>
      </c>
      <c r="AN69" s="39">
        <v>-92534000</v>
      </c>
      <c r="AO69" s="39">
        <v>106144000</v>
      </c>
      <c r="AP69" s="39">
        <v>1959833000</v>
      </c>
      <c r="AQ69" s="39">
        <v>183564000</v>
      </c>
      <c r="AR69" s="39">
        <v>-1776269000</v>
      </c>
      <c r="AS69" s="39">
        <v>2143397000</v>
      </c>
      <c r="AT69" s="39">
        <v>5.0687482045664096E-2</v>
      </c>
      <c r="AU69" s="39">
        <v>3.7071539081737159E-2</v>
      </c>
      <c r="AV69" s="39">
        <v>7.8438190849452918E-4</v>
      </c>
      <c r="AW69" s="39">
        <v>8.8723254489267561E-5</v>
      </c>
      <c r="AX69" s="39">
        <v>4.9521390577667135E-2</v>
      </c>
      <c r="AY69" s="39">
        <v>3.0788302206242377E-2</v>
      </c>
      <c r="AZ69" s="39">
        <v>2</v>
      </c>
      <c r="BA69" s="39">
        <v>4858309351.0989399</v>
      </c>
      <c r="BB69" s="39">
        <v>0</v>
      </c>
      <c r="BC69" s="39">
        <v>0</v>
      </c>
      <c r="BD69" s="39">
        <v>2</v>
      </c>
      <c r="BE69" s="39">
        <v>4858309351.0989399</v>
      </c>
      <c r="BF69" s="39">
        <v>0</v>
      </c>
      <c r="BG69" s="39">
        <v>0</v>
      </c>
      <c r="BH69" s="39">
        <v>1.4092091546676917</v>
      </c>
      <c r="BI69" s="39">
        <v>0</v>
      </c>
      <c r="BJ69" s="39">
        <v>1.4092091546676917</v>
      </c>
      <c r="BK69" s="39">
        <v>0</v>
      </c>
      <c r="BL69" s="40">
        <v>285782903.00581998</v>
      </c>
      <c r="BM69" s="40">
        <v>8.2894656156923027E-2</v>
      </c>
    </row>
    <row r="70" spans="1:65" x14ac:dyDescent="0.35">
      <c r="A70" s="39">
        <v>69</v>
      </c>
      <c r="B70" s="32" t="s">
        <v>305</v>
      </c>
      <c r="C70" s="32" t="s">
        <v>45</v>
      </c>
      <c r="D70" s="32" t="s">
        <v>9</v>
      </c>
      <c r="E70" s="32" t="s">
        <v>5</v>
      </c>
      <c r="F70" s="39">
        <v>0</v>
      </c>
      <c r="G70" s="39">
        <v>0</v>
      </c>
      <c r="H70" s="39">
        <v>1</v>
      </c>
      <c r="I70" s="39">
        <v>2018</v>
      </c>
      <c r="J70" s="39">
        <v>0</v>
      </c>
      <c r="K70" s="39" t="s">
        <v>152</v>
      </c>
      <c r="L70" s="39">
        <v>16874450215.135065</v>
      </c>
      <c r="M70" s="39">
        <v>5</v>
      </c>
      <c r="N70" s="39">
        <v>1520000000</v>
      </c>
      <c r="O70" s="39">
        <v>3</v>
      </c>
      <c r="P70" s="39">
        <v>440000000</v>
      </c>
      <c r="Q70" s="39">
        <v>8</v>
      </c>
      <c r="R70" s="19">
        <v>1960000000</v>
      </c>
      <c r="S70" s="39">
        <v>9.0077008768954067E-2</v>
      </c>
      <c r="T70" s="39">
        <v>2.6074923591013016E-2</v>
      </c>
      <c r="U70" s="39">
        <v>0.11615193235996708</v>
      </c>
      <c r="V70" s="39">
        <v>1.1321063882082183E-3</v>
      </c>
      <c r="W70" s="39">
        <v>5.53361672158362E-4</v>
      </c>
      <c r="X70" s="39">
        <v>9.1467825259119952E-4</v>
      </c>
      <c r="Y70" s="39">
        <v>115294117.64705883</v>
      </c>
      <c r="Z70" s="39">
        <v>6.8324666094098287E-3</v>
      </c>
      <c r="AA70" s="39">
        <v>0</v>
      </c>
      <c r="AB70" s="39" t="s">
        <v>152</v>
      </c>
      <c r="AC70" s="39" t="s">
        <v>152</v>
      </c>
      <c r="AD70" s="39" t="s">
        <v>152</v>
      </c>
      <c r="AE70" s="39" t="s">
        <v>152</v>
      </c>
      <c r="AF70" s="39" t="s">
        <v>152</v>
      </c>
      <c r="AG70" s="39" t="s">
        <v>152</v>
      </c>
      <c r="AH70" s="39">
        <v>0</v>
      </c>
      <c r="AI70" s="39" t="s">
        <v>152</v>
      </c>
      <c r="AJ70" s="39" t="s">
        <v>152</v>
      </c>
      <c r="AK70" s="39" t="s">
        <v>152</v>
      </c>
      <c r="AL70" s="19">
        <v>377221000</v>
      </c>
      <c r="AM70" s="19">
        <v>4612508000</v>
      </c>
      <c r="AN70" s="39">
        <v>4235287000</v>
      </c>
      <c r="AO70" s="39">
        <v>4989729000</v>
      </c>
      <c r="AP70" s="39">
        <v>2321628000</v>
      </c>
      <c r="AQ70" s="39">
        <v>7301312000</v>
      </c>
      <c r="AR70" s="39">
        <v>4979684000</v>
      </c>
      <c r="AS70" s="39">
        <v>9622940000</v>
      </c>
      <c r="AT70" s="39">
        <v>0.16248124161148986</v>
      </c>
      <c r="AU70" s="39">
        <v>0.63173687140064694</v>
      </c>
      <c r="AV70" s="39">
        <v>9.2918274233280934E-4</v>
      </c>
      <c r="AW70" s="39">
        <v>3.5289934991694612E-3</v>
      </c>
      <c r="AX70" s="39">
        <v>0.51852438028294889</v>
      </c>
      <c r="AY70" s="39">
        <v>0.29569727821559499</v>
      </c>
      <c r="AZ70" s="39">
        <v>82</v>
      </c>
      <c r="BA70" s="39">
        <v>3574199027.2534776</v>
      </c>
      <c r="BB70" s="39">
        <v>62</v>
      </c>
      <c r="BC70" s="39">
        <v>1619657920.6404765</v>
      </c>
      <c r="BD70" s="39">
        <v>9</v>
      </c>
      <c r="BE70" s="39">
        <v>1485116670.8451018</v>
      </c>
      <c r="BF70" s="39">
        <v>11</v>
      </c>
      <c r="BG70" s="39">
        <v>469424435.76789874</v>
      </c>
      <c r="BH70" s="39">
        <v>0.21181128757888065</v>
      </c>
      <c r="BI70" s="39">
        <v>9.5982855736998746E-2</v>
      </c>
      <c r="BJ70" s="39">
        <v>8.8009781172785587E-2</v>
      </c>
      <c r="BK70" s="39">
        <v>2.7818650669096268E-2</v>
      </c>
      <c r="BL70" s="40">
        <v>210247001.60314575</v>
      </c>
      <c r="BM70" s="40">
        <v>1.2459487504640038E-2</v>
      </c>
    </row>
    <row r="71" spans="1:65" x14ac:dyDescent="0.35">
      <c r="A71" s="39">
        <v>70</v>
      </c>
      <c r="B71" s="32" t="s">
        <v>306</v>
      </c>
      <c r="C71" s="32" t="s">
        <v>144</v>
      </c>
      <c r="D71" s="32" t="s">
        <v>9</v>
      </c>
      <c r="E71" s="32" t="s">
        <v>2</v>
      </c>
      <c r="F71" s="39">
        <v>0</v>
      </c>
      <c r="G71" s="39">
        <v>0</v>
      </c>
      <c r="H71" s="39">
        <v>1</v>
      </c>
      <c r="I71" s="39">
        <v>2018</v>
      </c>
      <c r="J71" s="39">
        <v>1</v>
      </c>
      <c r="K71" s="39">
        <v>2013</v>
      </c>
      <c r="L71" s="39">
        <v>1826073739.8252184</v>
      </c>
      <c r="M71" s="39">
        <v>0</v>
      </c>
      <c r="N71" s="39">
        <v>0</v>
      </c>
      <c r="O71" s="39">
        <v>0</v>
      </c>
      <c r="P71" s="39">
        <v>0</v>
      </c>
      <c r="Q71" s="39">
        <v>0</v>
      </c>
      <c r="R71" s="19">
        <v>0</v>
      </c>
      <c r="S71" s="39">
        <v>0</v>
      </c>
      <c r="T71" s="39">
        <v>0</v>
      </c>
      <c r="U71" s="39">
        <v>0</v>
      </c>
      <c r="V71" s="39">
        <v>0</v>
      </c>
      <c r="W71" s="39">
        <v>0</v>
      </c>
      <c r="X71" s="39">
        <v>0</v>
      </c>
      <c r="Y71" s="39">
        <v>0</v>
      </c>
      <c r="Z71" s="39">
        <v>0</v>
      </c>
      <c r="AA71" s="39">
        <v>0</v>
      </c>
      <c r="AB71" s="39" t="s">
        <v>152</v>
      </c>
      <c r="AC71" s="39" t="s">
        <v>152</v>
      </c>
      <c r="AD71" s="39" t="s">
        <v>152</v>
      </c>
      <c r="AE71" s="39" t="s">
        <v>152</v>
      </c>
      <c r="AF71" s="39" t="s">
        <v>152</v>
      </c>
      <c r="AG71" s="39" t="s">
        <v>152</v>
      </c>
      <c r="AH71" s="39">
        <v>0</v>
      </c>
      <c r="AI71" s="39" t="s">
        <v>152</v>
      </c>
      <c r="AJ71" s="39" t="s">
        <v>152</v>
      </c>
      <c r="AK71" s="39" t="s">
        <v>152</v>
      </c>
      <c r="AL71" s="19">
        <v>52339000</v>
      </c>
      <c r="AM71" s="19">
        <v>3327000</v>
      </c>
      <c r="AN71" s="39">
        <v>-49012000</v>
      </c>
      <c r="AO71" s="39">
        <v>55666000</v>
      </c>
      <c r="AP71" s="39">
        <v>494032000</v>
      </c>
      <c r="AQ71" s="39">
        <v>24602000</v>
      </c>
      <c r="AR71" s="39">
        <v>-469430000</v>
      </c>
      <c r="AS71" s="39">
        <v>518634000</v>
      </c>
      <c r="AT71" s="39">
        <v>0.10594253003854001</v>
      </c>
      <c r="AU71" s="39">
        <v>0.13523290789366718</v>
      </c>
      <c r="AV71" s="39">
        <v>1.9772590981852496E-4</v>
      </c>
      <c r="AW71" s="39">
        <v>1.1891054384002093E-5</v>
      </c>
      <c r="AX71" s="39">
        <v>0.1073319527836586</v>
      </c>
      <c r="AY71" s="39">
        <v>3.0483982539132311E-2</v>
      </c>
      <c r="AZ71" s="39">
        <v>16</v>
      </c>
      <c r="BA71" s="39">
        <v>511411700.70763052</v>
      </c>
      <c r="BB71" s="39">
        <v>12</v>
      </c>
      <c r="BC71" s="39">
        <v>169333815.70763054</v>
      </c>
      <c r="BD71" s="39">
        <v>3</v>
      </c>
      <c r="BE71" s="39">
        <v>177077885</v>
      </c>
      <c r="BF71" s="39">
        <v>1</v>
      </c>
      <c r="BG71" s="39">
        <v>165000000</v>
      </c>
      <c r="BH71" s="39">
        <v>0.28006081548304834</v>
      </c>
      <c r="BI71" s="39">
        <v>9.2731094048720195E-2</v>
      </c>
      <c r="BJ71" s="39">
        <v>9.6971924593225303E-2</v>
      </c>
      <c r="BK71" s="39">
        <v>9.0357796841102858E-2</v>
      </c>
      <c r="BL71" s="40">
        <v>30083041.218095914</v>
      </c>
      <c r="BM71" s="40">
        <v>1.6474165616649904E-2</v>
      </c>
    </row>
    <row r="72" spans="1:65" x14ac:dyDescent="0.35">
      <c r="A72" s="39">
        <v>71</v>
      </c>
      <c r="B72" s="32" t="s">
        <v>307</v>
      </c>
      <c r="C72" s="32" t="s">
        <v>46</v>
      </c>
      <c r="D72" s="32" t="s">
        <v>4</v>
      </c>
      <c r="E72" s="32" t="s">
        <v>5</v>
      </c>
      <c r="F72" s="39">
        <v>0</v>
      </c>
      <c r="G72" s="39">
        <v>1</v>
      </c>
      <c r="H72" s="39">
        <v>1</v>
      </c>
      <c r="I72" s="39">
        <v>2016</v>
      </c>
      <c r="J72" s="39">
        <v>0</v>
      </c>
      <c r="K72" s="39" t="s">
        <v>152</v>
      </c>
      <c r="L72" s="39">
        <v>17477255562.258259</v>
      </c>
      <c r="M72" s="39">
        <v>6</v>
      </c>
      <c r="N72" s="39">
        <v>1040000000</v>
      </c>
      <c r="O72" s="39">
        <v>6</v>
      </c>
      <c r="P72" s="39">
        <v>1330000000</v>
      </c>
      <c r="Q72" s="39">
        <v>12</v>
      </c>
      <c r="R72" s="19">
        <v>2370000000</v>
      </c>
      <c r="S72" s="39">
        <v>5.9505910198272588E-2</v>
      </c>
      <c r="T72" s="39">
        <v>7.6098904388175515E-2</v>
      </c>
      <c r="U72" s="39">
        <v>0.1356048145864481</v>
      </c>
      <c r="V72" s="39">
        <v>7.7459910772141247E-4</v>
      </c>
      <c r="W72" s="39">
        <v>1.6726614181150489E-3</v>
      </c>
      <c r="X72" s="39">
        <v>1.1060140095107871E-3</v>
      </c>
      <c r="Y72" s="39">
        <v>139411764.70588234</v>
      </c>
      <c r="Z72" s="39">
        <v>7.9767537992028285E-3</v>
      </c>
      <c r="AA72" s="39">
        <v>1</v>
      </c>
      <c r="AB72" s="39">
        <v>4</v>
      </c>
      <c r="AC72" s="39">
        <v>364000000</v>
      </c>
      <c r="AD72" s="39">
        <v>1</v>
      </c>
      <c r="AE72" s="39">
        <v>100000000</v>
      </c>
      <c r="AF72" s="39">
        <v>0</v>
      </c>
      <c r="AG72" s="39">
        <v>0</v>
      </c>
      <c r="AH72" s="39">
        <v>5</v>
      </c>
      <c r="AI72" s="39">
        <v>464000000</v>
      </c>
      <c r="AJ72" s="39">
        <v>2.6548790703844694E-2</v>
      </c>
      <c r="AK72" s="39">
        <v>1.1640675430121704E-2</v>
      </c>
      <c r="AL72" s="19">
        <v>806568000</v>
      </c>
      <c r="AM72" s="19">
        <v>208386000</v>
      </c>
      <c r="AN72" s="39">
        <v>-598182000</v>
      </c>
      <c r="AO72" s="39">
        <v>1014954000</v>
      </c>
      <c r="AP72" s="39">
        <v>7398894000</v>
      </c>
      <c r="AQ72" s="39">
        <v>2699657000</v>
      </c>
      <c r="AR72" s="39">
        <v>-4699237000</v>
      </c>
      <c r="AS72" s="39">
        <v>10098551000</v>
      </c>
      <c r="AT72" s="39">
        <v>0.1090119685455691</v>
      </c>
      <c r="AU72" s="39">
        <v>7.7189805964239161E-2</v>
      </c>
      <c r="AV72" s="39">
        <v>2.9612515946352172E-3</v>
      </c>
      <c r="AW72" s="39">
        <v>1.3048438421734794E-3</v>
      </c>
      <c r="AX72" s="39">
        <v>0.10050491402182353</v>
      </c>
      <c r="AY72" s="39">
        <v>5.8072847672478417E-2</v>
      </c>
      <c r="AZ72" s="39">
        <v>43</v>
      </c>
      <c r="BA72" s="39">
        <v>452734039.2174657</v>
      </c>
      <c r="BB72" s="39">
        <v>28</v>
      </c>
      <c r="BC72" s="39">
        <v>97553120.836823016</v>
      </c>
      <c r="BD72" s="39">
        <v>12</v>
      </c>
      <c r="BE72" s="39">
        <v>310962176.45045644</v>
      </c>
      <c r="BF72" s="39">
        <v>3</v>
      </c>
      <c r="BG72" s="39">
        <v>44218741.930186108</v>
      </c>
      <c r="BH72" s="39">
        <v>2.5904183732092051E-2</v>
      </c>
      <c r="BI72" s="39">
        <v>5.5817185077665626E-3</v>
      </c>
      <c r="BJ72" s="39">
        <v>1.7792391679731016E-2</v>
      </c>
      <c r="BK72" s="39">
        <v>2.5300735445944666E-3</v>
      </c>
      <c r="BL72" s="40">
        <v>26631414.071615629</v>
      </c>
      <c r="BM72" s="40">
        <v>1.5237755136524736E-3</v>
      </c>
    </row>
    <row r="73" spans="1:65" x14ac:dyDescent="0.35">
      <c r="A73" s="39">
        <v>72</v>
      </c>
      <c r="B73" s="32" t="s">
        <v>308</v>
      </c>
      <c r="C73" s="32" t="s">
        <v>168</v>
      </c>
      <c r="D73" s="32" t="s">
        <v>4</v>
      </c>
      <c r="E73" s="32" t="s">
        <v>13</v>
      </c>
      <c r="F73" s="39">
        <v>2</v>
      </c>
      <c r="G73" s="39">
        <v>0</v>
      </c>
      <c r="H73" s="39">
        <v>0</v>
      </c>
      <c r="I73" s="39" t="s">
        <v>152</v>
      </c>
      <c r="J73" s="39">
        <v>0</v>
      </c>
      <c r="K73" s="39" t="s">
        <v>152</v>
      </c>
      <c r="L73" s="39">
        <v>3888326788627.4448</v>
      </c>
      <c r="M73" s="39">
        <v>72</v>
      </c>
      <c r="N73" s="39">
        <v>48190000000</v>
      </c>
      <c r="O73" s="39">
        <v>0</v>
      </c>
      <c r="P73" s="39">
        <v>0</v>
      </c>
      <c r="Q73" s="39">
        <v>72</v>
      </c>
      <c r="R73" s="19">
        <v>48190000000</v>
      </c>
      <c r="S73" s="39">
        <v>1.2393505643853244E-2</v>
      </c>
      <c r="T73" s="39">
        <v>0</v>
      </c>
      <c r="U73" s="39">
        <v>1.2393505643853244E-2</v>
      </c>
      <c r="V73" s="39">
        <v>3.5892241347206602E-2</v>
      </c>
      <c r="W73" s="39">
        <v>0</v>
      </c>
      <c r="X73" s="39">
        <v>2.2488951526719338E-2</v>
      </c>
      <c r="Y73" s="39">
        <v>2834705882.352941</v>
      </c>
      <c r="Z73" s="39">
        <v>7.2902974375607318E-4</v>
      </c>
      <c r="AA73" s="39">
        <v>2</v>
      </c>
      <c r="AB73" s="39">
        <v>0</v>
      </c>
      <c r="AC73" s="39">
        <v>0</v>
      </c>
      <c r="AD73" s="39">
        <v>0</v>
      </c>
      <c r="AE73" s="39">
        <v>0</v>
      </c>
      <c r="AF73" s="39">
        <v>0</v>
      </c>
      <c r="AG73" s="39">
        <v>0</v>
      </c>
      <c r="AH73" s="39">
        <v>0</v>
      </c>
      <c r="AI73" s="39">
        <v>0</v>
      </c>
      <c r="AJ73" s="39">
        <v>0</v>
      </c>
      <c r="AK73" s="39">
        <v>0</v>
      </c>
      <c r="AL73" s="19">
        <v>123165529000</v>
      </c>
      <c r="AM73" s="19">
        <v>107451431000</v>
      </c>
      <c r="AN73" s="39">
        <v>-15714098000</v>
      </c>
      <c r="AO73" s="39">
        <v>230616960000</v>
      </c>
      <c r="AP73" s="39">
        <v>1236217435000</v>
      </c>
      <c r="AQ73" s="39">
        <v>1486877250000</v>
      </c>
      <c r="AR73" s="39">
        <v>250659815000</v>
      </c>
      <c r="AS73" s="39">
        <v>2723094685000</v>
      </c>
      <c r="AT73" s="39">
        <v>9.9630959338475919E-2</v>
      </c>
      <c r="AU73" s="39">
        <v>7.2266510903976774E-2</v>
      </c>
      <c r="AV73" s="39">
        <v>0.49477000896480033</v>
      </c>
      <c r="AW73" s="39">
        <v>0.71866263889462145</v>
      </c>
      <c r="AX73" s="39">
        <v>8.4689291661556754E-2</v>
      </c>
      <c r="AY73" s="39">
        <v>5.9310076682471013E-2</v>
      </c>
      <c r="AZ73" s="39" t="s">
        <v>152</v>
      </c>
      <c r="BA73" s="39" t="s">
        <v>152</v>
      </c>
      <c r="BB73" s="39" t="s">
        <v>152</v>
      </c>
      <c r="BC73" s="39" t="s">
        <v>152</v>
      </c>
      <c r="BD73" s="39" t="s">
        <v>152</v>
      </c>
      <c r="BE73" s="39" t="s">
        <v>152</v>
      </c>
      <c r="BF73" s="39" t="s">
        <v>152</v>
      </c>
      <c r="BG73" s="39" t="s">
        <v>152</v>
      </c>
      <c r="BH73" s="39">
        <v>0</v>
      </c>
      <c r="BI73" s="39">
        <v>0</v>
      </c>
      <c r="BJ73" s="39">
        <v>0</v>
      </c>
      <c r="BK73" s="39">
        <v>0</v>
      </c>
      <c r="BL73" s="40">
        <v>0</v>
      </c>
      <c r="BM73" s="40">
        <v>0</v>
      </c>
    </row>
    <row r="74" spans="1:65" x14ac:dyDescent="0.35">
      <c r="A74" s="39">
        <v>73</v>
      </c>
      <c r="B74" s="32" t="s">
        <v>309</v>
      </c>
      <c r="C74" s="32" t="s">
        <v>47</v>
      </c>
      <c r="D74" s="32" t="s">
        <v>9</v>
      </c>
      <c r="E74" s="32" t="s">
        <v>10</v>
      </c>
      <c r="F74" s="39">
        <v>0</v>
      </c>
      <c r="G74" s="39">
        <v>0</v>
      </c>
      <c r="H74" s="39">
        <v>1</v>
      </c>
      <c r="I74" s="39">
        <v>2018</v>
      </c>
      <c r="J74" s="39">
        <v>0</v>
      </c>
      <c r="K74" s="39" t="s">
        <v>152</v>
      </c>
      <c r="L74" s="39">
        <v>67234292582.760582</v>
      </c>
      <c r="M74" s="39">
        <v>12</v>
      </c>
      <c r="N74" s="39">
        <v>4550000000</v>
      </c>
      <c r="O74" s="39">
        <v>19</v>
      </c>
      <c r="P74" s="39">
        <v>7970000000</v>
      </c>
      <c r="Q74" s="39">
        <v>31</v>
      </c>
      <c r="R74" s="19">
        <v>12520000000</v>
      </c>
      <c r="S74" s="39">
        <v>6.7673798967978691E-2</v>
      </c>
      <c r="T74" s="39">
        <v>0.11854069841204179</v>
      </c>
      <c r="U74" s="39">
        <v>0.18621449738002047</v>
      </c>
      <c r="V74" s="39">
        <v>3.3888710962811795E-3</v>
      </c>
      <c r="W74" s="39">
        <v>1.0023392107050331E-2</v>
      </c>
      <c r="X74" s="39">
        <v>5.8427406747152133E-3</v>
      </c>
      <c r="Y74" s="39">
        <v>736470588.2352941</v>
      </c>
      <c r="Z74" s="39">
        <v>1.0953793963530616E-2</v>
      </c>
      <c r="AA74" s="39">
        <v>2</v>
      </c>
      <c r="AB74" s="39">
        <v>0</v>
      </c>
      <c r="AC74" s="39">
        <v>0</v>
      </c>
      <c r="AD74" s="39">
        <v>0</v>
      </c>
      <c r="AE74" s="39">
        <v>0</v>
      </c>
      <c r="AF74" s="39">
        <v>0</v>
      </c>
      <c r="AG74" s="39">
        <v>0</v>
      </c>
      <c r="AH74" s="39">
        <v>0</v>
      </c>
      <c r="AI74" s="39">
        <v>0</v>
      </c>
      <c r="AJ74" s="39">
        <v>0</v>
      </c>
      <c r="AK74" s="39">
        <v>0</v>
      </c>
      <c r="AL74" s="19">
        <v>1895911</v>
      </c>
      <c r="AM74" s="19">
        <v>2808597</v>
      </c>
      <c r="AN74" s="39">
        <v>912686</v>
      </c>
      <c r="AO74" s="39">
        <v>4704508</v>
      </c>
      <c r="AP74" s="39">
        <v>10439795000</v>
      </c>
      <c r="AQ74" s="39">
        <v>16768275000</v>
      </c>
      <c r="AR74" s="39">
        <v>6328480000</v>
      </c>
      <c r="AS74" s="39">
        <v>27208070000</v>
      </c>
      <c r="AT74" s="39">
        <v>1.8160423648165506E-4</v>
      </c>
      <c r="AU74" s="39">
        <v>1.6749468863076257E-4</v>
      </c>
      <c r="AV74" s="39">
        <v>4.1783082162570187E-3</v>
      </c>
      <c r="AW74" s="39">
        <v>8.1047260365377898E-3</v>
      </c>
      <c r="AX74" s="39">
        <v>1.7290855249931363E-4</v>
      </c>
      <c r="AY74" s="39">
        <v>6.9971852447307131E-5</v>
      </c>
      <c r="AZ74" s="39">
        <v>156</v>
      </c>
      <c r="BA74" s="39">
        <v>33441115748.742939</v>
      </c>
      <c r="BB74" s="39">
        <v>118</v>
      </c>
      <c r="BC74" s="39">
        <v>5949626326.3930635</v>
      </c>
      <c r="BD74" s="39">
        <v>27</v>
      </c>
      <c r="BE74" s="39">
        <v>12773336941.599604</v>
      </c>
      <c r="BF74" s="39">
        <v>11</v>
      </c>
      <c r="BG74" s="39">
        <v>14718152480.750273</v>
      </c>
      <c r="BH74" s="39">
        <v>0.49738183394402979</v>
      </c>
      <c r="BI74" s="39">
        <v>8.8490948559762139E-2</v>
      </c>
      <c r="BJ74" s="39">
        <v>0.18998246952441039</v>
      </c>
      <c r="BK74" s="39">
        <v>0.21890841585985729</v>
      </c>
      <c r="BL74" s="40">
        <v>1967124455.8084083</v>
      </c>
      <c r="BM74" s="40">
        <v>2.9257754937884108E-2</v>
      </c>
    </row>
    <row r="75" spans="1:65" x14ac:dyDescent="0.35">
      <c r="A75" s="39">
        <v>74</v>
      </c>
      <c r="B75" s="32" t="s">
        <v>310</v>
      </c>
      <c r="C75" s="32" t="s">
        <v>48</v>
      </c>
      <c r="D75" s="32" t="s">
        <v>4</v>
      </c>
      <c r="E75" s="32" t="s">
        <v>13</v>
      </c>
      <c r="F75" s="39">
        <v>3</v>
      </c>
      <c r="G75" s="39">
        <v>0</v>
      </c>
      <c r="H75" s="39">
        <v>1</v>
      </c>
      <c r="I75" s="39">
        <v>2018</v>
      </c>
      <c r="J75" s="39">
        <v>0</v>
      </c>
      <c r="K75" s="39" t="s">
        <v>152</v>
      </c>
      <c r="L75" s="39">
        <v>205326724570.22711</v>
      </c>
      <c r="M75" s="39">
        <v>3</v>
      </c>
      <c r="N75" s="39">
        <v>6040000000</v>
      </c>
      <c r="O75" s="39">
        <v>8</v>
      </c>
      <c r="P75" s="39">
        <v>4500000000</v>
      </c>
      <c r="Q75" s="39">
        <v>11</v>
      </c>
      <c r="R75" s="19">
        <v>10540000000</v>
      </c>
      <c r="S75" s="39">
        <v>2.9416531202367483E-2</v>
      </c>
      <c r="T75" s="39">
        <v>2.1916289803088358E-2</v>
      </c>
      <c r="U75" s="39">
        <v>5.1332821005455838E-2</v>
      </c>
      <c r="V75" s="39">
        <v>4.4986332794589726E-3</v>
      </c>
      <c r="W75" s="39">
        <v>5.6593807379832486E-3</v>
      </c>
      <c r="X75" s="39">
        <v>4.9187289705669608E-3</v>
      </c>
      <c r="Y75" s="39">
        <v>620000000</v>
      </c>
      <c r="Z75" s="39">
        <v>3.0195777062032845E-3</v>
      </c>
      <c r="AA75" s="39">
        <v>2</v>
      </c>
      <c r="AB75" s="39">
        <v>0</v>
      </c>
      <c r="AC75" s="39">
        <v>0</v>
      </c>
      <c r="AD75" s="39">
        <v>0</v>
      </c>
      <c r="AE75" s="39">
        <v>0</v>
      </c>
      <c r="AF75" s="39">
        <v>0</v>
      </c>
      <c r="AG75" s="39">
        <v>0</v>
      </c>
      <c r="AH75" s="39">
        <v>0</v>
      </c>
      <c r="AI75" s="39">
        <v>0</v>
      </c>
      <c r="AJ75" s="39">
        <v>0</v>
      </c>
      <c r="AK75" s="39">
        <v>0</v>
      </c>
      <c r="AL75" s="19">
        <v>4546496000</v>
      </c>
      <c r="AM75" s="19">
        <v>999093000</v>
      </c>
      <c r="AN75" s="39">
        <v>-3547403000</v>
      </c>
      <c r="AO75" s="39">
        <v>5545589000</v>
      </c>
      <c r="AP75" s="39">
        <v>62198045000</v>
      </c>
      <c r="AQ75" s="39">
        <v>37885527000</v>
      </c>
      <c r="AR75" s="39">
        <v>-24312518000</v>
      </c>
      <c r="AS75" s="39">
        <v>100083572000</v>
      </c>
      <c r="AT75" s="39">
        <v>7.3097088501736671E-2</v>
      </c>
      <c r="AU75" s="39">
        <v>2.6371363396898242E-2</v>
      </c>
      <c r="AV75" s="39">
        <v>2.4893458392489874E-2</v>
      </c>
      <c r="AW75" s="39">
        <v>1.8311473129159404E-2</v>
      </c>
      <c r="AX75" s="39">
        <v>5.5409583103208988E-2</v>
      </c>
      <c r="AY75" s="39">
        <v>2.7008607922848656E-2</v>
      </c>
      <c r="AZ75" s="39" t="s">
        <v>152</v>
      </c>
      <c r="BA75" s="39" t="s">
        <v>152</v>
      </c>
      <c r="BB75" s="39" t="s">
        <v>152</v>
      </c>
      <c r="BC75" s="39" t="s">
        <v>152</v>
      </c>
      <c r="BD75" s="39" t="s">
        <v>152</v>
      </c>
      <c r="BE75" s="39" t="s">
        <v>152</v>
      </c>
      <c r="BF75" s="39" t="s">
        <v>152</v>
      </c>
      <c r="BG75" s="39" t="s">
        <v>152</v>
      </c>
      <c r="BH75" s="39">
        <v>0</v>
      </c>
      <c r="BI75" s="39">
        <v>0</v>
      </c>
      <c r="BJ75" s="39">
        <v>0</v>
      </c>
      <c r="BK75" s="39">
        <v>0</v>
      </c>
      <c r="BL75" s="40">
        <v>0</v>
      </c>
      <c r="BM75" s="40">
        <v>0</v>
      </c>
    </row>
    <row r="76" spans="1:65" x14ac:dyDescent="0.35">
      <c r="A76" s="39">
        <v>75</v>
      </c>
      <c r="B76" s="32" t="s">
        <v>311</v>
      </c>
      <c r="C76" s="32" t="s">
        <v>197</v>
      </c>
      <c r="D76" s="32" t="s">
        <v>4</v>
      </c>
      <c r="E76" s="32" t="s">
        <v>13</v>
      </c>
      <c r="F76" s="39">
        <v>0</v>
      </c>
      <c r="G76" s="39">
        <v>0</v>
      </c>
      <c r="H76" s="39">
        <v>0</v>
      </c>
      <c r="I76" s="39" t="s">
        <v>152</v>
      </c>
      <c r="J76" s="39">
        <v>0</v>
      </c>
      <c r="K76" s="39" t="s">
        <v>152</v>
      </c>
      <c r="L76" s="39" t="s">
        <v>152</v>
      </c>
      <c r="M76" s="39">
        <v>0</v>
      </c>
      <c r="N76" s="39">
        <v>0</v>
      </c>
      <c r="O76" s="39">
        <v>0</v>
      </c>
      <c r="P76" s="39">
        <v>0</v>
      </c>
      <c r="Q76" s="39">
        <v>0</v>
      </c>
      <c r="R76" s="19">
        <v>0</v>
      </c>
      <c r="S76" s="39">
        <v>0</v>
      </c>
      <c r="T76" s="39">
        <v>0</v>
      </c>
      <c r="U76" s="39">
        <v>0</v>
      </c>
      <c r="V76" s="39">
        <v>0</v>
      </c>
      <c r="W76" s="39">
        <v>0</v>
      </c>
      <c r="X76" s="39">
        <v>0</v>
      </c>
      <c r="Y76" s="39">
        <v>0</v>
      </c>
      <c r="Z76" s="39">
        <v>0</v>
      </c>
      <c r="AA76" s="39">
        <v>0</v>
      </c>
      <c r="AB76" s="39" t="s">
        <v>152</v>
      </c>
      <c r="AC76" s="39" t="s">
        <v>152</v>
      </c>
      <c r="AD76" s="39" t="s">
        <v>152</v>
      </c>
      <c r="AE76" s="39" t="s">
        <v>152</v>
      </c>
      <c r="AF76" s="39" t="s">
        <v>152</v>
      </c>
      <c r="AG76" s="39" t="s">
        <v>152</v>
      </c>
      <c r="AH76" s="39">
        <v>0</v>
      </c>
      <c r="AI76" s="39" t="s">
        <v>152</v>
      </c>
      <c r="AJ76" s="39" t="s">
        <v>152</v>
      </c>
      <c r="AK76" s="39" t="s">
        <v>152</v>
      </c>
      <c r="AL76" s="19">
        <v>809000</v>
      </c>
      <c r="AM76" s="19">
        <v>273714000</v>
      </c>
      <c r="AN76" s="39">
        <v>272905000</v>
      </c>
      <c r="AO76" s="39">
        <v>274523000</v>
      </c>
      <c r="AP76" s="39">
        <v>1015021000</v>
      </c>
      <c r="AQ76" s="39">
        <v>1294505000</v>
      </c>
      <c r="AR76" s="39">
        <v>279484000</v>
      </c>
      <c r="AS76" s="39">
        <v>2309526000</v>
      </c>
      <c r="AT76" s="39">
        <v>7.9702784474409885E-4</v>
      </c>
      <c r="AU76" s="39">
        <v>0.2114429839977443</v>
      </c>
      <c r="AV76" s="39">
        <v>4.0624079150724856E-4</v>
      </c>
      <c r="AW76" s="39">
        <v>6.2568203216659742E-4</v>
      </c>
      <c r="AX76" s="39">
        <v>0.11886551612755171</v>
      </c>
      <c r="AY76" s="39" t="s">
        <v>152</v>
      </c>
      <c r="AZ76" s="39" t="s">
        <v>152</v>
      </c>
      <c r="BA76" s="39" t="s">
        <v>152</v>
      </c>
      <c r="BB76" s="39" t="s">
        <v>152</v>
      </c>
      <c r="BC76" s="39" t="s">
        <v>152</v>
      </c>
      <c r="BD76" s="39" t="s">
        <v>152</v>
      </c>
      <c r="BE76" s="39" t="s">
        <v>152</v>
      </c>
      <c r="BF76" s="39" t="s">
        <v>152</v>
      </c>
      <c r="BG76" s="39" t="s">
        <v>152</v>
      </c>
      <c r="BH76" s="39">
        <v>0</v>
      </c>
      <c r="BI76" s="39">
        <v>0</v>
      </c>
      <c r="BJ76" s="39">
        <v>0</v>
      </c>
      <c r="BK76" s="39">
        <v>0</v>
      </c>
      <c r="BL76" s="40">
        <v>0</v>
      </c>
      <c r="BM76" s="40">
        <v>0</v>
      </c>
    </row>
    <row r="77" spans="1:65" x14ac:dyDescent="0.35">
      <c r="A77" s="39">
        <v>76</v>
      </c>
      <c r="B77" s="32" t="s">
        <v>312</v>
      </c>
      <c r="C77" s="32" t="s">
        <v>49</v>
      </c>
      <c r="D77" s="32" t="s">
        <v>12</v>
      </c>
      <c r="E77" s="32" t="s">
        <v>5</v>
      </c>
      <c r="F77" s="39">
        <v>0</v>
      </c>
      <c r="G77" s="39">
        <v>0</v>
      </c>
      <c r="H77" s="39">
        <v>1</v>
      </c>
      <c r="I77" s="39">
        <v>2018</v>
      </c>
      <c r="J77" s="39">
        <v>1</v>
      </c>
      <c r="K77" s="39">
        <v>2005</v>
      </c>
      <c r="L77" s="39">
        <v>1211403703.7037036</v>
      </c>
      <c r="M77" s="39">
        <v>0</v>
      </c>
      <c r="N77" s="39">
        <v>0</v>
      </c>
      <c r="O77" s="39">
        <v>0</v>
      </c>
      <c r="P77" s="39">
        <v>0</v>
      </c>
      <c r="Q77" s="39">
        <v>0</v>
      </c>
      <c r="R77" s="19">
        <v>0</v>
      </c>
      <c r="S77" s="39">
        <v>0</v>
      </c>
      <c r="T77" s="39">
        <v>0</v>
      </c>
      <c r="U77" s="39">
        <v>0</v>
      </c>
      <c r="V77" s="39">
        <v>0</v>
      </c>
      <c r="W77" s="39">
        <v>0</v>
      </c>
      <c r="X77" s="39">
        <v>0</v>
      </c>
      <c r="Y77" s="39">
        <v>0</v>
      </c>
      <c r="Z77" s="39">
        <v>0</v>
      </c>
      <c r="AA77" s="39">
        <v>0</v>
      </c>
      <c r="AB77" s="39" t="s">
        <v>152</v>
      </c>
      <c r="AC77" s="39" t="s">
        <v>152</v>
      </c>
      <c r="AD77" s="39" t="s">
        <v>152</v>
      </c>
      <c r="AE77" s="39" t="s">
        <v>152</v>
      </c>
      <c r="AF77" s="39" t="s">
        <v>152</v>
      </c>
      <c r="AG77" s="39" t="s">
        <v>152</v>
      </c>
      <c r="AH77" s="39">
        <v>0</v>
      </c>
      <c r="AI77" s="39" t="s">
        <v>152</v>
      </c>
      <c r="AJ77" s="39" t="s">
        <v>152</v>
      </c>
      <c r="AK77" s="39" t="s">
        <v>152</v>
      </c>
      <c r="AL77" s="19">
        <v>15187000</v>
      </c>
      <c r="AM77" s="19">
        <v>17000</v>
      </c>
      <c r="AN77" s="39">
        <v>-15170000</v>
      </c>
      <c r="AO77" s="39">
        <v>15204000</v>
      </c>
      <c r="AP77" s="39">
        <v>479835000</v>
      </c>
      <c r="AQ77" s="39">
        <v>34481000</v>
      </c>
      <c r="AR77" s="39">
        <v>-445354000</v>
      </c>
      <c r="AS77" s="39">
        <v>514316000</v>
      </c>
      <c r="AT77" s="39">
        <v>3.1650463180051477E-2</v>
      </c>
      <c r="AU77" s="39">
        <v>4.9302514428235843E-4</v>
      </c>
      <c r="AV77" s="39">
        <v>1.9204385938111686E-4</v>
      </c>
      <c r="AW77" s="39">
        <v>1.6665939607136665E-5</v>
      </c>
      <c r="AX77" s="39">
        <v>2.9561592483998166E-2</v>
      </c>
      <c r="AY77" s="39">
        <v>1.2550729334503286E-2</v>
      </c>
      <c r="AZ77" s="39">
        <v>93</v>
      </c>
      <c r="BA77" s="39">
        <v>534861952.30882555</v>
      </c>
      <c r="BB77" s="39">
        <v>86</v>
      </c>
      <c r="BC77" s="39">
        <v>521107985.90035743</v>
      </c>
      <c r="BD77" s="39">
        <v>6</v>
      </c>
      <c r="BE77" s="39">
        <v>5096676.5237709163</v>
      </c>
      <c r="BF77" s="39">
        <v>1</v>
      </c>
      <c r="BG77" s="39">
        <v>8657289.8846972194</v>
      </c>
      <c r="BH77" s="39">
        <v>0.44152246742647161</v>
      </c>
      <c r="BI77" s="39">
        <v>0.43016872435435022</v>
      </c>
      <c r="BJ77" s="39">
        <v>4.2072485895399813E-3</v>
      </c>
      <c r="BK77" s="39">
        <v>7.1464944825814234E-3</v>
      </c>
      <c r="BL77" s="40">
        <v>31462467.782872092</v>
      </c>
      <c r="BM77" s="40">
        <v>2.5971909848615977E-2</v>
      </c>
    </row>
    <row r="78" spans="1:65" x14ac:dyDescent="0.35">
      <c r="A78" s="39">
        <v>77</v>
      </c>
      <c r="B78" s="32" t="s">
        <v>454</v>
      </c>
      <c r="C78" s="32" t="s">
        <v>447</v>
      </c>
      <c r="D78" s="32" t="s">
        <v>23</v>
      </c>
      <c r="E78" s="32" t="s">
        <v>13</v>
      </c>
      <c r="F78" s="39">
        <v>0</v>
      </c>
      <c r="G78" s="39">
        <v>0</v>
      </c>
      <c r="H78" s="39">
        <v>0</v>
      </c>
      <c r="I78" s="39" t="s">
        <v>152</v>
      </c>
      <c r="J78" s="39">
        <v>0</v>
      </c>
      <c r="K78" s="39" t="s">
        <v>152</v>
      </c>
      <c r="L78" s="39">
        <v>6311000000</v>
      </c>
      <c r="M78" s="39">
        <v>0</v>
      </c>
      <c r="N78" s="39">
        <v>0</v>
      </c>
      <c r="O78" s="39">
        <v>0</v>
      </c>
      <c r="P78" s="39">
        <v>0</v>
      </c>
      <c r="Q78" s="39">
        <v>0</v>
      </c>
      <c r="R78" s="19">
        <v>0</v>
      </c>
      <c r="S78" s="39">
        <v>0</v>
      </c>
      <c r="T78" s="39">
        <v>0</v>
      </c>
      <c r="U78" s="39">
        <v>0</v>
      </c>
      <c r="V78" s="39">
        <v>0</v>
      </c>
      <c r="W78" s="39">
        <v>0</v>
      </c>
      <c r="X78" s="39">
        <v>0</v>
      </c>
      <c r="Y78" s="39">
        <v>0</v>
      </c>
      <c r="Z78" s="39">
        <v>0</v>
      </c>
      <c r="AA78" s="39">
        <v>0</v>
      </c>
      <c r="AB78" s="39" t="s">
        <v>152</v>
      </c>
      <c r="AC78" s="39" t="s">
        <v>152</v>
      </c>
      <c r="AD78" s="39" t="s">
        <v>152</v>
      </c>
      <c r="AE78" s="39" t="s">
        <v>152</v>
      </c>
      <c r="AF78" s="39" t="s">
        <v>152</v>
      </c>
      <c r="AG78" s="39" t="s">
        <v>152</v>
      </c>
      <c r="AH78" s="39">
        <v>0</v>
      </c>
      <c r="AI78" s="39" t="s">
        <v>152</v>
      </c>
      <c r="AJ78" s="39" t="s">
        <v>152</v>
      </c>
      <c r="AK78" s="39" t="s">
        <v>152</v>
      </c>
      <c r="AL78" s="19" t="s">
        <v>152</v>
      </c>
      <c r="AM78" s="19" t="s">
        <v>152</v>
      </c>
      <c r="AN78" s="39" t="s">
        <v>152</v>
      </c>
      <c r="AO78" s="39" t="s">
        <v>152</v>
      </c>
      <c r="AP78" s="39">
        <v>0</v>
      </c>
      <c r="AQ78" s="39">
        <v>717000</v>
      </c>
      <c r="AR78" s="39">
        <v>717000</v>
      </c>
      <c r="AS78" s="39">
        <v>717000</v>
      </c>
      <c r="AT78" s="39" t="s">
        <v>152</v>
      </c>
      <c r="AU78" s="39" t="s">
        <v>152</v>
      </c>
      <c r="AV78" s="39" t="s">
        <v>152</v>
      </c>
      <c r="AW78" s="39" t="s">
        <v>152</v>
      </c>
      <c r="AX78" s="39" t="s">
        <v>152</v>
      </c>
      <c r="AY78" s="39" t="s">
        <v>152</v>
      </c>
      <c r="AZ78" s="39">
        <v>1</v>
      </c>
      <c r="BA78" s="39">
        <v>0</v>
      </c>
      <c r="BB78" s="39">
        <v>0</v>
      </c>
      <c r="BC78" s="39">
        <v>0</v>
      </c>
      <c r="BD78" s="39">
        <v>1</v>
      </c>
      <c r="BE78" s="39">
        <v>0</v>
      </c>
      <c r="BF78" s="39">
        <v>0</v>
      </c>
      <c r="BG78" s="39">
        <v>0</v>
      </c>
      <c r="BH78" s="39">
        <v>0</v>
      </c>
      <c r="BI78" s="39">
        <v>0</v>
      </c>
      <c r="BJ78" s="39">
        <v>0</v>
      </c>
      <c r="BK78" s="39">
        <v>0</v>
      </c>
      <c r="BL78" s="40">
        <v>0</v>
      </c>
      <c r="BM78" s="40">
        <v>0</v>
      </c>
    </row>
    <row r="79" spans="1:65" x14ac:dyDescent="0.35">
      <c r="A79" s="39">
        <v>78</v>
      </c>
      <c r="B79" s="32" t="s">
        <v>313</v>
      </c>
      <c r="C79" s="32" t="s">
        <v>160</v>
      </c>
      <c r="D79" s="32" t="s">
        <v>12</v>
      </c>
      <c r="E79" s="32" t="s">
        <v>5</v>
      </c>
      <c r="F79" s="39">
        <v>0</v>
      </c>
      <c r="G79" s="39">
        <v>0</v>
      </c>
      <c r="H79" s="39">
        <v>0</v>
      </c>
      <c r="I79" s="39" t="s">
        <v>152</v>
      </c>
      <c r="J79" s="39">
        <v>2</v>
      </c>
      <c r="K79" s="39" t="s">
        <v>152</v>
      </c>
      <c r="L79" s="39">
        <v>77020015201.320053</v>
      </c>
      <c r="M79" s="39">
        <v>1</v>
      </c>
      <c r="N79" s="39">
        <v>700000000</v>
      </c>
      <c r="O79" s="39">
        <v>0</v>
      </c>
      <c r="P79" s="39">
        <v>0</v>
      </c>
      <c r="Q79" s="39">
        <v>1</v>
      </c>
      <c r="R79" s="19">
        <v>700000000</v>
      </c>
      <c r="S79" s="39">
        <v>9.0885466351868834E-3</v>
      </c>
      <c r="T79" s="39">
        <v>0</v>
      </c>
      <c r="U79" s="39">
        <v>9.0885466351868834E-3</v>
      </c>
      <c r="V79" s="39">
        <v>5.2136478404325834E-4</v>
      </c>
      <c r="W79" s="39">
        <v>0</v>
      </c>
      <c r="X79" s="39">
        <v>3.2667080449685698E-4</v>
      </c>
      <c r="Y79" s="39">
        <v>41176470.588235296</v>
      </c>
      <c r="Z79" s="39">
        <v>5.346203903051108E-4</v>
      </c>
      <c r="AA79" s="39">
        <v>0</v>
      </c>
      <c r="AB79" s="39" t="s">
        <v>152</v>
      </c>
      <c r="AC79" s="39" t="s">
        <v>152</v>
      </c>
      <c r="AD79" s="39" t="s">
        <v>152</v>
      </c>
      <c r="AE79" s="39" t="s">
        <v>152</v>
      </c>
      <c r="AF79" s="39" t="s">
        <v>152</v>
      </c>
      <c r="AG79" s="39" t="s">
        <v>152</v>
      </c>
      <c r="AH79" s="39">
        <v>0</v>
      </c>
      <c r="AI79" s="39" t="s">
        <v>152</v>
      </c>
      <c r="AJ79" s="39" t="s">
        <v>152</v>
      </c>
      <c r="AK79" s="39" t="s">
        <v>152</v>
      </c>
      <c r="AL79" s="19">
        <v>2228910000</v>
      </c>
      <c r="AM79" s="19">
        <v>189004000</v>
      </c>
      <c r="AN79" s="39">
        <v>-2039906000</v>
      </c>
      <c r="AO79" s="39">
        <v>2417914000</v>
      </c>
      <c r="AP79" s="39">
        <v>19881010000</v>
      </c>
      <c r="AQ79" s="39">
        <v>11183088000</v>
      </c>
      <c r="AR79" s="39">
        <v>-8697922000</v>
      </c>
      <c r="AS79" s="39">
        <v>31064098000</v>
      </c>
      <c r="AT79" s="39">
        <v>0.11211251339846416</v>
      </c>
      <c r="AU79" s="39">
        <v>1.6900877467833572E-2</v>
      </c>
      <c r="AV79" s="39">
        <v>7.9569558052134132E-3</v>
      </c>
      <c r="AW79" s="39">
        <v>5.4051990728022602E-3</v>
      </c>
      <c r="AX79" s="39">
        <v>7.7836285476565265E-2</v>
      </c>
      <c r="AY79" s="39">
        <v>3.1393320212673229E-2</v>
      </c>
      <c r="AZ79" s="39">
        <v>0</v>
      </c>
      <c r="BA79" s="39" t="s">
        <v>152</v>
      </c>
      <c r="BB79" s="39" t="s">
        <v>152</v>
      </c>
      <c r="BC79" s="39" t="s">
        <v>152</v>
      </c>
      <c r="BD79" s="39" t="s">
        <v>152</v>
      </c>
      <c r="BE79" s="39" t="s">
        <v>152</v>
      </c>
      <c r="BF79" s="39" t="s">
        <v>152</v>
      </c>
      <c r="BG79" s="39" t="s">
        <v>152</v>
      </c>
      <c r="BH79" s="39">
        <v>0</v>
      </c>
      <c r="BI79" s="39">
        <v>0</v>
      </c>
      <c r="BJ79" s="39">
        <v>0</v>
      </c>
      <c r="BK79" s="39">
        <v>0</v>
      </c>
      <c r="BL79" s="40">
        <v>0</v>
      </c>
      <c r="BM79" s="40">
        <v>0</v>
      </c>
    </row>
    <row r="80" spans="1:65" x14ac:dyDescent="0.35">
      <c r="A80" s="39">
        <v>79</v>
      </c>
      <c r="B80" s="32" t="s">
        <v>314</v>
      </c>
      <c r="C80" s="32" t="s">
        <v>50</v>
      </c>
      <c r="D80" s="32" t="s">
        <v>9</v>
      </c>
      <c r="E80" s="32" t="s">
        <v>2</v>
      </c>
      <c r="F80" s="39">
        <v>0</v>
      </c>
      <c r="G80" s="39">
        <v>0</v>
      </c>
      <c r="H80" s="39">
        <v>1</v>
      </c>
      <c r="I80" s="39">
        <v>2018</v>
      </c>
      <c r="J80" s="39">
        <v>0</v>
      </c>
      <c r="K80" s="39" t="s">
        <v>152</v>
      </c>
      <c r="L80" s="39">
        <v>13513809258.208292</v>
      </c>
      <c r="M80" s="39">
        <v>2</v>
      </c>
      <c r="N80" s="39">
        <v>1800000000</v>
      </c>
      <c r="O80" s="39">
        <v>16</v>
      </c>
      <c r="P80" s="39">
        <v>11010000000</v>
      </c>
      <c r="Q80" s="39">
        <v>18</v>
      </c>
      <c r="R80" s="19">
        <v>12810000000</v>
      </c>
      <c r="S80" s="39">
        <v>0.13319708496748831</v>
      </c>
      <c r="T80" s="39">
        <v>0.81472216971780342</v>
      </c>
      <c r="U80" s="39">
        <v>0.94791925468529181</v>
      </c>
      <c r="V80" s="39">
        <v>1.3406523018255215E-3</v>
      </c>
      <c r="W80" s="39">
        <v>1.3846618205599013E-2</v>
      </c>
      <c r="X80" s="39">
        <v>5.9780757222924821E-3</v>
      </c>
      <c r="Y80" s="39">
        <v>753529411.7647059</v>
      </c>
      <c r="Z80" s="39">
        <v>5.575995615795834E-2</v>
      </c>
      <c r="AA80" s="39">
        <v>2</v>
      </c>
      <c r="AB80" s="39">
        <v>0</v>
      </c>
      <c r="AC80" s="39">
        <v>0</v>
      </c>
      <c r="AD80" s="39">
        <v>0</v>
      </c>
      <c r="AE80" s="39">
        <v>0</v>
      </c>
      <c r="AF80" s="39">
        <v>0</v>
      </c>
      <c r="AG80" s="39">
        <v>0</v>
      </c>
      <c r="AH80" s="39">
        <v>0</v>
      </c>
      <c r="AI80" s="39">
        <v>0</v>
      </c>
      <c r="AJ80" s="39">
        <v>0</v>
      </c>
      <c r="AK80" s="39">
        <v>0</v>
      </c>
      <c r="AL80" s="19">
        <v>1718196000</v>
      </c>
      <c r="AM80" s="19">
        <v>2504860000</v>
      </c>
      <c r="AN80" s="39">
        <v>786664000</v>
      </c>
      <c r="AO80" s="39">
        <v>4223056000</v>
      </c>
      <c r="AP80" s="39">
        <v>4499351000</v>
      </c>
      <c r="AQ80" s="39">
        <v>6696489000</v>
      </c>
      <c r="AR80" s="39">
        <v>2197138000</v>
      </c>
      <c r="AS80" s="39">
        <v>11195840000</v>
      </c>
      <c r="AT80" s="39">
        <v>0.38187640839756665</v>
      </c>
      <c r="AU80" s="39">
        <v>0.3740557178545354</v>
      </c>
      <c r="AV80" s="39">
        <v>1.8007705372686186E-3</v>
      </c>
      <c r="AW80" s="39">
        <v>3.2366602260333224E-3</v>
      </c>
      <c r="AX80" s="39">
        <v>0.37719867379312316</v>
      </c>
      <c r="AY80" s="39">
        <v>0.31249930491914518</v>
      </c>
      <c r="AZ80" s="39">
        <v>101</v>
      </c>
      <c r="BA80" s="39">
        <v>22998381265.191792</v>
      </c>
      <c r="BB80" s="39">
        <v>89</v>
      </c>
      <c r="BC80" s="39">
        <v>22130339937.752663</v>
      </c>
      <c r="BD80" s="39">
        <v>7</v>
      </c>
      <c r="BE80" s="39">
        <v>579789711.17455518</v>
      </c>
      <c r="BF80" s="39">
        <v>5</v>
      </c>
      <c r="BG80" s="39">
        <v>288251616.2645728</v>
      </c>
      <c r="BH80" s="39">
        <v>1.7018429686080234</v>
      </c>
      <c r="BI80" s="39">
        <v>1.6376093161379119</v>
      </c>
      <c r="BJ80" s="39">
        <v>4.2903499679218186E-2</v>
      </c>
      <c r="BK80" s="39">
        <v>2.1330152790893411E-2</v>
      </c>
      <c r="BL80" s="40">
        <v>1352845956.7759876</v>
      </c>
      <c r="BM80" s="40">
        <v>0.10010840991811902</v>
      </c>
    </row>
    <row r="81" spans="1:65" x14ac:dyDescent="0.35">
      <c r="A81" s="39">
        <v>80</v>
      </c>
      <c r="B81" s="32" t="s">
        <v>315</v>
      </c>
      <c r="C81" s="32" t="s">
        <v>198</v>
      </c>
      <c r="D81" s="32" t="s">
        <v>9</v>
      </c>
      <c r="E81" s="32" t="s">
        <v>2</v>
      </c>
      <c r="F81" s="39">
        <v>0</v>
      </c>
      <c r="G81" s="39">
        <v>0</v>
      </c>
      <c r="H81" s="39">
        <v>0</v>
      </c>
      <c r="I81" s="39" t="s">
        <v>152</v>
      </c>
      <c r="J81" s="39">
        <v>0</v>
      </c>
      <c r="K81" s="39" t="s">
        <v>152</v>
      </c>
      <c r="L81" s="39">
        <v>1439638443.3813329</v>
      </c>
      <c r="M81" s="39">
        <v>2</v>
      </c>
      <c r="N81" s="39">
        <v>450000000</v>
      </c>
      <c r="O81" s="39">
        <v>0</v>
      </c>
      <c r="P81" s="39">
        <v>0</v>
      </c>
      <c r="Q81" s="39">
        <v>2</v>
      </c>
      <c r="R81" s="19">
        <v>450000000</v>
      </c>
      <c r="S81" s="39">
        <v>0.31257848251333725</v>
      </c>
      <c r="T81" s="39">
        <v>0</v>
      </c>
      <c r="U81" s="39">
        <v>0.31257848251333725</v>
      </c>
      <c r="V81" s="39">
        <v>3.3516307545638038E-4</v>
      </c>
      <c r="W81" s="39">
        <v>0</v>
      </c>
      <c r="X81" s="39">
        <v>2.1000266003369376E-4</v>
      </c>
      <c r="Y81" s="39">
        <v>26470588.235294119</v>
      </c>
      <c r="Z81" s="39">
        <v>1.8386969559608075E-2</v>
      </c>
      <c r="AA81" s="39">
        <v>0</v>
      </c>
      <c r="AB81" s="39" t="s">
        <v>152</v>
      </c>
      <c r="AC81" s="39" t="s">
        <v>152</v>
      </c>
      <c r="AD81" s="39" t="s">
        <v>152</v>
      </c>
      <c r="AE81" s="39" t="s">
        <v>152</v>
      </c>
      <c r="AF81" s="39" t="s">
        <v>152</v>
      </c>
      <c r="AG81" s="39" t="s">
        <v>152</v>
      </c>
      <c r="AH81" s="39">
        <v>0</v>
      </c>
      <c r="AI81" s="39" t="s">
        <v>152</v>
      </c>
      <c r="AJ81" s="39" t="s">
        <v>152</v>
      </c>
      <c r="AK81" s="39" t="s">
        <v>152</v>
      </c>
      <c r="AL81" s="19">
        <v>31924000</v>
      </c>
      <c r="AM81" s="19">
        <v>8402000</v>
      </c>
      <c r="AN81" s="39">
        <v>-23522000</v>
      </c>
      <c r="AO81" s="39">
        <v>40326000</v>
      </c>
      <c r="AP81" s="39">
        <v>335683000</v>
      </c>
      <c r="AQ81" s="39">
        <v>249796000</v>
      </c>
      <c r="AR81" s="39">
        <v>-85887000</v>
      </c>
      <c r="AS81" s="39">
        <v>585479000</v>
      </c>
      <c r="AT81" s="39">
        <v>9.5101628619858616E-2</v>
      </c>
      <c r="AU81" s="39">
        <v>3.3635446524363878E-2</v>
      </c>
      <c r="AV81" s="39">
        <v>1.3435005543287057E-4</v>
      </c>
      <c r="AW81" s="39">
        <v>1.2073562396984747E-4</v>
      </c>
      <c r="AX81" s="39">
        <v>6.887693666211768E-2</v>
      </c>
      <c r="AY81" s="39">
        <v>2.8011199746295193E-2</v>
      </c>
      <c r="AZ81" s="39">
        <v>78</v>
      </c>
      <c r="BA81" s="39">
        <v>371948758.43735373</v>
      </c>
      <c r="BB81" s="39">
        <v>78</v>
      </c>
      <c r="BC81" s="39">
        <v>371948758.43735373</v>
      </c>
      <c r="BD81" s="39">
        <v>0</v>
      </c>
      <c r="BE81" s="39">
        <v>0</v>
      </c>
      <c r="BF81" s="39">
        <v>0</v>
      </c>
      <c r="BG81" s="39">
        <v>0</v>
      </c>
      <c r="BH81" s="39">
        <v>0.25836261885570638</v>
      </c>
      <c r="BI81" s="39">
        <v>0.25836261885570638</v>
      </c>
      <c r="BJ81" s="39">
        <v>0</v>
      </c>
      <c r="BK81" s="39">
        <v>0</v>
      </c>
      <c r="BL81" s="40">
        <v>21879338.731609043</v>
      </c>
      <c r="BM81" s="40">
        <v>1.5197801109159198E-2</v>
      </c>
    </row>
    <row r="82" spans="1:65" x14ac:dyDescent="0.35">
      <c r="A82" s="39">
        <v>81</v>
      </c>
      <c r="B82" s="32" t="s">
        <v>316</v>
      </c>
      <c r="C82" s="32" t="s">
        <v>51</v>
      </c>
      <c r="D82" s="32" t="s">
        <v>12</v>
      </c>
      <c r="E82" s="32" t="s">
        <v>5</v>
      </c>
      <c r="F82" s="39">
        <v>0</v>
      </c>
      <c r="G82" s="39">
        <v>0</v>
      </c>
      <c r="H82" s="39">
        <v>1</v>
      </c>
      <c r="I82" s="39">
        <v>2018</v>
      </c>
      <c r="J82" s="39">
        <v>0</v>
      </c>
      <c r="K82" s="39" t="s">
        <v>152</v>
      </c>
      <c r="L82" s="39">
        <v>5173759527.5070505</v>
      </c>
      <c r="M82" s="39">
        <v>4</v>
      </c>
      <c r="N82" s="39">
        <v>920000000</v>
      </c>
      <c r="O82" s="39">
        <v>4</v>
      </c>
      <c r="P82" s="39">
        <v>1830000000</v>
      </c>
      <c r="Q82" s="39">
        <v>8</v>
      </c>
      <c r="R82" s="19">
        <v>2750000000</v>
      </c>
      <c r="S82" s="39">
        <v>0.17782040218697548</v>
      </c>
      <c r="T82" s="39">
        <v>0.35370797391539688</v>
      </c>
      <c r="U82" s="39">
        <v>0.53152837610237236</v>
      </c>
      <c r="V82" s="39">
        <v>6.8522228759971106E-4</v>
      </c>
      <c r="W82" s="39">
        <v>2.3014815001131876E-3</v>
      </c>
      <c r="X82" s="39">
        <v>1.2833495890947951E-3</v>
      </c>
      <c r="Y82" s="39">
        <v>161764705.88235295</v>
      </c>
      <c r="Z82" s="39">
        <v>3.1266375064845434E-2</v>
      </c>
      <c r="AA82" s="39">
        <v>0</v>
      </c>
      <c r="AB82" s="39" t="s">
        <v>152</v>
      </c>
      <c r="AC82" s="39" t="s">
        <v>152</v>
      </c>
      <c r="AD82" s="39" t="s">
        <v>152</v>
      </c>
      <c r="AE82" s="39" t="s">
        <v>152</v>
      </c>
      <c r="AF82" s="39" t="s">
        <v>152</v>
      </c>
      <c r="AG82" s="39" t="s">
        <v>152</v>
      </c>
      <c r="AH82" s="39">
        <v>0</v>
      </c>
      <c r="AI82" s="39" t="s">
        <v>152</v>
      </c>
      <c r="AJ82" s="39" t="s">
        <v>152</v>
      </c>
      <c r="AK82" s="39" t="s">
        <v>152</v>
      </c>
      <c r="AL82" s="19">
        <v>223322000</v>
      </c>
      <c r="AM82" s="19">
        <v>31056000</v>
      </c>
      <c r="AN82" s="39">
        <v>-192266000</v>
      </c>
      <c r="AO82" s="39">
        <v>254378000</v>
      </c>
      <c r="AP82" s="39">
        <v>5980170000</v>
      </c>
      <c r="AQ82" s="39">
        <v>3842163000</v>
      </c>
      <c r="AR82" s="39">
        <v>-2138007000</v>
      </c>
      <c r="AS82" s="39">
        <v>9822333000</v>
      </c>
      <c r="AT82" s="39">
        <v>3.7343754441763362E-2</v>
      </c>
      <c r="AU82" s="39">
        <v>8.0829470274946698E-3</v>
      </c>
      <c r="AV82" s="39">
        <v>2.3934371743519617E-3</v>
      </c>
      <c r="AW82" s="39">
        <v>1.8570591490610776E-3</v>
      </c>
      <c r="AX82" s="39">
        <v>2.5897920585669414E-2</v>
      </c>
      <c r="AY82" s="39">
        <v>4.9166954638607013E-2</v>
      </c>
      <c r="AZ82" s="39">
        <v>69</v>
      </c>
      <c r="BA82" s="39">
        <v>1083990022.7455916</v>
      </c>
      <c r="BB82" s="39">
        <v>61</v>
      </c>
      <c r="BC82" s="39">
        <v>502081136.62308753</v>
      </c>
      <c r="BD82" s="39">
        <v>7</v>
      </c>
      <c r="BE82" s="39">
        <v>581908886.12250423</v>
      </c>
      <c r="BF82" s="39">
        <v>1</v>
      </c>
      <c r="BG82" s="39">
        <v>0</v>
      </c>
      <c r="BH82" s="39">
        <v>0.2095168932731411</v>
      </c>
      <c r="BI82" s="39">
        <v>9.7043771353055669E-2</v>
      </c>
      <c r="BJ82" s="39">
        <v>0.11247312192008546</v>
      </c>
      <c r="BK82" s="39">
        <v>0</v>
      </c>
      <c r="BL82" s="40">
        <v>63764118.985034801</v>
      </c>
      <c r="BM82" s="40">
        <v>1.2324523133714183E-2</v>
      </c>
    </row>
    <row r="83" spans="1:65" x14ac:dyDescent="0.35">
      <c r="A83" s="39">
        <v>82</v>
      </c>
      <c r="B83" s="32" t="s">
        <v>317</v>
      </c>
      <c r="C83" s="32" t="s">
        <v>172</v>
      </c>
      <c r="D83" s="32" t="s">
        <v>12</v>
      </c>
      <c r="E83" s="32" t="s">
        <v>10</v>
      </c>
      <c r="F83" s="39">
        <v>0</v>
      </c>
      <c r="G83" s="39">
        <v>0</v>
      </c>
      <c r="H83" s="39">
        <v>0</v>
      </c>
      <c r="I83" s="39" t="s">
        <v>152</v>
      </c>
      <c r="J83" s="39">
        <v>2</v>
      </c>
      <c r="K83" s="39" t="s">
        <v>152</v>
      </c>
      <c r="L83" s="39">
        <v>14332163266.397657</v>
      </c>
      <c r="M83" s="39">
        <v>0</v>
      </c>
      <c r="N83" s="39">
        <v>0</v>
      </c>
      <c r="O83" s="39">
        <v>0</v>
      </c>
      <c r="P83" s="39">
        <v>0</v>
      </c>
      <c r="Q83" s="39">
        <v>0</v>
      </c>
      <c r="R83" s="19">
        <v>0</v>
      </c>
      <c r="S83" s="39">
        <v>0</v>
      </c>
      <c r="T83" s="39">
        <v>0</v>
      </c>
      <c r="U83" s="39">
        <v>0</v>
      </c>
      <c r="V83" s="39">
        <v>0</v>
      </c>
      <c r="W83" s="39">
        <v>0</v>
      </c>
      <c r="X83" s="39">
        <v>0</v>
      </c>
      <c r="Y83" s="39">
        <v>0</v>
      </c>
      <c r="Z83" s="39">
        <v>0</v>
      </c>
      <c r="AA83" s="39">
        <v>0</v>
      </c>
      <c r="AB83" s="39" t="s">
        <v>152</v>
      </c>
      <c r="AC83" s="39" t="s">
        <v>152</v>
      </c>
      <c r="AD83" s="39" t="s">
        <v>152</v>
      </c>
      <c r="AE83" s="39" t="s">
        <v>152</v>
      </c>
      <c r="AF83" s="39" t="s">
        <v>152</v>
      </c>
      <c r="AG83" s="39" t="s">
        <v>152</v>
      </c>
      <c r="AH83" s="39">
        <v>0</v>
      </c>
      <c r="AI83" s="39" t="s">
        <v>152</v>
      </c>
      <c r="AJ83" s="39" t="s">
        <v>152</v>
      </c>
      <c r="AK83" s="39" t="s">
        <v>152</v>
      </c>
      <c r="AL83" s="19">
        <v>561068000</v>
      </c>
      <c r="AM83" s="19">
        <v>4488000</v>
      </c>
      <c r="AN83" s="39">
        <v>-556580000</v>
      </c>
      <c r="AO83" s="39">
        <v>565556000</v>
      </c>
      <c r="AP83" s="39">
        <v>3831949000</v>
      </c>
      <c r="AQ83" s="39">
        <v>1342010000</v>
      </c>
      <c r="AR83" s="39">
        <v>-2489939000</v>
      </c>
      <c r="AS83" s="39">
        <v>5173959000</v>
      </c>
      <c r="AT83" s="39">
        <v>0.14641844137278445</v>
      </c>
      <c r="AU83" s="39">
        <v>3.3442373752803631E-3</v>
      </c>
      <c r="AV83" s="39">
        <v>1.5336569339702425E-3</v>
      </c>
      <c r="AW83" s="39">
        <v>6.4864295154355939E-4</v>
      </c>
      <c r="AX83" s="39">
        <v>0.1093081719433803</v>
      </c>
      <c r="AY83" s="39">
        <v>3.946061662065832E-2</v>
      </c>
      <c r="AZ83" s="39">
        <v>33</v>
      </c>
      <c r="BA83" s="39">
        <v>2036786080.495379</v>
      </c>
      <c r="BB83" s="39">
        <v>30</v>
      </c>
      <c r="BC83" s="39">
        <v>20273430.876614835</v>
      </c>
      <c r="BD83" s="39">
        <v>1</v>
      </c>
      <c r="BE83" s="39">
        <v>0</v>
      </c>
      <c r="BF83" s="39">
        <v>2</v>
      </c>
      <c r="BG83" s="39">
        <v>2016512649.6187642</v>
      </c>
      <c r="BH83" s="39">
        <v>0.14211295549993538</v>
      </c>
      <c r="BI83" s="39">
        <v>1.4145408826137728E-3</v>
      </c>
      <c r="BJ83" s="39">
        <v>0</v>
      </c>
      <c r="BK83" s="39">
        <v>0.14069841461732163</v>
      </c>
      <c r="BL83" s="40">
        <v>119810945.91149288</v>
      </c>
      <c r="BM83" s="40">
        <v>8.3595856176432587E-3</v>
      </c>
    </row>
    <row r="84" spans="1:65" x14ac:dyDescent="0.35">
      <c r="A84" s="39">
        <v>83</v>
      </c>
      <c r="B84" s="32" t="s">
        <v>318</v>
      </c>
      <c r="C84" s="32" t="s">
        <v>162</v>
      </c>
      <c r="D84" s="32" t="s">
        <v>12</v>
      </c>
      <c r="E84" s="32" t="s">
        <v>10</v>
      </c>
      <c r="F84" s="39">
        <v>0</v>
      </c>
      <c r="G84" s="39">
        <v>0</v>
      </c>
      <c r="H84" s="39">
        <v>0</v>
      </c>
      <c r="I84" s="39" t="s">
        <v>152</v>
      </c>
      <c r="J84" s="39">
        <v>2</v>
      </c>
      <c r="K84" s="39" t="s">
        <v>152</v>
      </c>
      <c r="L84" s="39">
        <v>25089976946.773567</v>
      </c>
      <c r="M84" s="39">
        <v>1</v>
      </c>
      <c r="N84" s="39">
        <v>350000000</v>
      </c>
      <c r="O84" s="39">
        <v>0</v>
      </c>
      <c r="P84" s="39">
        <v>0</v>
      </c>
      <c r="Q84" s="39">
        <v>1</v>
      </c>
      <c r="R84" s="19">
        <v>350000000</v>
      </c>
      <c r="S84" s="39">
        <v>1.3949793606526532E-2</v>
      </c>
      <c r="T84" s="39">
        <v>0</v>
      </c>
      <c r="U84" s="39">
        <v>1.3949793606526532E-2</v>
      </c>
      <c r="V84" s="39">
        <v>2.6068239202162917E-4</v>
      </c>
      <c r="W84" s="39">
        <v>0</v>
      </c>
      <c r="X84" s="39">
        <v>1.6333540224842849E-4</v>
      </c>
      <c r="Y84" s="39">
        <v>20588235.294117648</v>
      </c>
      <c r="Z84" s="39">
        <v>8.2057609450156082E-4</v>
      </c>
      <c r="AA84" s="39">
        <v>0</v>
      </c>
      <c r="AB84" s="39" t="s">
        <v>152</v>
      </c>
      <c r="AC84" s="39" t="s">
        <v>152</v>
      </c>
      <c r="AD84" s="39" t="s">
        <v>152</v>
      </c>
      <c r="AE84" s="39" t="s">
        <v>152</v>
      </c>
      <c r="AF84" s="39" t="s">
        <v>152</v>
      </c>
      <c r="AG84" s="39" t="s">
        <v>152</v>
      </c>
      <c r="AH84" s="39">
        <v>0</v>
      </c>
      <c r="AI84" s="39" t="s">
        <v>152</v>
      </c>
      <c r="AJ84" s="39" t="s">
        <v>152</v>
      </c>
      <c r="AK84" s="39" t="s">
        <v>152</v>
      </c>
      <c r="AL84" s="19">
        <v>1475811</v>
      </c>
      <c r="AM84" s="19">
        <v>5449</v>
      </c>
      <c r="AN84" s="39">
        <v>-1470362</v>
      </c>
      <c r="AO84" s="39">
        <v>1481260</v>
      </c>
      <c r="AP84" s="39">
        <v>9157061000</v>
      </c>
      <c r="AQ84" s="39">
        <v>3091163000</v>
      </c>
      <c r="AR84" s="39">
        <v>-6065898000</v>
      </c>
      <c r="AS84" s="39">
        <v>12248224000</v>
      </c>
      <c r="AT84" s="39">
        <v>1.611664484925895E-4</v>
      </c>
      <c r="AU84" s="39">
        <v>1.7627669585848433E-6</v>
      </c>
      <c r="AV84" s="39">
        <v>3.6649209312124152E-3</v>
      </c>
      <c r="AW84" s="39">
        <v>1.494073138070688E-3</v>
      </c>
      <c r="AX84" s="39">
        <v>1.2093671702934238E-4</v>
      </c>
      <c r="AY84" s="39">
        <v>5.9037917936009976E-5</v>
      </c>
      <c r="AZ84" s="39">
        <v>3</v>
      </c>
      <c r="BA84" s="39">
        <v>297077897.32473761</v>
      </c>
      <c r="BB84" s="39">
        <v>1</v>
      </c>
      <c r="BC84" s="39">
        <v>286927942.92511201</v>
      </c>
      <c r="BD84" s="39">
        <v>2</v>
      </c>
      <c r="BE84" s="39">
        <v>10149954.399625611</v>
      </c>
      <c r="BF84" s="39">
        <v>0</v>
      </c>
      <c r="BG84" s="39">
        <v>0</v>
      </c>
      <c r="BH84" s="39">
        <v>1.1840501007831345E-2</v>
      </c>
      <c r="BI84" s="39">
        <v>1.143595881071582E-2</v>
      </c>
      <c r="BJ84" s="39">
        <v>4.0454219711552342E-4</v>
      </c>
      <c r="BK84" s="39">
        <v>0</v>
      </c>
      <c r="BL84" s="40">
        <v>17475170.430866919</v>
      </c>
      <c r="BM84" s="40">
        <v>6.9650005928419676E-4</v>
      </c>
    </row>
    <row r="85" spans="1:65" x14ac:dyDescent="0.35">
      <c r="A85" s="39">
        <v>84</v>
      </c>
      <c r="B85" s="32" t="s">
        <v>319</v>
      </c>
      <c r="C85" s="32" t="s">
        <v>199</v>
      </c>
      <c r="D85" s="32" t="s">
        <v>23</v>
      </c>
      <c r="E85" s="32" t="s">
        <v>13</v>
      </c>
      <c r="F85" s="39">
        <v>0</v>
      </c>
      <c r="G85" s="39">
        <v>1</v>
      </c>
      <c r="H85" s="39">
        <v>0</v>
      </c>
      <c r="I85" s="39" t="s">
        <v>152</v>
      </c>
      <c r="J85" s="39">
        <v>0</v>
      </c>
      <c r="K85" s="39" t="s">
        <v>152</v>
      </c>
      <c r="L85" s="39">
        <v>363016373358.5166</v>
      </c>
      <c r="M85" s="39">
        <v>0</v>
      </c>
      <c r="N85" s="39">
        <v>0</v>
      </c>
      <c r="O85" s="39">
        <v>0</v>
      </c>
      <c r="P85" s="39">
        <v>0</v>
      </c>
      <c r="Q85" s="39">
        <v>0</v>
      </c>
      <c r="R85" s="19">
        <v>0</v>
      </c>
      <c r="S85" s="39">
        <v>0</v>
      </c>
      <c r="T85" s="39">
        <v>0</v>
      </c>
      <c r="U85" s="39">
        <v>0</v>
      </c>
      <c r="V85" s="39">
        <v>0</v>
      </c>
      <c r="W85" s="39">
        <v>0</v>
      </c>
      <c r="X85" s="39">
        <v>0</v>
      </c>
      <c r="Y85" s="39">
        <v>0</v>
      </c>
      <c r="Z85" s="39">
        <v>0</v>
      </c>
      <c r="AA85" s="39">
        <v>1</v>
      </c>
      <c r="AB85" s="39">
        <v>0</v>
      </c>
      <c r="AC85" s="39">
        <v>0</v>
      </c>
      <c r="AD85" s="39">
        <v>0</v>
      </c>
      <c r="AE85" s="39">
        <v>0</v>
      </c>
      <c r="AF85" s="39">
        <v>0</v>
      </c>
      <c r="AG85" s="39">
        <v>0</v>
      </c>
      <c r="AH85" s="39">
        <v>0</v>
      </c>
      <c r="AI85" s="39">
        <v>0</v>
      </c>
      <c r="AJ85" s="39">
        <v>0</v>
      </c>
      <c r="AK85" s="39">
        <v>0</v>
      </c>
      <c r="AL85" s="19">
        <v>264601840000</v>
      </c>
      <c r="AM85" s="19">
        <v>296069015000</v>
      </c>
      <c r="AN85" s="39">
        <v>31467175000</v>
      </c>
      <c r="AO85" s="39">
        <v>560670855000</v>
      </c>
      <c r="AP85" s="39">
        <v>578590151000</v>
      </c>
      <c r="AQ85" s="39">
        <v>535711019000</v>
      </c>
      <c r="AR85" s="39">
        <v>-42879132000</v>
      </c>
      <c r="AS85" s="39">
        <v>1114301170000</v>
      </c>
      <c r="AT85" s="39">
        <v>0.45732171476247613</v>
      </c>
      <c r="AU85" s="39">
        <v>0.55266553141405517</v>
      </c>
      <c r="AV85" s="39">
        <v>0.23156853001123964</v>
      </c>
      <c r="AW85" s="39">
        <v>0.2589289025704487</v>
      </c>
      <c r="AX85" s="39">
        <v>0.50315917284731915</v>
      </c>
      <c r="AY85" s="39">
        <v>1.5444781451945115</v>
      </c>
      <c r="AZ85" s="39" t="s">
        <v>152</v>
      </c>
      <c r="BA85" s="39" t="s">
        <v>152</v>
      </c>
      <c r="BB85" s="39" t="s">
        <v>152</v>
      </c>
      <c r="BC85" s="39" t="s">
        <v>152</v>
      </c>
      <c r="BD85" s="39" t="s">
        <v>152</v>
      </c>
      <c r="BE85" s="39" t="s">
        <v>152</v>
      </c>
      <c r="BF85" s="39" t="s">
        <v>152</v>
      </c>
      <c r="BG85" s="39" t="s">
        <v>152</v>
      </c>
      <c r="BH85" s="39">
        <v>0</v>
      </c>
      <c r="BI85" s="39">
        <v>0</v>
      </c>
      <c r="BJ85" s="39">
        <v>0</v>
      </c>
      <c r="BK85" s="39">
        <v>0</v>
      </c>
      <c r="BL85" s="40">
        <v>0</v>
      </c>
      <c r="BM85" s="40">
        <v>0</v>
      </c>
    </row>
    <row r="86" spans="1:65" x14ac:dyDescent="0.35">
      <c r="A86" s="39">
        <v>85</v>
      </c>
      <c r="B86" s="32" t="s">
        <v>320</v>
      </c>
      <c r="C86" s="32" t="s">
        <v>52</v>
      </c>
      <c r="D86" s="32" t="s">
        <v>4</v>
      </c>
      <c r="E86" s="32" t="s">
        <v>13</v>
      </c>
      <c r="F86" s="39">
        <v>1</v>
      </c>
      <c r="G86" s="39">
        <v>0</v>
      </c>
      <c r="H86" s="39">
        <v>1</v>
      </c>
      <c r="I86" s="39">
        <v>2015</v>
      </c>
      <c r="J86" s="39">
        <v>0</v>
      </c>
      <c r="K86" s="39" t="s">
        <v>152</v>
      </c>
      <c r="L86" s="39">
        <v>163503650313.08057</v>
      </c>
      <c r="M86" s="39">
        <v>5</v>
      </c>
      <c r="N86" s="39">
        <v>3480000000</v>
      </c>
      <c r="O86" s="39">
        <v>4</v>
      </c>
      <c r="P86" s="39">
        <v>2400000000</v>
      </c>
      <c r="Q86" s="39">
        <v>9</v>
      </c>
      <c r="R86" s="19">
        <v>5880000000</v>
      </c>
      <c r="S86" s="39">
        <v>2.1283928483164846E-2</v>
      </c>
      <c r="T86" s="39">
        <v>1.4678571367699893E-2</v>
      </c>
      <c r="U86" s="39">
        <v>3.5962499850864735E-2</v>
      </c>
      <c r="V86" s="39">
        <v>2.5919277835293416E-3</v>
      </c>
      <c r="W86" s="39">
        <v>3.0183363935910659E-3</v>
      </c>
      <c r="X86" s="39">
        <v>2.7440347577735984E-3</v>
      </c>
      <c r="Y86" s="39">
        <v>345882352.94117647</v>
      </c>
      <c r="Z86" s="39">
        <v>2.1154411676979259E-3</v>
      </c>
      <c r="AA86" s="39">
        <v>2</v>
      </c>
      <c r="AB86" s="39">
        <v>1</v>
      </c>
      <c r="AC86" s="39">
        <v>216100000</v>
      </c>
      <c r="AD86" s="39">
        <v>0</v>
      </c>
      <c r="AE86" s="39">
        <v>0</v>
      </c>
      <c r="AF86" s="39">
        <v>0</v>
      </c>
      <c r="AG86" s="39">
        <v>0</v>
      </c>
      <c r="AH86" s="39">
        <v>1</v>
      </c>
      <c r="AI86" s="39">
        <v>216100000</v>
      </c>
      <c r="AJ86" s="39">
        <v>1.3216830302333112E-3</v>
      </c>
      <c r="AK86" s="39">
        <v>5.4214438802786639E-3</v>
      </c>
      <c r="AL86" s="19">
        <v>7157898000</v>
      </c>
      <c r="AM86" s="19">
        <v>1666401000</v>
      </c>
      <c r="AN86" s="39">
        <v>-5491497000</v>
      </c>
      <c r="AO86" s="39">
        <v>8824299000</v>
      </c>
      <c r="AP86" s="39">
        <v>117324011000</v>
      </c>
      <c r="AQ86" s="39">
        <v>122180658000</v>
      </c>
      <c r="AR86" s="39">
        <v>4856647000</v>
      </c>
      <c r="AS86" s="39">
        <v>239504669000</v>
      </c>
      <c r="AT86" s="39">
        <v>6.1009659821466555E-2</v>
      </c>
      <c r="AU86" s="39">
        <v>1.3638828168694262E-2</v>
      </c>
      <c r="AV86" s="39">
        <v>4.6956466015427398E-2</v>
      </c>
      <c r="AW86" s="39">
        <v>5.9054420329695163E-2</v>
      </c>
      <c r="AX86" s="39">
        <v>3.6843953969014277E-2</v>
      </c>
      <c r="AY86" s="39">
        <v>5.3970042767259495E-2</v>
      </c>
      <c r="AZ86" s="39" t="s">
        <v>152</v>
      </c>
      <c r="BA86" s="39" t="s">
        <v>152</v>
      </c>
      <c r="BB86" s="39" t="s">
        <v>152</v>
      </c>
      <c r="BC86" s="39" t="s">
        <v>152</v>
      </c>
      <c r="BD86" s="39" t="s">
        <v>152</v>
      </c>
      <c r="BE86" s="39" t="s">
        <v>152</v>
      </c>
      <c r="BF86" s="39" t="s">
        <v>152</v>
      </c>
      <c r="BG86" s="39" t="s">
        <v>152</v>
      </c>
      <c r="BH86" s="39">
        <v>0</v>
      </c>
      <c r="BI86" s="39">
        <v>0</v>
      </c>
      <c r="BJ86" s="39">
        <v>0</v>
      </c>
      <c r="BK86" s="39">
        <v>0</v>
      </c>
      <c r="BL86" s="40">
        <v>0</v>
      </c>
      <c r="BM86" s="40">
        <v>0</v>
      </c>
    </row>
    <row r="87" spans="1:65" x14ac:dyDescent="0.35">
      <c r="A87" s="39">
        <v>86</v>
      </c>
      <c r="B87" s="32" t="s">
        <v>321</v>
      </c>
      <c r="C87" s="32" t="s">
        <v>174</v>
      </c>
      <c r="D87" s="32" t="s">
        <v>4</v>
      </c>
      <c r="E87" s="32" t="s">
        <v>13</v>
      </c>
      <c r="F87" s="39">
        <v>3</v>
      </c>
      <c r="G87" s="39">
        <v>1</v>
      </c>
      <c r="H87" s="39">
        <v>0</v>
      </c>
      <c r="I87" s="39" t="s">
        <v>152</v>
      </c>
      <c r="J87" s="39">
        <v>0</v>
      </c>
      <c r="K87" s="39" t="s">
        <v>152</v>
      </c>
      <c r="L87" s="39">
        <v>24857740445.040115</v>
      </c>
      <c r="M87" s="39">
        <v>0</v>
      </c>
      <c r="N87" s="39">
        <v>0</v>
      </c>
      <c r="O87" s="39">
        <v>0</v>
      </c>
      <c r="P87" s="39">
        <v>0</v>
      </c>
      <c r="Q87" s="39">
        <v>0</v>
      </c>
      <c r="R87" s="19">
        <v>0</v>
      </c>
      <c r="S87" s="39">
        <v>0</v>
      </c>
      <c r="T87" s="39">
        <v>0</v>
      </c>
      <c r="U87" s="39">
        <v>0</v>
      </c>
      <c r="V87" s="39">
        <v>0</v>
      </c>
      <c r="W87" s="39">
        <v>0</v>
      </c>
      <c r="X87" s="39">
        <v>0</v>
      </c>
      <c r="Y87" s="39">
        <v>0</v>
      </c>
      <c r="Z87" s="39">
        <v>0</v>
      </c>
      <c r="AA87" s="39">
        <v>2</v>
      </c>
      <c r="AB87" s="39">
        <v>0</v>
      </c>
      <c r="AC87" s="39">
        <v>0</v>
      </c>
      <c r="AD87" s="39">
        <v>0</v>
      </c>
      <c r="AE87" s="39">
        <v>0</v>
      </c>
      <c r="AF87" s="39">
        <v>0</v>
      </c>
      <c r="AG87" s="39">
        <v>0</v>
      </c>
      <c r="AH87" s="39">
        <v>0</v>
      </c>
      <c r="AI87" s="39">
        <v>0</v>
      </c>
      <c r="AJ87" s="39">
        <v>0</v>
      </c>
      <c r="AK87" s="39">
        <v>0</v>
      </c>
      <c r="AL87" s="19">
        <v>483334000</v>
      </c>
      <c r="AM87" s="19">
        <v>129845000</v>
      </c>
      <c r="AN87" s="39">
        <v>-353489000</v>
      </c>
      <c r="AO87" s="39">
        <v>613179000</v>
      </c>
      <c r="AP87" s="39">
        <v>6560654000</v>
      </c>
      <c r="AQ87" s="39">
        <v>5231459000</v>
      </c>
      <c r="AR87" s="39">
        <v>-1329195000</v>
      </c>
      <c r="AS87" s="39">
        <v>11792113000</v>
      </c>
      <c r="AT87" s="39">
        <v>7.3671618713622142E-2</v>
      </c>
      <c r="AU87" s="39">
        <v>2.4820035863800136E-2</v>
      </c>
      <c r="AV87" s="39">
        <v>2.6257636775645003E-3</v>
      </c>
      <c r="AW87" s="39">
        <v>2.5285571692007648E-3</v>
      </c>
      <c r="AX87" s="39">
        <v>5.1999077688621199E-2</v>
      </c>
      <c r="AY87" s="39">
        <v>2.4667527660276464E-2</v>
      </c>
      <c r="AZ87" s="39" t="s">
        <v>152</v>
      </c>
      <c r="BA87" s="39" t="s">
        <v>152</v>
      </c>
      <c r="BB87" s="39" t="s">
        <v>152</v>
      </c>
      <c r="BC87" s="39" t="s">
        <v>152</v>
      </c>
      <c r="BD87" s="39" t="s">
        <v>152</v>
      </c>
      <c r="BE87" s="39" t="s">
        <v>152</v>
      </c>
      <c r="BF87" s="39" t="s">
        <v>152</v>
      </c>
      <c r="BG87" s="39" t="s">
        <v>152</v>
      </c>
      <c r="BH87" s="39">
        <v>0</v>
      </c>
      <c r="BI87" s="39">
        <v>0</v>
      </c>
      <c r="BJ87" s="39">
        <v>0</v>
      </c>
      <c r="BK87" s="39">
        <v>0</v>
      </c>
      <c r="BL87" s="40">
        <v>0</v>
      </c>
      <c r="BM87" s="40">
        <v>0</v>
      </c>
    </row>
    <row r="88" spans="1:65" x14ac:dyDescent="0.35">
      <c r="A88" s="39">
        <v>87</v>
      </c>
      <c r="B88" s="32" t="s">
        <v>322</v>
      </c>
      <c r="C88" s="32" t="s">
        <v>165</v>
      </c>
      <c r="D88" s="32" t="s">
        <v>1</v>
      </c>
      <c r="E88" s="32" t="s">
        <v>10</v>
      </c>
      <c r="F88" s="39">
        <v>3</v>
      </c>
      <c r="G88" s="39">
        <v>1</v>
      </c>
      <c r="H88" s="39">
        <v>0</v>
      </c>
      <c r="I88" s="39" t="s">
        <v>152</v>
      </c>
      <c r="J88" s="39">
        <v>0</v>
      </c>
      <c r="K88" s="39" t="s">
        <v>152</v>
      </c>
      <c r="L88" s="39">
        <v>2870504096717.4771</v>
      </c>
      <c r="M88" s="39">
        <v>71</v>
      </c>
      <c r="N88" s="39">
        <v>34560000000</v>
      </c>
      <c r="O88" s="39">
        <v>0</v>
      </c>
      <c r="P88" s="39">
        <v>0</v>
      </c>
      <c r="Q88" s="39">
        <v>71</v>
      </c>
      <c r="R88" s="19">
        <v>34560000000</v>
      </c>
      <c r="S88" s="39">
        <v>1.203969715267802E-2</v>
      </c>
      <c r="T88" s="39">
        <v>0</v>
      </c>
      <c r="U88" s="39">
        <v>1.203969715267802E-2</v>
      </c>
      <c r="V88" s="39">
        <v>2.5740524195050015E-2</v>
      </c>
      <c r="W88" s="39">
        <v>0</v>
      </c>
      <c r="X88" s="39">
        <v>1.6128204290587679E-2</v>
      </c>
      <c r="Y88" s="39">
        <v>2032941176.4705882</v>
      </c>
      <c r="Z88" s="39">
        <v>7.0821747956929533E-4</v>
      </c>
      <c r="AA88" s="39">
        <v>1</v>
      </c>
      <c r="AB88" s="39">
        <v>27</v>
      </c>
      <c r="AC88" s="39">
        <v>6674670000</v>
      </c>
      <c r="AD88" s="39">
        <v>16</v>
      </c>
      <c r="AE88" s="39">
        <v>5207850000</v>
      </c>
      <c r="AF88" s="39">
        <v>1</v>
      </c>
      <c r="AG88" s="39">
        <v>35000000</v>
      </c>
      <c r="AH88" s="39">
        <v>44</v>
      </c>
      <c r="AI88" s="39">
        <v>11882520000</v>
      </c>
      <c r="AJ88" s="39">
        <v>4.1395237908171184E-3</v>
      </c>
      <c r="AK88" s="39">
        <v>0.29810465218088306</v>
      </c>
      <c r="AL88" s="19">
        <v>68402093000</v>
      </c>
      <c r="AM88" s="19">
        <v>17278833000</v>
      </c>
      <c r="AN88" s="39">
        <v>-51123260000</v>
      </c>
      <c r="AO88" s="39">
        <v>85680926000</v>
      </c>
      <c r="AP88" s="39">
        <v>478883729000</v>
      </c>
      <c r="AQ88" s="39">
        <v>323250726000</v>
      </c>
      <c r="AR88" s="39">
        <v>-155633003000</v>
      </c>
      <c r="AS88" s="39">
        <v>802134455000</v>
      </c>
      <c r="AT88" s="39">
        <v>0.14283653600600826</v>
      </c>
      <c r="AU88" s="39">
        <v>5.3453346304317348E-2</v>
      </c>
      <c r="AV88" s="39">
        <v>0.19166313318532593</v>
      </c>
      <c r="AW88" s="39">
        <v>0.15623900343606861</v>
      </c>
      <c r="AX88" s="39">
        <v>0.10681616462915809</v>
      </c>
      <c r="AY88" s="39">
        <v>2.9848738449103476E-2</v>
      </c>
      <c r="AZ88" s="39">
        <v>55</v>
      </c>
      <c r="BA88" s="39">
        <v>39265828068.341133</v>
      </c>
      <c r="BB88" s="39">
        <v>7</v>
      </c>
      <c r="BC88" s="39">
        <v>1318426.1142835901</v>
      </c>
      <c r="BD88" s="39">
        <v>40</v>
      </c>
      <c r="BE88" s="39">
        <v>37901803538.01329</v>
      </c>
      <c r="BF88" s="39">
        <v>8</v>
      </c>
      <c r="BG88" s="39">
        <v>1362706104.213562</v>
      </c>
      <c r="BH88" s="39">
        <v>1.3679070555322668E-2</v>
      </c>
      <c r="BI88" s="39">
        <v>4.5930124809480572E-7</v>
      </c>
      <c r="BJ88" s="39">
        <v>1.3203884147511004E-2</v>
      </c>
      <c r="BK88" s="39">
        <v>4.7472710656357002E-4</v>
      </c>
      <c r="BL88" s="40">
        <v>2309754592.2553606</v>
      </c>
      <c r="BM88" s="40">
        <v>8.0465120913662748E-4</v>
      </c>
    </row>
    <row r="89" spans="1:65" x14ac:dyDescent="0.35">
      <c r="A89" s="39">
        <v>88</v>
      </c>
      <c r="B89" s="32" t="s">
        <v>323</v>
      </c>
      <c r="C89" s="32" t="s">
        <v>53</v>
      </c>
      <c r="D89" s="32" t="s">
        <v>23</v>
      </c>
      <c r="E89" s="32" t="s">
        <v>10</v>
      </c>
      <c r="F89" s="39">
        <v>0</v>
      </c>
      <c r="G89" s="39">
        <v>1</v>
      </c>
      <c r="H89" s="39">
        <v>1</v>
      </c>
      <c r="I89" s="39">
        <v>2015</v>
      </c>
      <c r="J89" s="39">
        <v>0</v>
      </c>
      <c r="K89" s="39" t="s">
        <v>152</v>
      </c>
      <c r="L89" s="39">
        <v>1119091259074.6206</v>
      </c>
      <c r="M89" s="39">
        <v>42</v>
      </c>
      <c r="N89" s="39">
        <v>15520000000</v>
      </c>
      <c r="O89" s="39">
        <v>81</v>
      </c>
      <c r="P89" s="39">
        <v>39550000000</v>
      </c>
      <c r="Q89" s="39">
        <v>123</v>
      </c>
      <c r="R89" s="19">
        <v>55070000000</v>
      </c>
      <c r="S89" s="39">
        <v>1.3868395337868628E-2</v>
      </c>
      <c r="T89" s="39">
        <v>3.5341174975045374E-2</v>
      </c>
      <c r="U89" s="39">
        <v>4.9209570312914001E-2</v>
      </c>
      <c r="V89" s="39">
        <v>1.1559402069073386E-2</v>
      </c>
      <c r="W89" s="39">
        <v>4.9739668486052768E-2</v>
      </c>
      <c r="X89" s="39">
        <v>2.5699658862345591E-2</v>
      </c>
      <c r="Y89" s="39">
        <v>3239411764.7058825</v>
      </c>
      <c r="Z89" s="39">
        <v>2.8946806066420003E-3</v>
      </c>
      <c r="AA89" s="39">
        <v>1</v>
      </c>
      <c r="AB89" s="39">
        <v>10</v>
      </c>
      <c r="AC89" s="39">
        <v>2899900000</v>
      </c>
      <c r="AD89" s="39">
        <v>1</v>
      </c>
      <c r="AE89" s="39">
        <v>250000000</v>
      </c>
      <c r="AF89" s="39">
        <v>0</v>
      </c>
      <c r="AG89" s="39">
        <v>0</v>
      </c>
      <c r="AH89" s="39">
        <v>11</v>
      </c>
      <c r="AI89" s="39">
        <v>3149900000</v>
      </c>
      <c r="AJ89" s="39">
        <v>2.8146944893526022E-3</v>
      </c>
      <c r="AK89" s="39">
        <v>7.9023628313233521E-2</v>
      </c>
      <c r="AL89" s="19">
        <v>44930621000</v>
      </c>
      <c r="AM89" s="19">
        <v>27961887000</v>
      </c>
      <c r="AN89" s="39">
        <v>-16968734000</v>
      </c>
      <c r="AO89" s="39">
        <v>72892508000</v>
      </c>
      <c r="AP89" s="39">
        <v>171275737000</v>
      </c>
      <c r="AQ89" s="39">
        <v>167682996000</v>
      </c>
      <c r="AR89" s="39">
        <v>-3592741000</v>
      </c>
      <c r="AS89" s="39">
        <v>338958733000</v>
      </c>
      <c r="AT89" s="39">
        <v>0.26232916457980271</v>
      </c>
      <c r="AU89" s="39">
        <v>0.16675445732136132</v>
      </c>
      <c r="AV89" s="39">
        <v>6.854950879328342E-2</v>
      </c>
      <c r="AW89" s="39">
        <v>8.1047379266254993E-2</v>
      </c>
      <c r="AX89" s="39">
        <v>0.21504832566151938</v>
      </c>
      <c r="AY89" s="39">
        <v>6.5135445754687604E-2</v>
      </c>
      <c r="AZ89" s="39">
        <v>257</v>
      </c>
      <c r="BA89" s="39">
        <v>99427299972.997116</v>
      </c>
      <c r="BB89" s="39">
        <v>94</v>
      </c>
      <c r="BC89" s="39">
        <v>6537878994.209197</v>
      </c>
      <c r="BD89" s="39">
        <v>147</v>
      </c>
      <c r="BE89" s="39">
        <v>42066840342.080299</v>
      </c>
      <c r="BF89" s="39">
        <v>16</v>
      </c>
      <c r="BG89" s="39">
        <v>50822580636.707619</v>
      </c>
      <c r="BH89" s="39">
        <v>8.8846462848091404E-2</v>
      </c>
      <c r="BI89" s="39">
        <v>5.842132123894333E-3</v>
      </c>
      <c r="BJ89" s="39">
        <v>3.7590178639108913E-2</v>
      </c>
      <c r="BK89" s="39">
        <v>4.5414152085088165E-2</v>
      </c>
      <c r="BL89" s="40">
        <v>5848664704.2939482</v>
      </c>
      <c r="BM89" s="40">
        <v>5.226262520475965E-3</v>
      </c>
    </row>
    <row r="90" spans="1:65" x14ac:dyDescent="0.35">
      <c r="A90" s="39">
        <v>89</v>
      </c>
      <c r="B90" s="32" t="s">
        <v>325</v>
      </c>
      <c r="C90" s="32" t="s">
        <v>145</v>
      </c>
      <c r="D90" s="32" t="s">
        <v>7</v>
      </c>
      <c r="E90" s="32" t="s">
        <v>10</v>
      </c>
      <c r="F90" s="39">
        <v>0</v>
      </c>
      <c r="G90" s="39">
        <v>0</v>
      </c>
      <c r="H90" s="39">
        <v>1</v>
      </c>
      <c r="I90" s="39">
        <v>2018</v>
      </c>
      <c r="J90" s="39">
        <v>0</v>
      </c>
      <c r="K90" s="39" t="s">
        <v>152</v>
      </c>
      <c r="L90" s="39">
        <v>258245497664.39365</v>
      </c>
      <c r="M90" s="39">
        <v>17</v>
      </c>
      <c r="N90" s="39">
        <v>14680000000</v>
      </c>
      <c r="O90" s="39">
        <v>17</v>
      </c>
      <c r="P90" s="39">
        <v>11880000000</v>
      </c>
      <c r="Q90" s="39">
        <v>34</v>
      </c>
      <c r="R90" s="19">
        <v>26560000000</v>
      </c>
      <c r="S90" s="39">
        <v>5.6845134311218806E-2</v>
      </c>
      <c r="T90" s="39">
        <v>4.6002738121068081E-2</v>
      </c>
      <c r="U90" s="39">
        <v>0.10284787243228689</v>
      </c>
      <c r="V90" s="39">
        <v>1.0933764328221476E-2</v>
      </c>
      <c r="W90" s="39">
        <v>1.4940765148275775E-2</v>
      </c>
      <c r="X90" s="39">
        <v>1.2394823667766458E-2</v>
      </c>
      <c r="Y90" s="39">
        <v>1562352941.1764705</v>
      </c>
      <c r="Z90" s="39">
        <v>6.0498748489580525E-3</v>
      </c>
      <c r="AA90" s="39">
        <v>1</v>
      </c>
      <c r="AB90" s="39">
        <v>0</v>
      </c>
      <c r="AC90" s="39">
        <v>0</v>
      </c>
      <c r="AD90" s="39">
        <v>0</v>
      </c>
      <c r="AE90" s="39">
        <v>0</v>
      </c>
      <c r="AF90" s="39">
        <v>0</v>
      </c>
      <c r="AG90" s="39">
        <v>0</v>
      </c>
      <c r="AH90" s="39">
        <v>0</v>
      </c>
      <c r="AI90" s="39">
        <v>0</v>
      </c>
      <c r="AJ90" s="39">
        <v>0</v>
      </c>
      <c r="AK90" s="39">
        <v>0</v>
      </c>
      <c r="AL90" s="19">
        <v>9608726000</v>
      </c>
      <c r="AM90" s="19">
        <v>13401559000</v>
      </c>
      <c r="AN90" s="39">
        <v>3792833000</v>
      </c>
      <c r="AO90" s="39">
        <v>23010285000</v>
      </c>
      <c r="AP90" s="39">
        <v>35276061000</v>
      </c>
      <c r="AQ90" s="39">
        <v>30798216000</v>
      </c>
      <c r="AR90" s="39">
        <v>-4477845000</v>
      </c>
      <c r="AS90" s="39">
        <v>66074277000</v>
      </c>
      <c r="AT90" s="39">
        <v>0.27238659100855961</v>
      </c>
      <c r="AU90" s="39">
        <v>0.43514075620483994</v>
      </c>
      <c r="AV90" s="39">
        <v>1.4118500939288924E-2</v>
      </c>
      <c r="AW90" s="39">
        <v>1.4885914209667646E-2</v>
      </c>
      <c r="AX90" s="39">
        <v>0.34824875949834455</v>
      </c>
      <c r="AY90" s="39">
        <v>8.9102366577958003E-2</v>
      </c>
      <c r="AZ90" s="39">
        <v>77</v>
      </c>
      <c r="BA90" s="39">
        <v>89177687080.527771</v>
      </c>
      <c r="BB90" s="39">
        <v>10</v>
      </c>
      <c r="BC90" s="39">
        <v>6566530.3152619414</v>
      </c>
      <c r="BD90" s="39">
        <v>41</v>
      </c>
      <c r="BE90" s="39">
        <v>28422188032.474449</v>
      </c>
      <c r="BF90" s="39">
        <v>26</v>
      </c>
      <c r="BG90" s="39">
        <v>60748932517.738075</v>
      </c>
      <c r="BH90" s="39">
        <v>0.34532136237441713</v>
      </c>
      <c r="BI90" s="39">
        <v>2.5427472597394757E-5</v>
      </c>
      <c r="BJ90" s="39">
        <v>0.1100587940139459</v>
      </c>
      <c r="BK90" s="39">
        <v>0.2352371408878739</v>
      </c>
      <c r="BL90" s="40">
        <v>5245746298.8545752</v>
      </c>
      <c r="BM90" s="40">
        <v>2.0313021316142186E-2</v>
      </c>
    </row>
    <row r="91" spans="1:65" x14ac:dyDescent="0.35">
      <c r="A91" s="39">
        <v>90</v>
      </c>
      <c r="B91" s="32" t="s">
        <v>324</v>
      </c>
      <c r="C91" s="32" t="s">
        <v>54</v>
      </c>
      <c r="D91" s="32" t="s">
        <v>7</v>
      </c>
      <c r="E91" s="32" t="s">
        <v>5</v>
      </c>
      <c r="F91" s="39">
        <v>0</v>
      </c>
      <c r="G91" s="39">
        <v>0</v>
      </c>
      <c r="H91" s="39">
        <v>1</v>
      </c>
      <c r="I91" s="39">
        <v>2015</v>
      </c>
      <c r="J91" s="39">
        <v>0</v>
      </c>
      <c r="K91" s="39" t="s">
        <v>152</v>
      </c>
      <c r="L91" s="39">
        <v>222434137055.83755</v>
      </c>
      <c r="M91" s="39">
        <v>11</v>
      </c>
      <c r="N91" s="39">
        <v>13760000000</v>
      </c>
      <c r="O91" s="39">
        <v>28</v>
      </c>
      <c r="P91" s="39">
        <v>11370000000</v>
      </c>
      <c r="Q91" s="39">
        <v>39</v>
      </c>
      <c r="R91" s="19">
        <v>25130000000</v>
      </c>
      <c r="S91" s="39">
        <v>6.1861008306228787E-2</v>
      </c>
      <c r="T91" s="39">
        <v>5.1116254683271897E-2</v>
      </c>
      <c r="U91" s="39">
        <v>0.11297726298950068</v>
      </c>
      <c r="V91" s="39">
        <v>1.0248542040621764E-2</v>
      </c>
      <c r="W91" s="39">
        <v>1.4299368664637675E-2</v>
      </c>
      <c r="X91" s="39">
        <v>1.1727481881437164E-2</v>
      </c>
      <c r="Y91" s="39">
        <v>1478235294.1176472</v>
      </c>
      <c r="Z91" s="39">
        <v>6.6457213523235708E-3</v>
      </c>
      <c r="AA91" s="39">
        <v>0</v>
      </c>
      <c r="AB91" s="39" t="s">
        <v>152</v>
      </c>
      <c r="AC91" s="39" t="s">
        <v>152</v>
      </c>
      <c r="AD91" s="39" t="s">
        <v>152</v>
      </c>
      <c r="AE91" s="39" t="s">
        <v>152</v>
      </c>
      <c r="AF91" s="39" t="s">
        <v>152</v>
      </c>
      <c r="AG91" s="39" t="s">
        <v>152</v>
      </c>
      <c r="AH91" s="39">
        <v>0</v>
      </c>
      <c r="AI91" s="39" t="s">
        <v>152</v>
      </c>
      <c r="AJ91" s="39" t="s">
        <v>152</v>
      </c>
      <c r="AK91" s="39" t="s">
        <v>152</v>
      </c>
      <c r="AL91" s="19">
        <v>9473787000</v>
      </c>
      <c r="AM91" s="19">
        <v>23806377000</v>
      </c>
      <c r="AN91" s="39">
        <v>14332590000</v>
      </c>
      <c r="AO91" s="39">
        <v>33280164000</v>
      </c>
      <c r="AP91" s="39">
        <v>51027496000</v>
      </c>
      <c r="AQ91" s="39">
        <v>91224183000</v>
      </c>
      <c r="AR91" s="39">
        <v>40196687000</v>
      </c>
      <c r="AS91" s="39">
        <v>142251679000</v>
      </c>
      <c r="AT91" s="39">
        <v>0.18566043295559712</v>
      </c>
      <c r="AU91" s="39">
        <v>0.26096563671060774</v>
      </c>
      <c r="AV91" s="39">
        <v>2.0422681268341208E-2</v>
      </c>
      <c r="AW91" s="39">
        <v>4.4092013705762108E-2</v>
      </c>
      <c r="AX91" s="39">
        <v>0.233952697317548</v>
      </c>
      <c r="AY91" s="39">
        <v>0.14961805971196632</v>
      </c>
      <c r="AZ91" s="39">
        <v>20</v>
      </c>
      <c r="BA91" s="39">
        <v>8213165570.2614946</v>
      </c>
      <c r="BB91" s="39">
        <v>19</v>
      </c>
      <c r="BC91" s="39">
        <v>8213165570.2614946</v>
      </c>
      <c r="BD91" s="39">
        <v>1</v>
      </c>
      <c r="BE91" s="39">
        <v>0</v>
      </c>
      <c r="BF91" s="39">
        <v>0</v>
      </c>
      <c r="BG91" s="39">
        <v>0</v>
      </c>
      <c r="BH91" s="39">
        <v>3.6924033689126355E-2</v>
      </c>
      <c r="BI91" s="39">
        <v>3.6924033689126355E-2</v>
      </c>
      <c r="BJ91" s="39">
        <v>0</v>
      </c>
      <c r="BK91" s="39">
        <v>0</v>
      </c>
      <c r="BL91" s="40">
        <v>483127386.48597026</v>
      </c>
      <c r="BM91" s="40">
        <v>2.172001981713315E-3</v>
      </c>
    </row>
    <row r="92" spans="1:65" x14ac:dyDescent="0.35">
      <c r="A92" s="39">
        <v>91</v>
      </c>
      <c r="B92" s="32" t="s">
        <v>326</v>
      </c>
      <c r="C92" s="32" t="s">
        <v>177</v>
      </c>
      <c r="D92" s="32" t="s">
        <v>4</v>
      </c>
      <c r="E92" s="32" t="s">
        <v>13</v>
      </c>
      <c r="F92" s="39">
        <v>2</v>
      </c>
      <c r="G92" s="39">
        <v>0</v>
      </c>
      <c r="H92" s="39">
        <v>0</v>
      </c>
      <c r="I92" s="39" t="s">
        <v>152</v>
      </c>
      <c r="J92" s="39">
        <v>0</v>
      </c>
      <c r="K92" s="39" t="s">
        <v>152</v>
      </c>
      <c r="L92" s="39">
        <v>399122063504.14838</v>
      </c>
      <c r="M92" s="39">
        <v>6</v>
      </c>
      <c r="N92" s="39">
        <v>7930000000</v>
      </c>
      <c r="O92" s="39">
        <v>0</v>
      </c>
      <c r="P92" s="39">
        <v>0</v>
      </c>
      <c r="Q92" s="39">
        <v>6</v>
      </c>
      <c r="R92" s="19">
        <v>7930000000</v>
      </c>
      <c r="S92" s="39">
        <v>1.9868608441180744E-2</v>
      </c>
      <c r="T92" s="39">
        <v>0</v>
      </c>
      <c r="U92" s="39">
        <v>1.9868608441180744E-2</v>
      </c>
      <c r="V92" s="39">
        <v>5.9063181963757696E-3</v>
      </c>
      <c r="W92" s="39">
        <v>0</v>
      </c>
      <c r="X92" s="39">
        <v>3.7007135423715366E-3</v>
      </c>
      <c r="Y92" s="39">
        <v>466470588.2352941</v>
      </c>
      <c r="Z92" s="39">
        <v>1.1687416730106321E-3</v>
      </c>
      <c r="AA92" s="39">
        <v>2</v>
      </c>
      <c r="AB92" s="39">
        <v>0</v>
      </c>
      <c r="AC92" s="39">
        <v>0</v>
      </c>
      <c r="AD92" s="39">
        <v>0</v>
      </c>
      <c r="AE92" s="39">
        <v>0</v>
      </c>
      <c r="AF92" s="39">
        <v>0</v>
      </c>
      <c r="AG92" s="39">
        <v>0</v>
      </c>
      <c r="AH92" s="39">
        <v>0</v>
      </c>
      <c r="AI92" s="39">
        <v>0</v>
      </c>
      <c r="AJ92" s="39">
        <v>0</v>
      </c>
      <c r="AK92" s="39">
        <v>0</v>
      </c>
      <c r="AL92" s="19">
        <v>5706890000</v>
      </c>
      <c r="AM92" s="19">
        <v>9212614000</v>
      </c>
      <c r="AN92" s="39">
        <v>3505724000</v>
      </c>
      <c r="AO92" s="39">
        <v>14919504000</v>
      </c>
      <c r="AP92" s="39">
        <v>101473370000</v>
      </c>
      <c r="AQ92" s="39">
        <v>170743383000</v>
      </c>
      <c r="AR92" s="39">
        <v>69270013000</v>
      </c>
      <c r="AS92" s="39">
        <v>272216753000</v>
      </c>
      <c r="AT92" s="39">
        <v>5.6240272694205388E-2</v>
      </c>
      <c r="AU92" s="39">
        <v>5.3955906449387851E-2</v>
      </c>
      <c r="AV92" s="39">
        <v>4.0612580572922032E-2</v>
      </c>
      <c r="AW92" s="39">
        <v>8.2526577227928569E-2</v>
      </c>
      <c r="AX92" s="39">
        <v>5.4807442361932808E-2</v>
      </c>
      <c r="AY92" s="39">
        <v>3.7380804932235799E-2</v>
      </c>
      <c r="AZ92" s="39" t="s">
        <v>152</v>
      </c>
      <c r="BA92" s="39" t="s">
        <v>152</v>
      </c>
      <c r="BB92" s="39" t="s">
        <v>152</v>
      </c>
      <c r="BC92" s="39" t="s">
        <v>152</v>
      </c>
      <c r="BD92" s="39" t="s">
        <v>152</v>
      </c>
      <c r="BE92" s="39" t="s">
        <v>152</v>
      </c>
      <c r="BF92" s="39" t="s">
        <v>152</v>
      </c>
      <c r="BG92" s="39" t="s">
        <v>152</v>
      </c>
      <c r="BH92" s="39">
        <v>0</v>
      </c>
      <c r="BI92" s="39">
        <v>0</v>
      </c>
      <c r="BJ92" s="39">
        <v>0</v>
      </c>
      <c r="BK92" s="39">
        <v>0</v>
      </c>
      <c r="BL92" s="40">
        <v>0</v>
      </c>
      <c r="BM92" s="40">
        <v>0</v>
      </c>
    </row>
    <row r="93" spans="1:65" x14ac:dyDescent="0.35">
      <c r="A93" s="39">
        <v>92</v>
      </c>
      <c r="B93" s="32" t="s">
        <v>327</v>
      </c>
      <c r="C93" s="32" t="s">
        <v>181</v>
      </c>
      <c r="D93" s="32" t="s">
        <v>7</v>
      </c>
      <c r="E93" s="32" t="s">
        <v>13</v>
      </c>
      <c r="F93" s="39">
        <v>0</v>
      </c>
      <c r="G93" s="39">
        <v>0</v>
      </c>
      <c r="H93" s="39">
        <v>0</v>
      </c>
      <c r="I93" s="39" t="s">
        <v>152</v>
      </c>
      <c r="J93" s="39">
        <v>0</v>
      </c>
      <c r="K93" s="39" t="s">
        <v>152</v>
      </c>
      <c r="L93" s="39">
        <v>394652208893.13806</v>
      </c>
      <c r="M93" s="39">
        <v>3</v>
      </c>
      <c r="N93" s="39">
        <v>1820000000</v>
      </c>
      <c r="O93" s="39">
        <v>15</v>
      </c>
      <c r="P93" s="39">
        <v>10960000000</v>
      </c>
      <c r="Q93" s="39">
        <v>18</v>
      </c>
      <c r="R93" s="19">
        <v>12780000000</v>
      </c>
      <c r="S93" s="39">
        <v>4.6116554246699035E-3</v>
      </c>
      <c r="T93" s="39">
        <v>2.7771287612297878E-2</v>
      </c>
      <c r="U93" s="39">
        <v>3.238294303696778E-2</v>
      </c>
      <c r="V93" s="39">
        <v>1.3555484385124718E-3</v>
      </c>
      <c r="W93" s="39">
        <v>1.3783736197399201E-2</v>
      </c>
      <c r="X93" s="39">
        <v>5.9640755449569026E-3</v>
      </c>
      <c r="Y93" s="39">
        <v>751764705.88235295</v>
      </c>
      <c r="Z93" s="39">
        <v>1.9048790021745756E-3</v>
      </c>
      <c r="AA93" s="39">
        <v>1</v>
      </c>
      <c r="AB93" s="39">
        <v>0</v>
      </c>
      <c r="AC93" s="39">
        <v>0</v>
      </c>
      <c r="AD93" s="39">
        <v>0</v>
      </c>
      <c r="AE93" s="39">
        <v>0</v>
      </c>
      <c r="AF93" s="39">
        <v>0</v>
      </c>
      <c r="AG93" s="39">
        <v>0</v>
      </c>
      <c r="AH93" s="39">
        <v>0</v>
      </c>
      <c r="AI93" s="39">
        <v>0</v>
      </c>
      <c r="AJ93" s="39">
        <v>0</v>
      </c>
      <c r="AK93" s="39">
        <v>0</v>
      </c>
      <c r="AL93" s="19">
        <v>10230484000</v>
      </c>
      <c r="AM93" s="19">
        <v>4721776000</v>
      </c>
      <c r="AN93" s="39">
        <v>-5508708000</v>
      </c>
      <c r="AO93" s="39">
        <v>14952260000</v>
      </c>
      <c r="AP93" s="39">
        <v>76491065000</v>
      </c>
      <c r="AQ93" s="39">
        <v>58448249000</v>
      </c>
      <c r="AR93" s="39">
        <v>-18042816000</v>
      </c>
      <c r="AS93" s="39">
        <v>134939314000</v>
      </c>
      <c r="AT93" s="39">
        <v>0.13374743834459621</v>
      </c>
      <c r="AU93" s="39">
        <v>8.0785585210602293E-2</v>
      </c>
      <c r="AV93" s="39">
        <v>3.0613938813908677E-2</v>
      </c>
      <c r="AW93" s="39">
        <v>2.8250195411295663E-2</v>
      </c>
      <c r="AX93" s="39">
        <v>0.11080729223212148</v>
      </c>
      <c r="AY93" s="39">
        <v>3.7887181835205938E-2</v>
      </c>
      <c r="AZ93" s="39">
        <v>15</v>
      </c>
      <c r="BA93" s="39">
        <v>2654539877.4793816</v>
      </c>
      <c r="BB93" s="39">
        <v>0</v>
      </c>
      <c r="BC93" s="39">
        <v>0</v>
      </c>
      <c r="BD93" s="39">
        <v>15</v>
      </c>
      <c r="BE93" s="39">
        <v>2654539877.4793816</v>
      </c>
      <c r="BF93" s="39">
        <v>0</v>
      </c>
      <c r="BG93" s="39">
        <v>0</v>
      </c>
      <c r="BH93" s="39">
        <v>6.726276497791412E-3</v>
      </c>
      <c r="BI93" s="39">
        <v>0</v>
      </c>
      <c r="BJ93" s="39">
        <v>6.726276497791412E-3</v>
      </c>
      <c r="BK93" s="39">
        <v>0</v>
      </c>
      <c r="BL93" s="40">
        <v>156149404.55761069</v>
      </c>
      <c r="BM93" s="40">
        <v>3.9566332339949488E-4</v>
      </c>
    </row>
    <row r="94" spans="1:65" x14ac:dyDescent="0.35">
      <c r="A94" s="39">
        <v>93</v>
      </c>
      <c r="B94" s="32" t="s">
        <v>328</v>
      </c>
      <c r="C94" s="32" t="s">
        <v>55</v>
      </c>
      <c r="D94" s="32" t="s">
        <v>4</v>
      </c>
      <c r="E94" s="32" t="s">
        <v>13</v>
      </c>
      <c r="F94" s="39">
        <v>3</v>
      </c>
      <c r="G94" s="39">
        <v>0</v>
      </c>
      <c r="H94" s="39">
        <v>1</v>
      </c>
      <c r="I94" s="39">
        <v>2019</v>
      </c>
      <c r="J94" s="39">
        <v>0</v>
      </c>
      <c r="K94" s="39" t="s">
        <v>152</v>
      </c>
      <c r="L94" s="39">
        <v>2004913357799.9968</v>
      </c>
      <c r="M94" s="39">
        <v>7</v>
      </c>
      <c r="N94" s="39">
        <v>3550000000</v>
      </c>
      <c r="O94" s="39">
        <v>25</v>
      </c>
      <c r="P94" s="39">
        <v>23780000000</v>
      </c>
      <c r="Q94" s="39">
        <v>32</v>
      </c>
      <c r="R94" s="19">
        <v>27330000000</v>
      </c>
      <c r="S94" s="39">
        <v>1.7706500813059751E-3</v>
      </c>
      <c r="T94" s="39">
        <v>1.1860861671396081E-2</v>
      </c>
      <c r="U94" s="39">
        <v>1.3631511752702056E-2</v>
      </c>
      <c r="V94" s="39">
        <v>2.6440642619336677E-3</v>
      </c>
      <c r="W94" s="39">
        <v>2.9906683099831476E-2</v>
      </c>
      <c r="X94" s="39">
        <v>1.2754161552713E-2</v>
      </c>
      <c r="Y94" s="39">
        <v>1607647058.8235295</v>
      </c>
      <c r="Z94" s="39">
        <v>8.0185363251188569E-4</v>
      </c>
      <c r="AA94" s="39">
        <v>2</v>
      </c>
      <c r="AB94" s="39">
        <v>0</v>
      </c>
      <c r="AC94" s="39">
        <v>0</v>
      </c>
      <c r="AD94" s="39">
        <v>0</v>
      </c>
      <c r="AE94" s="39">
        <v>0</v>
      </c>
      <c r="AF94" s="39">
        <v>0</v>
      </c>
      <c r="AG94" s="39">
        <v>0</v>
      </c>
      <c r="AH94" s="39">
        <v>0</v>
      </c>
      <c r="AI94" s="39">
        <v>0</v>
      </c>
      <c r="AJ94" s="39">
        <v>0</v>
      </c>
      <c r="AK94" s="39">
        <v>0</v>
      </c>
      <c r="AL94" s="19">
        <v>35449437000</v>
      </c>
      <c r="AM94" s="19">
        <v>14519418000</v>
      </c>
      <c r="AN94" s="39">
        <v>-20930019000</v>
      </c>
      <c r="AO94" s="39">
        <v>49968855000</v>
      </c>
      <c r="AP94" s="39">
        <v>474957328000</v>
      </c>
      <c r="AQ94" s="39">
        <v>537748429000</v>
      </c>
      <c r="AR94" s="39">
        <v>62791101000</v>
      </c>
      <c r="AS94" s="39">
        <v>1012705757000</v>
      </c>
      <c r="AT94" s="39">
        <v>7.4637098766902277E-2</v>
      </c>
      <c r="AU94" s="39">
        <v>2.7000391292635463E-2</v>
      </c>
      <c r="AV94" s="39">
        <v>0.19009167382634237</v>
      </c>
      <c r="AW94" s="39">
        <v>0.25991365800141003</v>
      </c>
      <c r="AX94" s="39">
        <v>4.9341928447238004E-2</v>
      </c>
      <c r="AY94" s="39">
        <v>2.4923199202399011E-2</v>
      </c>
      <c r="AZ94" s="39" t="s">
        <v>152</v>
      </c>
      <c r="BA94" s="39" t="s">
        <v>152</v>
      </c>
      <c r="BB94" s="39" t="s">
        <v>152</v>
      </c>
      <c r="BC94" s="39" t="s">
        <v>152</v>
      </c>
      <c r="BD94" s="39" t="s">
        <v>152</v>
      </c>
      <c r="BE94" s="39" t="s">
        <v>152</v>
      </c>
      <c r="BF94" s="39" t="s">
        <v>152</v>
      </c>
      <c r="BG94" s="39" t="s">
        <v>152</v>
      </c>
      <c r="BH94" s="39">
        <v>0</v>
      </c>
      <c r="BI94" s="39">
        <v>0</v>
      </c>
      <c r="BJ94" s="39">
        <v>0</v>
      </c>
      <c r="BK94" s="39">
        <v>0</v>
      </c>
      <c r="BL94" s="40">
        <v>0</v>
      </c>
      <c r="BM94" s="40">
        <v>0</v>
      </c>
    </row>
    <row r="95" spans="1:65" x14ac:dyDescent="0.35">
      <c r="A95" s="39">
        <v>94</v>
      </c>
      <c r="B95" s="32" t="s">
        <v>330</v>
      </c>
      <c r="C95" s="32" t="s">
        <v>56</v>
      </c>
      <c r="D95" s="32" t="s">
        <v>12</v>
      </c>
      <c r="E95" s="32" t="s">
        <v>5</v>
      </c>
      <c r="F95" s="39">
        <v>1</v>
      </c>
      <c r="G95" s="39">
        <v>0</v>
      </c>
      <c r="H95" s="39">
        <v>1</v>
      </c>
      <c r="I95" s="39">
        <v>2019</v>
      </c>
      <c r="J95" s="39">
        <v>0</v>
      </c>
      <c r="K95" s="39" t="s">
        <v>152</v>
      </c>
      <c r="L95" s="39">
        <v>15830768549.891571</v>
      </c>
      <c r="M95" s="39">
        <v>2</v>
      </c>
      <c r="N95" s="39">
        <v>540000000</v>
      </c>
      <c r="O95" s="39">
        <v>4</v>
      </c>
      <c r="P95" s="39">
        <v>2140000000</v>
      </c>
      <c r="Q95" s="39">
        <v>6</v>
      </c>
      <c r="R95" s="19">
        <v>2680000000</v>
      </c>
      <c r="S95" s="39">
        <v>3.4110788639108658E-2</v>
      </c>
      <c r="T95" s="39">
        <v>0.1351797920142454</v>
      </c>
      <c r="U95" s="39">
        <v>0.16929058065335406</v>
      </c>
      <c r="V95" s="39">
        <v>4.0219569054765649E-4</v>
      </c>
      <c r="W95" s="39">
        <v>2.6913499509520337E-3</v>
      </c>
      <c r="X95" s="39">
        <v>1.2506825086451095E-3</v>
      </c>
      <c r="Y95" s="39">
        <v>157647058.82352942</v>
      </c>
      <c r="Z95" s="39">
        <v>9.9582694501972983E-3</v>
      </c>
      <c r="AA95" s="39">
        <v>0</v>
      </c>
      <c r="AB95" s="39" t="s">
        <v>152</v>
      </c>
      <c r="AC95" s="39" t="s">
        <v>152</v>
      </c>
      <c r="AD95" s="39" t="s">
        <v>152</v>
      </c>
      <c r="AE95" s="39" t="s">
        <v>152</v>
      </c>
      <c r="AF95" s="39" t="s">
        <v>152</v>
      </c>
      <c r="AG95" s="39" t="s">
        <v>152</v>
      </c>
      <c r="AH95" s="39">
        <v>0</v>
      </c>
      <c r="AI95" s="39" t="s">
        <v>152</v>
      </c>
      <c r="AJ95" s="39" t="s">
        <v>152</v>
      </c>
      <c r="AK95" s="39" t="s">
        <v>152</v>
      </c>
      <c r="AL95" s="19">
        <v>492158</v>
      </c>
      <c r="AM95" s="19">
        <v>36193</v>
      </c>
      <c r="AN95" s="39">
        <v>-455965</v>
      </c>
      <c r="AO95" s="39">
        <v>528351</v>
      </c>
      <c r="AP95" s="39">
        <v>6339233000</v>
      </c>
      <c r="AQ95" s="39">
        <v>1586351000</v>
      </c>
      <c r="AR95" s="39">
        <v>-4752882000</v>
      </c>
      <c r="AS95" s="39">
        <v>7925584000</v>
      </c>
      <c r="AT95" s="39">
        <v>7.7636837137868263E-5</v>
      </c>
      <c r="AU95" s="39">
        <v>2.2815253370786162E-5</v>
      </c>
      <c r="AV95" s="39">
        <v>2.5371445826922493E-3</v>
      </c>
      <c r="AW95" s="39">
        <v>7.6674197273051401E-4</v>
      </c>
      <c r="AX95" s="39">
        <v>6.6663983373338795E-5</v>
      </c>
      <c r="AY95" s="39">
        <v>3.3374943126410549E-5</v>
      </c>
      <c r="AZ95" s="39">
        <v>79</v>
      </c>
      <c r="BA95" s="39">
        <v>2417432921.7819471</v>
      </c>
      <c r="BB95" s="39">
        <v>52</v>
      </c>
      <c r="BC95" s="39">
        <v>392676844.9338299</v>
      </c>
      <c r="BD95" s="39">
        <v>24</v>
      </c>
      <c r="BE95" s="39">
        <v>2003071917.3938727</v>
      </c>
      <c r="BF95" s="39">
        <v>3</v>
      </c>
      <c r="BG95" s="39">
        <v>21684159.454244822</v>
      </c>
      <c r="BH95" s="39">
        <v>0.15270471008171646</v>
      </c>
      <c r="BI95" s="39">
        <v>2.4804660853722068E-2</v>
      </c>
      <c r="BJ95" s="39">
        <v>0.12653030148732686</v>
      </c>
      <c r="BK95" s="39">
        <v>1.3697477406675459E-3</v>
      </c>
      <c r="BL95" s="40">
        <v>142201936.57540867</v>
      </c>
      <c r="BM95" s="40">
        <v>8.9826300048068512E-3</v>
      </c>
    </row>
    <row r="96" spans="1:65" x14ac:dyDescent="0.35">
      <c r="A96" s="39">
        <v>95</v>
      </c>
      <c r="B96" s="32" t="s">
        <v>331</v>
      </c>
      <c r="C96" s="32" t="s">
        <v>164</v>
      </c>
      <c r="D96" s="32" t="s">
        <v>23</v>
      </c>
      <c r="E96" s="32" t="s">
        <v>13</v>
      </c>
      <c r="F96" s="39">
        <v>0</v>
      </c>
      <c r="G96" s="39">
        <v>0</v>
      </c>
      <c r="H96" s="39">
        <v>0</v>
      </c>
      <c r="I96" s="39" t="s">
        <v>152</v>
      </c>
      <c r="J96" s="39">
        <v>0</v>
      </c>
      <c r="K96" s="39" t="s">
        <v>152</v>
      </c>
      <c r="L96" s="39">
        <v>5148781948478.1729</v>
      </c>
      <c r="M96" s="39">
        <v>26</v>
      </c>
      <c r="N96" s="39">
        <v>11800000000</v>
      </c>
      <c r="O96" s="39">
        <v>0</v>
      </c>
      <c r="P96" s="39">
        <v>0</v>
      </c>
      <c r="Q96" s="39">
        <v>26</v>
      </c>
      <c r="R96" s="19">
        <v>11800000000</v>
      </c>
      <c r="S96" s="39">
        <v>2.2918041816643118E-3</v>
      </c>
      <c r="T96" s="39">
        <v>0</v>
      </c>
      <c r="U96" s="39">
        <v>2.2918041816643118E-3</v>
      </c>
      <c r="V96" s="39">
        <v>8.7887206453006409E-3</v>
      </c>
      <c r="W96" s="39">
        <v>0</v>
      </c>
      <c r="X96" s="39">
        <v>5.5067364186613035E-3</v>
      </c>
      <c r="Y96" s="39">
        <v>694117647.05882359</v>
      </c>
      <c r="Z96" s="39">
        <v>1.34812010686136E-4</v>
      </c>
      <c r="AA96" s="39">
        <v>0</v>
      </c>
      <c r="AB96" s="39" t="s">
        <v>152</v>
      </c>
      <c r="AC96" s="39" t="s">
        <v>152</v>
      </c>
      <c r="AD96" s="39" t="s">
        <v>152</v>
      </c>
      <c r="AE96" s="39" t="s">
        <v>152</v>
      </c>
      <c r="AF96" s="39" t="s">
        <v>152</v>
      </c>
      <c r="AG96" s="39" t="s">
        <v>152</v>
      </c>
      <c r="AH96" s="39">
        <v>0</v>
      </c>
      <c r="AI96" s="39" t="s">
        <v>152</v>
      </c>
      <c r="AJ96" s="39" t="s">
        <v>152</v>
      </c>
      <c r="AK96" s="39" t="s">
        <v>152</v>
      </c>
      <c r="AL96" s="19">
        <v>169236468000</v>
      </c>
      <c r="AM96" s="19">
        <v>134719884000</v>
      </c>
      <c r="AN96" s="39">
        <v>-34516584000</v>
      </c>
      <c r="AO96" s="39">
        <v>303956352000</v>
      </c>
      <c r="AP96" s="39">
        <v>720964445000</v>
      </c>
      <c r="AQ96" s="39">
        <v>705842013000</v>
      </c>
      <c r="AR96" s="39">
        <v>-15122432000</v>
      </c>
      <c r="AS96" s="39">
        <v>1426806458000</v>
      </c>
      <c r="AT96" s="39">
        <v>0.23473621920426327</v>
      </c>
      <c r="AU96" s="39">
        <v>0.19086407654796259</v>
      </c>
      <c r="AV96" s="39">
        <v>0.28855084454940749</v>
      </c>
      <c r="AW96" s="39">
        <v>0.34115948959826486</v>
      </c>
      <c r="AX96" s="39">
        <v>0.21303264384299556</v>
      </c>
      <c r="AY96" s="39">
        <v>5.90346134370364E-2</v>
      </c>
      <c r="AZ96" s="39" t="s">
        <v>152</v>
      </c>
      <c r="BA96" s="39" t="s">
        <v>152</v>
      </c>
      <c r="BB96" s="39" t="s">
        <v>152</v>
      </c>
      <c r="BC96" s="39" t="s">
        <v>152</v>
      </c>
      <c r="BD96" s="39" t="s">
        <v>152</v>
      </c>
      <c r="BE96" s="39" t="s">
        <v>152</v>
      </c>
      <c r="BF96" s="39" t="s">
        <v>152</v>
      </c>
      <c r="BG96" s="39" t="s">
        <v>152</v>
      </c>
      <c r="BH96" s="39">
        <v>0</v>
      </c>
      <c r="BI96" s="39">
        <v>0</v>
      </c>
      <c r="BJ96" s="39">
        <v>0</v>
      </c>
      <c r="BK96" s="39">
        <v>0</v>
      </c>
      <c r="BL96" s="40">
        <v>0</v>
      </c>
      <c r="BM96" s="40">
        <v>0</v>
      </c>
    </row>
    <row r="97" spans="1:65" x14ac:dyDescent="0.35">
      <c r="A97" s="39">
        <v>96</v>
      </c>
      <c r="B97" s="32" t="s">
        <v>332</v>
      </c>
      <c r="C97" s="32" t="s">
        <v>183</v>
      </c>
      <c r="D97" s="32" t="s">
        <v>7</v>
      </c>
      <c r="E97" s="32" t="s">
        <v>5</v>
      </c>
      <c r="F97" s="39">
        <v>0</v>
      </c>
      <c r="G97" s="39">
        <v>0</v>
      </c>
      <c r="H97" s="39">
        <v>0</v>
      </c>
      <c r="I97" s="39" t="s">
        <v>152</v>
      </c>
      <c r="J97" s="39">
        <v>0</v>
      </c>
      <c r="K97" s="39" t="s">
        <v>152</v>
      </c>
      <c r="L97" s="39">
        <v>44502895915.492958</v>
      </c>
      <c r="M97" s="39">
        <v>3</v>
      </c>
      <c r="N97" s="39">
        <v>1940000000</v>
      </c>
      <c r="O97" s="39">
        <v>7</v>
      </c>
      <c r="P97" s="39">
        <v>4400000000</v>
      </c>
      <c r="Q97" s="39">
        <v>10</v>
      </c>
      <c r="R97" s="19">
        <v>6340000000</v>
      </c>
      <c r="S97" s="39">
        <v>4.3592668748655986E-2</v>
      </c>
      <c r="T97" s="39">
        <v>9.8869970357776463E-2</v>
      </c>
      <c r="U97" s="39">
        <v>0.14246263910643245</v>
      </c>
      <c r="V97" s="39">
        <v>1.4449252586341732E-3</v>
      </c>
      <c r="W97" s="39">
        <v>5.5336167215836209E-3</v>
      </c>
      <c r="X97" s="39">
        <v>2.958704143585819E-3</v>
      </c>
      <c r="Y97" s="39">
        <v>372941176.47058821</v>
      </c>
      <c r="Z97" s="39">
        <v>8.3801552415548493E-3</v>
      </c>
      <c r="AA97" s="39">
        <v>1</v>
      </c>
      <c r="AB97" s="39">
        <v>1</v>
      </c>
      <c r="AC97" s="39">
        <v>250000000</v>
      </c>
      <c r="AD97" s="39">
        <v>0</v>
      </c>
      <c r="AE97" s="39">
        <v>0</v>
      </c>
      <c r="AF97" s="39">
        <v>0</v>
      </c>
      <c r="AG97" s="39">
        <v>0</v>
      </c>
      <c r="AH97" s="39">
        <v>1</v>
      </c>
      <c r="AI97" s="39">
        <v>250000000</v>
      </c>
      <c r="AJ97" s="39">
        <v>5.6176119521463902E-3</v>
      </c>
      <c r="AK97" s="39">
        <v>6.2719156412293659E-3</v>
      </c>
      <c r="AL97" s="19">
        <v>3086738000</v>
      </c>
      <c r="AM97" s="19">
        <v>206890000</v>
      </c>
      <c r="AN97" s="39">
        <v>-2879848000</v>
      </c>
      <c r="AO97" s="39">
        <v>3293628000</v>
      </c>
      <c r="AP97" s="39">
        <v>19336709000</v>
      </c>
      <c r="AQ97" s="39">
        <v>8312917000</v>
      </c>
      <c r="AR97" s="39">
        <v>-11023792000</v>
      </c>
      <c r="AS97" s="39">
        <v>27649626000</v>
      </c>
      <c r="AT97" s="39">
        <v>0.15963098994766897</v>
      </c>
      <c r="AU97" s="39">
        <v>2.4887774050913778E-2</v>
      </c>
      <c r="AV97" s="39">
        <v>7.7391107861860368E-3</v>
      </c>
      <c r="AW97" s="39">
        <v>4.0179395226687068E-3</v>
      </c>
      <c r="AX97" s="39">
        <v>0.11912016459101472</v>
      </c>
      <c r="AY97" s="39">
        <v>7.4009296074896036E-2</v>
      </c>
      <c r="AZ97" s="39">
        <v>72</v>
      </c>
      <c r="BA97" s="39">
        <v>4727412211.0386553</v>
      </c>
      <c r="BB97" s="39">
        <v>56</v>
      </c>
      <c r="BC97" s="39">
        <v>282307787.39558607</v>
      </c>
      <c r="BD97" s="39">
        <v>15</v>
      </c>
      <c r="BE97" s="39">
        <v>1692278229.7153194</v>
      </c>
      <c r="BF97" s="39">
        <v>1</v>
      </c>
      <c r="BG97" s="39">
        <v>2752826193.9277501</v>
      </c>
      <c r="BH97" s="39">
        <v>0.10622706935781417</v>
      </c>
      <c r="BI97" s="39">
        <v>6.3435824026297849E-3</v>
      </c>
      <c r="BJ97" s="39">
        <v>3.8026249638423652E-2</v>
      </c>
      <c r="BK97" s="39">
        <v>6.1857237316760738E-2</v>
      </c>
      <c r="BL97" s="40">
        <v>278083071.23756796</v>
      </c>
      <c r="BM97" s="40">
        <v>6.2486511386949514E-3</v>
      </c>
    </row>
    <row r="98" spans="1:65" x14ac:dyDescent="0.35">
      <c r="A98" s="39">
        <v>97</v>
      </c>
      <c r="B98" s="32" t="s">
        <v>333</v>
      </c>
      <c r="C98" s="32" t="s">
        <v>57</v>
      </c>
      <c r="D98" s="32" t="s">
        <v>4</v>
      </c>
      <c r="E98" s="32" t="s">
        <v>5</v>
      </c>
      <c r="F98" s="39">
        <v>3</v>
      </c>
      <c r="G98" s="39">
        <v>0</v>
      </c>
      <c r="H98" s="39">
        <v>1</v>
      </c>
      <c r="I98" s="39">
        <v>2015</v>
      </c>
      <c r="J98" s="39">
        <v>0</v>
      </c>
      <c r="K98" s="39" t="s">
        <v>152</v>
      </c>
      <c r="L98" s="39">
        <v>181667190075.54071</v>
      </c>
      <c r="M98" s="39">
        <v>19</v>
      </c>
      <c r="N98" s="39">
        <v>22190000000</v>
      </c>
      <c r="O98" s="39">
        <v>27</v>
      </c>
      <c r="P98" s="39">
        <v>12490000000</v>
      </c>
      <c r="Q98" s="39">
        <v>46</v>
      </c>
      <c r="R98" s="19">
        <v>34680000000</v>
      </c>
      <c r="S98" s="39">
        <v>0.12214643706864718</v>
      </c>
      <c r="T98" s="39">
        <v>6.8752095492897847E-2</v>
      </c>
      <c r="U98" s="39">
        <v>0.19089853256154504</v>
      </c>
      <c r="V98" s="39">
        <v>1.652726365417129E-2</v>
      </c>
      <c r="W98" s="39">
        <v>1.5707925648313505E-2</v>
      </c>
      <c r="X98" s="39">
        <v>1.6184204999930001E-2</v>
      </c>
      <c r="Y98" s="39">
        <v>2040000000</v>
      </c>
      <c r="Z98" s="39">
        <v>1.1229325444796767E-2</v>
      </c>
      <c r="AA98" s="39">
        <v>1</v>
      </c>
      <c r="AB98" s="39">
        <v>2</v>
      </c>
      <c r="AC98" s="39">
        <v>796700000</v>
      </c>
      <c r="AD98" s="39">
        <v>0</v>
      </c>
      <c r="AE98" s="39">
        <v>0</v>
      </c>
      <c r="AF98" s="39">
        <v>0</v>
      </c>
      <c r="AG98" s="39">
        <v>0</v>
      </c>
      <c r="AH98" s="39">
        <v>2</v>
      </c>
      <c r="AI98" s="39">
        <v>796700000</v>
      </c>
      <c r="AJ98" s="39">
        <v>4.3854919518968548E-3</v>
      </c>
      <c r="AK98" s="39">
        <v>1.9987340765469742E-2</v>
      </c>
      <c r="AL98" s="19">
        <v>6537806000</v>
      </c>
      <c r="AM98" s="19">
        <v>7823406000</v>
      </c>
      <c r="AN98" s="39">
        <v>1285600000</v>
      </c>
      <c r="AO98" s="39">
        <v>14361212000</v>
      </c>
      <c r="AP98" s="39">
        <v>38356664000</v>
      </c>
      <c r="AQ98" s="39">
        <v>57722942000</v>
      </c>
      <c r="AR98" s="39">
        <v>19366278000</v>
      </c>
      <c r="AS98" s="39">
        <v>96079606000</v>
      </c>
      <c r="AT98" s="39">
        <v>0.17044772193953051</v>
      </c>
      <c r="AU98" s="39">
        <v>0.13553373630886659</v>
      </c>
      <c r="AV98" s="39">
        <v>1.535144745077943E-2</v>
      </c>
      <c r="AW98" s="39">
        <v>2.7899627775245857E-2</v>
      </c>
      <c r="AX98" s="39">
        <v>0.14947201178156372</v>
      </c>
      <c r="AY98" s="39">
        <v>7.905231535770621E-2</v>
      </c>
      <c r="AZ98" s="39">
        <v>124</v>
      </c>
      <c r="BA98" s="39">
        <v>83520871989.101364</v>
      </c>
      <c r="BB98" s="39">
        <v>52</v>
      </c>
      <c r="BC98" s="39">
        <v>27212651292.361855</v>
      </c>
      <c r="BD98" s="39">
        <v>59</v>
      </c>
      <c r="BE98" s="39">
        <v>50505760818.666328</v>
      </c>
      <c r="BF98" s="39">
        <v>13</v>
      </c>
      <c r="BG98" s="39">
        <v>5802459878.0731754</v>
      </c>
      <c r="BH98" s="39">
        <v>0.45974659460726935</v>
      </c>
      <c r="BI98" s="39">
        <v>0.14979397920475521</v>
      </c>
      <c r="BJ98" s="39">
        <v>0.27801256130875951</v>
      </c>
      <c r="BK98" s="39">
        <v>3.1940054093754632E-2</v>
      </c>
      <c r="BL98" s="40">
        <v>4912992469.9471388</v>
      </c>
      <c r="BM98" s="40">
        <v>2.7043917329839372E-2</v>
      </c>
    </row>
    <row r="99" spans="1:65" x14ac:dyDescent="0.35">
      <c r="A99" s="39">
        <v>98</v>
      </c>
      <c r="B99" s="32" t="s">
        <v>334</v>
      </c>
      <c r="C99" s="32" t="s">
        <v>58</v>
      </c>
      <c r="D99" s="32" t="s">
        <v>9</v>
      </c>
      <c r="E99" s="32" t="s">
        <v>10</v>
      </c>
      <c r="F99" s="39">
        <v>0</v>
      </c>
      <c r="G99" s="39">
        <v>0</v>
      </c>
      <c r="H99" s="39">
        <v>1</v>
      </c>
      <c r="I99" s="39">
        <v>2017</v>
      </c>
      <c r="J99" s="39">
        <v>0</v>
      </c>
      <c r="K99" s="39" t="s">
        <v>152</v>
      </c>
      <c r="L99" s="39">
        <v>95503088538.09198</v>
      </c>
      <c r="M99" s="39">
        <v>10</v>
      </c>
      <c r="N99" s="39">
        <v>7340000000</v>
      </c>
      <c r="O99" s="39">
        <v>32</v>
      </c>
      <c r="P99" s="39">
        <v>9220000000</v>
      </c>
      <c r="Q99" s="39">
        <v>42</v>
      </c>
      <c r="R99" s="19">
        <v>16560000000</v>
      </c>
      <c r="S99" s="39">
        <v>7.6856153160663451E-2</v>
      </c>
      <c r="T99" s="39">
        <v>9.6541380400724394E-2</v>
      </c>
      <c r="U99" s="39">
        <v>0.17339753356138785</v>
      </c>
      <c r="V99" s="39">
        <v>5.4668821641107382E-3</v>
      </c>
      <c r="W99" s="39">
        <v>1.1595442312045677E-2</v>
      </c>
      <c r="X99" s="39">
        <v>7.7280978892399306E-3</v>
      </c>
      <c r="Y99" s="39">
        <v>974117647.05882359</v>
      </c>
      <c r="Z99" s="39">
        <v>1.0199854915375757E-2</v>
      </c>
      <c r="AA99" s="39">
        <v>3</v>
      </c>
      <c r="AB99" s="39">
        <v>0</v>
      </c>
      <c r="AC99" s="39">
        <v>0</v>
      </c>
      <c r="AD99" s="39">
        <v>0</v>
      </c>
      <c r="AE99" s="39">
        <v>0</v>
      </c>
      <c r="AF99" s="39">
        <v>0</v>
      </c>
      <c r="AG99" s="39">
        <v>0</v>
      </c>
      <c r="AH99" s="39">
        <v>0</v>
      </c>
      <c r="AI99" s="39">
        <v>0</v>
      </c>
      <c r="AJ99" s="39">
        <v>0</v>
      </c>
      <c r="AK99" s="39">
        <v>0</v>
      </c>
      <c r="AL99" s="19">
        <v>3590419000</v>
      </c>
      <c r="AM99" s="19">
        <v>148552000</v>
      </c>
      <c r="AN99" s="39">
        <v>-3441867000</v>
      </c>
      <c r="AO99" s="39">
        <v>3738971000</v>
      </c>
      <c r="AP99" s="39">
        <v>17220379000</v>
      </c>
      <c r="AQ99" s="39">
        <v>5836027000</v>
      </c>
      <c r="AR99" s="39">
        <v>-11384352000</v>
      </c>
      <c r="AS99" s="39">
        <v>23056406000</v>
      </c>
      <c r="AT99" s="39">
        <v>0.20849825662954341</v>
      </c>
      <c r="AU99" s="39">
        <v>2.5454303072963851E-2</v>
      </c>
      <c r="AV99" s="39">
        <v>6.8920942473257212E-3</v>
      </c>
      <c r="AW99" s="39">
        <v>2.8207671914277123E-3</v>
      </c>
      <c r="AX99" s="39">
        <v>0.1621662543589838</v>
      </c>
      <c r="AY99" s="39">
        <v>3.9150262648403135E-2</v>
      </c>
      <c r="AZ99" s="39">
        <v>191</v>
      </c>
      <c r="BA99" s="39">
        <v>15971557294.632847</v>
      </c>
      <c r="BB99" s="39">
        <v>133</v>
      </c>
      <c r="BC99" s="39">
        <v>2806509408.8657408</v>
      </c>
      <c r="BD99" s="39">
        <v>36</v>
      </c>
      <c r="BE99" s="39">
        <v>7976308103.5065899</v>
      </c>
      <c r="BF99" s="39">
        <v>22</v>
      </c>
      <c r="BG99" s="39">
        <v>5188739782.2605143</v>
      </c>
      <c r="BH99" s="39">
        <v>0.16723602910771304</v>
      </c>
      <c r="BI99" s="39">
        <v>2.9386582694091067E-2</v>
      </c>
      <c r="BJ99" s="39">
        <v>8.351884976290784E-2</v>
      </c>
      <c r="BK99" s="39">
        <v>5.4330596650714123E-2</v>
      </c>
      <c r="BL99" s="40">
        <v>939503370.27252042</v>
      </c>
      <c r="BM99" s="40">
        <v>9.8374134769242966E-3</v>
      </c>
    </row>
    <row r="100" spans="1:65" x14ac:dyDescent="0.35">
      <c r="A100" s="39">
        <v>99</v>
      </c>
      <c r="B100" s="32" t="s">
        <v>335</v>
      </c>
      <c r="C100" s="32" t="s">
        <v>59</v>
      </c>
      <c r="D100" s="32" t="s">
        <v>23</v>
      </c>
      <c r="E100" s="32" t="s">
        <v>10</v>
      </c>
      <c r="F100" s="39">
        <v>0</v>
      </c>
      <c r="G100" s="39">
        <v>0</v>
      </c>
      <c r="H100" s="39">
        <v>1</v>
      </c>
      <c r="I100" s="39">
        <v>2020</v>
      </c>
      <c r="J100" s="39">
        <v>1</v>
      </c>
      <c r="K100" s="39">
        <v>2019</v>
      </c>
      <c r="L100" s="39">
        <v>194647201.94647205</v>
      </c>
      <c r="M100" s="39">
        <v>0</v>
      </c>
      <c r="N100" s="39">
        <v>0</v>
      </c>
      <c r="O100" s="39">
        <v>0</v>
      </c>
      <c r="P100" s="39">
        <v>0</v>
      </c>
      <c r="Q100" s="39">
        <v>0</v>
      </c>
      <c r="R100" s="19">
        <v>0</v>
      </c>
      <c r="S100" s="39">
        <v>0</v>
      </c>
      <c r="T100" s="39">
        <v>0</v>
      </c>
      <c r="U100" s="39">
        <v>0</v>
      </c>
      <c r="V100" s="39">
        <v>0</v>
      </c>
      <c r="W100" s="39">
        <v>0</v>
      </c>
      <c r="X100" s="39">
        <v>0</v>
      </c>
      <c r="Y100" s="39">
        <v>0</v>
      </c>
      <c r="Z100" s="39">
        <v>0</v>
      </c>
      <c r="AA100" s="39">
        <v>0</v>
      </c>
      <c r="AB100" s="39" t="s">
        <v>152</v>
      </c>
      <c r="AC100" s="39" t="s">
        <v>152</v>
      </c>
      <c r="AD100" s="39" t="s">
        <v>152</v>
      </c>
      <c r="AE100" s="39" t="s">
        <v>152</v>
      </c>
      <c r="AF100" s="39" t="s">
        <v>152</v>
      </c>
      <c r="AG100" s="39" t="s">
        <v>152</v>
      </c>
      <c r="AH100" s="39">
        <v>0</v>
      </c>
      <c r="AI100" s="39" t="s">
        <v>152</v>
      </c>
      <c r="AJ100" s="39" t="s">
        <v>152</v>
      </c>
      <c r="AK100" s="39" t="s">
        <v>152</v>
      </c>
      <c r="AL100" s="19">
        <v>20208000</v>
      </c>
      <c r="AM100" s="19">
        <v>1919000</v>
      </c>
      <c r="AN100" s="39">
        <v>-18289000</v>
      </c>
      <c r="AO100" s="39">
        <v>22127000</v>
      </c>
      <c r="AP100" s="39">
        <v>104950000</v>
      </c>
      <c r="AQ100" s="39">
        <v>98354000</v>
      </c>
      <c r="AR100" s="39">
        <v>-6596000</v>
      </c>
      <c r="AS100" s="39">
        <v>203304000</v>
      </c>
      <c r="AT100" s="39">
        <v>0.19254883277751311</v>
      </c>
      <c r="AU100" s="39">
        <v>1.9511153588059459E-2</v>
      </c>
      <c r="AV100" s="39">
        <v>4.2004028555749819E-5</v>
      </c>
      <c r="AW100" s="39">
        <v>4.7538117343473782E-5</v>
      </c>
      <c r="AX100" s="39">
        <v>0.10883701255263055</v>
      </c>
      <c r="AY100" s="39">
        <v>0.11367746249999998</v>
      </c>
      <c r="AZ100" s="39">
        <v>1</v>
      </c>
      <c r="BA100" s="39">
        <v>11932058.166570701</v>
      </c>
      <c r="BB100" s="39">
        <v>1</v>
      </c>
      <c r="BC100" s="39">
        <v>11932058.166570701</v>
      </c>
      <c r="BD100" s="39">
        <v>0</v>
      </c>
      <c r="BE100" s="39">
        <v>0</v>
      </c>
      <c r="BF100" s="39">
        <v>0</v>
      </c>
      <c r="BG100" s="39">
        <v>0</v>
      </c>
      <c r="BH100" s="39">
        <v>6.1300948830756964E-2</v>
      </c>
      <c r="BI100" s="39">
        <v>6.1300948830756964E-2</v>
      </c>
      <c r="BJ100" s="39">
        <v>0</v>
      </c>
      <c r="BK100" s="39">
        <v>0</v>
      </c>
      <c r="BL100" s="40">
        <v>701885.77450415888</v>
      </c>
      <c r="BM100" s="40">
        <v>3.6059381665151159E-3</v>
      </c>
    </row>
    <row r="101" spans="1:65" x14ac:dyDescent="0.35">
      <c r="A101" s="39">
        <v>100</v>
      </c>
      <c r="B101" s="32" t="s">
        <v>408</v>
      </c>
      <c r="C101" s="32" t="s">
        <v>210</v>
      </c>
      <c r="D101" s="32" t="s">
        <v>23</v>
      </c>
      <c r="E101" s="32" t="s">
        <v>2</v>
      </c>
      <c r="F101" s="39">
        <v>2</v>
      </c>
      <c r="G101" s="39">
        <v>1</v>
      </c>
      <c r="H101" s="39">
        <v>1</v>
      </c>
      <c r="I101" s="39">
        <v>2018</v>
      </c>
      <c r="J101" s="39">
        <v>0</v>
      </c>
      <c r="K101" s="39" t="s">
        <v>152</v>
      </c>
      <c r="L101" s="39">
        <v>1646739219509.8928</v>
      </c>
      <c r="M101" s="39">
        <v>4</v>
      </c>
      <c r="N101" s="39">
        <v>2120000000</v>
      </c>
      <c r="O101" s="39">
        <v>14</v>
      </c>
      <c r="P101" s="39">
        <v>7240000000</v>
      </c>
      <c r="Q101" s="39">
        <v>18</v>
      </c>
      <c r="R101" s="19">
        <v>9360000000</v>
      </c>
      <c r="S101" s="39">
        <v>1.2873926696365199E-3</v>
      </c>
      <c r="T101" s="39">
        <v>4.39656741894736E-3</v>
      </c>
      <c r="U101" s="39">
        <v>5.6839600885838799E-3</v>
      </c>
      <c r="V101" s="39">
        <v>1.5789904888167253E-3</v>
      </c>
      <c r="W101" s="39">
        <v>9.1053147873330475E-3</v>
      </c>
      <c r="X101" s="39">
        <v>4.3680553287008305E-3</v>
      </c>
      <c r="Y101" s="39">
        <v>550588235.29411769</v>
      </c>
      <c r="Z101" s="39">
        <v>3.3435059344611063E-4</v>
      </c>
      <c r="AA101" s="39">
        <v>1</v>
      </c>
      <c r="AB101" s="39">
        <v>0</v>
      </c>
      <c r="AC101" s="39">
        <v>0</v>
      </c>
      <c r="AD101" s="39">
        <v>0</v>
      </c>
      <c r="AE101" s="39">
        <v>0</v>
      </c>
      <c r="AF101" s="39">
        <v>0</v>
      </c>
      <c r="AG101" s="39">
        <v>0</v>
      </c>
      <c r="AH101" s="39">
        <v>0</v>
      </c>
      <c r="AI101" s="39">
        <v>0</v>
      </c>
      <c r="AJ101" s="39">
        <v>0</v>
      </c>
      <c r="AK101" s="39">
        <v>0</v>
      </c>
      <c r="AL101" s="19">
        <v>107219763000</v>
      </c>
      <c r="AM101" s="19">
        <v>136213398000</v>
      </c>
      <c r="AN101" s="39">
        <v>28993635000</v>
      </c>
      <c r="AO101" s="39">
        <v>243433161000</v>
      </c>
      <c r="AP101" s="39">
        <v>503259397000</v>
      </c>
      <c r="AQ101" s="39">
        <v>542333337000</v>
      </c>
      <c r="AR101" s="39">
        <v>39073940000</v>
      </c>
      <c r="AS101" s="39">
        <v>1045592734000</v>
      </c>
      <c r="AT101" s="39">
        <v>0.21305069242452715</v>
      </c>
      <c r="AU101" s="39">
        <v>0.25116176474322099</v>
      </c>
      <c r="AV101" s="39">
        <v>0.20141898125333429</v>
      </c>
      <c r="AW101" s="39">
        <v>0.26212971321536199</v>
      </c>
      <c r="AX101" s="39">
        <v>0.23281833651303854</v>
      </c>
      <c r="AY101" s="39">
        <v>0.14782739010275789</v>
      </c>
      <c r="AZ101" s="39" t="s">
        <v>152</v>
      </c>
      <c r="BA101" s="39" t="s">
        <v>152</v>
      </c>
      <c r="BB101" s="39" t="s">
        <v>152</v>
      </c>
      <c r="BC101" s="39" t="s">
        <v>152</v>
      </c>
      <c r="BD101" s="39" t="s">
        <v>152</v>
      </c>
      <c r="BE101" s="39" t="s">
        <v>152</v>
      </c>
      <c r="BF101" s="39" t="s">
        <v>152</v>
      </c>
      <c r="BG101" s="39" t="s">
        <v>152</v>
      </c>
      <c r="BH101" s="39">
        <v>0</v>
      </c>
      <c r="BI101" s="39">
        <v>0</v>
      </c>
      <c r="BJ101" s="39">
        <v>0</v>
      </c>
      <c r="BK101" s="39">
        <v>0</v>
      </c>
      <c r="BL101" s="40">
        <v>0</v>
      </c>
      <c r="BM101" s="40">
        <v>0</v>
      </c>
    </row>
    <row r="102" spans="1:65" x14ac:dyDescent="0.35">
      <c r="A102" s="39">
        <v>101</v>
      </c>
      <c r="B102" s="32" t="s">
        <v>374</v>
      </c>
      <c r="C102" s="32" t="s">
        <v>212</v>
      </c>
      <c r="D102" s="32" t="s">
        <v>23</v>
      </c>
      <c r="E102" s="32" t="s">
        <v>13</v>
      </c>
      <c r="F102" s="39">
        <v>0</v>
      </c>
      <c r="G102" s="39">
        <v>0</v>
      </c>
      <c r="H102" s="39">
        <v>0</v>
      </c>
      <c r="I102" s="39" t="s">
        <v>152</v>
      </c>
      <c r="J102" s="39">
        <v>0</v>
      </c>
      <c r="K102" s="39" t="s">
        <v>152</v>
      </c>
      <c r="L102" s="39" t="s">
        <v>152</v>
      </c>
      <c r="M102" s="39">
        <v>1</v>
      </c>
      <c r="N102" s="39">
        <v>2000000000</v>
      </c>
      <c r="O102" s="39">
        <v>0</v>
      </c>
      <c r="P102" s="39">
        <v>0</v>
      </c>
      <c r="Q102" s="39">
        <v>1</v>
      </c>
      <c r="R102" s="19">
        <v>2000000000</v>
      </c>
      <c r="S102" s="39">
        <v>0</v>
      </c>
      <c r="T102" s="39">
        <v>0</v>
      </c>
      <c r="U102" s="39">
        <v>0</v>
      </c>
      <c r="V102" s="39">
        <v>1.4896136686950239E-3</v>
      </c>
      <c r="W102" s="39">
        <v>0</v>
      </c>
      <c r="X102" s="39">
        <v>9.3334515570530556E-4</v>
      </c>
      <c r="Y102" s="39">
        <v>117647058.82352941</v>
      </c>
      <c r="Z102" s="39">
        <v>0</v>
      </c>
      <c r="AA102" s="39">
        <v>0</v>
      </c>
      <c r="AB102" s="39" t="s">
        <v>152</v>
      </c>
      <c r="AC102" s="39" t="s">
        <v>152</v>
      </c>
      <c r="AD102" s="39" t="s">
        <v>152</v>
      </c>
      <c r="AE102" s="39" t="s">
        <v>152</v>
      </c>
      <c r="AF102" s="39" t="s">
        <v>152</v>
      </c>
      <c r="AG102" s="39" t="s">
        <v>152</v>
      </c>
      <c r="AH102" s="39">
        <v>0</v>
      </c>
      <c r="AI102" s="39" t="s">
        <v>152</v>
      </c>
      <c r="AJ102" s="39" t="s">
        <v>152</v>
      </c>
      <c r="AK102" s="39" t="s">
        <v>152</v>
      </c>
      <c r="AL102" s="19">
        <v>2929120000</v>
      </c>
      <c r="AM102" s="19">
        <v>2576499000</v>
      </c>
      <c r="AN102" s="39">
        <v>-352621000</v>
      </c>
      <c r="AO102" s="39">
        <v>5505619000</v>
      </c>
      <c r="AP102" s="39">
        <v>3239556000</v>
      </c>
      <c r="AQ102" s="39">
        <v>2997825000</v>
      </c>
      <c r="AR102" s="39">
        <v>-241731000</v>
      </c>
      <c r="AS102" s="39">
        <v>6237381000</v>
      </c>
      <c r="AT102" s="39">
        <v>0.90417328794439733</v>
      </c>
      <c r="AU102" s="39">
        <v>0.85945610567661557</v>
      </c>
      <c r="AV102" s="39">
        <v>1.2965641041634175E-3</v>
      </c>
      <c r="AW102" s="39">
        <v>1.4489594386115387E-3</v>
      </c>
      <c r="AX102" s="39">
        <v>0.88268120866754818</v>
      </c>
      <c r="AY102" s="39" t="s">
        <v>152</v>
      </c>
      <c r="AZ102" s="39">
        <v>126</v>
      </c>
      <c r="BA102" s="39">
        <v>7330423494.5992079</v>
      </c>
      <c r="BB102" s="39">
        <v>115</v>
      </c>
      <c r="BC102" s="39">
        <v>7182188240.9055529</v>
      </c>
      <c r="BD102" s="39">
        <v>9</v>
      </c>
      <c r="BE102" s="39">
        <v>148235253.69365531</v>
      </c>
      <c r="BF102" s="39">
        <v>2</v>
      </c>
      <c r="BG102" s="39">
        <v>0</v>
      </c>
      <c r="BH102" s="39">
        <v>0</v>
      </c>
      <c r="BI102" s="39">
        <v>0</v>
      </c>
      <c r="BJ102" s="39">
        <v>0</v>
      </c>
      <c r="BK102" s="39">
        <v>0</v>
      </c>
      <c r="BL102" s="40">
        <v>431201382.0352475</v>
      </c>
      <c r="BM102" s="40">
        <v>0</v>
      </c>
    </row>
    <row r="103" spans="1:65" x14ac:dyDescent="0.35">
      <c r="A103" s="39">
        <v>102</v>
      </c>
      <c r="B103" s="32" t="s">
        <v>455</v>
      </c>
      <c r="C103" s="32" t="s">
        <v>336</v>
      </c>
      <c r="D103" s="32" t="s">
        <v>4</v>
      </c>
      <c r="E103" s="32" t="s">
        <v>5</v>
      </c>
      <c r="F103" s="39">
        <v>0</v>
      </c>
      <c r="G103" s="39">
        <v>0</v>
      </c>
      <c r="H103" s="39">
        <v>0</v>
      </c>
      <c r="I103" s="39" t="s">
        <v>152</v>
      </c>
      <c r="J103" s="39">
        <v>0</v>
      </c>
      <c r="K103" s="39" t="s">
        <v>152</v>
      </c>
      <c r="L103" s="39">
        <v>7953156068.0698614</v>
      </c>
      <c r="M103" s="39">
        <v>0</v>
      </c>
      <c r="N103" s="39">
        <v>0</v>
      </c>
      <c r="O103" s="39">
        <v>0</v>
      </c>
      <c r="P103" s="39">
        <v>0</v>
      </c>
      <c r="Q103" s="39">
        <v>0</v>
      </c>
      <c r="R103" s="19">
        <v>0</v>
      </c>
      <c r="S103" s="39">
        <v>0</v>
      </c>
      <c r="T103" s="39">
        <v>0</v>
      </c>
      <c r="U103" s="39">
        <v>0</v>
      </c>
      <c r="V103" s="39">
        <v>0</v>
      </c>
      <c r="W103" s="39">
        <v>0</v>
      </c>
      <c r="X103" s="39">
        <v>0</v>
      </c>
      <c r="Y103" s="39">
        <v>0</v>
      </c>
      <c r="Z103" s="39">
        <v>0</v>
      </c>
      <c r="AA103" s="39">
        <v>0</v>
      </c>
      <c r="AB103" s="39" t="s">
        <v>152</v>
      </c>
      <c r="AC103" s="39" t="s">
        <v>152</v>
      </c>
      <c r="AD103" s="39" t="s">
        <v>152</v>
      </c>
      <c r="AE103" s="39" t="s">
        <v>152</v>
      </c>
      <c r="AF103" s="39" t="s">
        <v>152</v>
      </c>
      <c r="AG103" s="39" t="s">
        <v>152</v>
      </c>
      <c r="AH103" s="39">
        <v>0</v>
      </c>
      <c r="AI103" s="39" t="s">
        <v>152</v>
      </c>
      <c r="AJ103" s="39" t="s">
        <v>152</v>
      </c>
      <c r="AK103" s="39" t="s">
        <v>152</v>
      </c>
      <c r="AL103" s="19" t="s">
        <v>152</v>
      </c>
      <c r="AM103" s="19" t="s">
        <v>152</v>
      </c>
      <c r="AN103" s="39" t="s">
        <v>152</v>
      </c>
      <c r="AO103" s="39" t="s">
        <v>152</v>
      </c>
      <c r="AP103" s="39" t="s">
        <v>152</v>
      </c>
      <c r="AQ103" s="39" t="s">
        <v>152</v>
      </c>
      <c r="AR103" s="39" t="s">
        <v>152</v>
      </c>
      <c r="AS103" s="39" t="s">
        <v>152</v>
      </c>
      <c r="AT103" s="39" t="s">
        <v>152</v>
      </c>
      <c r="AU103" s="39" t="s">
        <v>152</v>
      </c>
      <c r="AV103" s="39" t="s">
        <v>152</v>
      </c>
      <c r="AW103" s="39" t="s">
        <v>152</v>
      </c>
      <c r="AX103" s="39" t="s">
        <v>152</v>
      </c>
      <c r="AY103" s="39" t="s">
        <v>152</v>
      </c>
      <c r="AZ103" s="39">
        <v>0</v>
      </c>
      <c r="BA103" s="39" t="s">
        <v>152</v>
      </c>
      <c r="BB103" s="39" t="s">
        <v>152</v>
      </c>
      <c r="BC103" s="39" t="s">
        <v>152</v>
      </c>
      <c r="BD103" s="39" t="s">
        <v>152</v>
      </c>
      <c r="BE103" s="39" t="s">
        <v>152</v>
      </c>
      <c r="BF103" s="39" t="s">
        <v>152</v>
      </c>
      <c r="BG103" s="39" t="s">
        <v>152</v>
      </c>
      <c r="BH103" s="39">
        <v>0</v>
      </c>
      <c r="BI103" s="39">
        <v>0</v>
      </c>
      <c r="BJ103" s="39">
        <v>0</v>
      </c>
      <c r="BK103" s="39">
        <v>0</v>
      </c>
      <c r="BL103" s="40">
        <v>0</v>
      </c>
      <c r="BM103" s="40">
        <v>0</v>
      </c>
    </row>
    <row r="104" spans="1:65" x14ac:dyDescent="0.35">
      <c r="A104" s="39">
        <v>103</v>
      </c>
      <c r="B104" s="32" t="s">
        <v>337</v>
      </c>
      <c r="C104" s="32" t="s">
        <v>60</v>
      </c>
      <c r="D104" s="32" t="s">
        <v>7</v>
      </c>
      <c r="E104" s="32" t="s">
        <v>13</v>
      </c>
      <c r="F104" s="39">
        <v>0</v>
      </c>
      <c r="G104" s="39">
        <v>0</v>
      </c>
      <c r="H104" s="39">
        <v>1</v>
      </c>
      <c r="I104" s="39">
        <v>2018</v>
      </c>
      <c r="J104" s="39">
        <v>0</v>
      </c>
      <c r="K104" s="39" t="s">
        <v>152</v>
      </c>
      <c r="L104" s="39">
        <v>136196760180.97563</v>
      </c>
      <c r="M104" s="39">
        <v>7</v>
      </c>
      <c r="N104" s="39">
        <v>2690000000</v>
      </c>
      <c r="O104" s="39">
        <v>20</v>
      </c>
      <c r="P104" s="39">
        <v>8420000000</v>
      </c>
      <c r="Q104" s="39">
        <v>27</v>
      </c>
      <c r="R104" s="19">
        <v>11110000000</v>
      </c>
      <c r="S104" s="39">
        <v>1.975083692464916E-2</v>
      </c>
      <c r="T104" s="39">
        <v>6.1822322269719676E-2</v>
      </c>
      <c r="U104" s="39">
        <v>8.1573159194368833E-2</v>
      </c>
      <c r="V104" s="39">
        <v>2.0035303843948071E-3</v>
      </c>
      <c r="W104" s="39">
        <v>1.0589330180848655E-2</v>
      </c>
      <c r="X104" s="39">
        <v>5.1847323399429723E-3</v>
      </c>
      <c r="Y104" s="39">
        <v>653529411.7647059</v>
      </c>
      <c r="Z104" s="39">
        <v>4.7984211290805203E-3</v>
      </c>
      <c r="AA104" s="39">
        <v>3</v>
      </c>
      <c r="AB104" s="39">
        <v>0</v>
      </c>
      <c r="AC104" s="39">
        <v>0</v>
      </c>
      <c r="AD104" s="39">
        <v>0</v>
      </c>
      <c r="AE104" s="39">
        <v>0</v>
      </c>
      <c r="AF104" s="39">
        <v>0</v>
      </c>
      <c r="AG104" s="39">
        <v>0</v>
      </c>
      <c r="AH104" s="39">
        <v>0</v>
      </c>
      <c r="AI104" s="39">
        <v>0</v>
      </c>
      <c r="AJ104" s="39">
        <v>0</v>
      </c>
      <c r="AK104" s="39">
        <v>0</v>
      </c>
      <c r="AL104" s="19">
        <v>5988380000</v>
      </c>
      <c r="AM104" s="19">
        <v>910739000</v>
      </c>
      <c r="AN104" s="39">
        <v>-5077641000</v>
      </c>
      <c r="AO104" s="39">
        <v>6899119000</v>
      </c>
      <c r="AP104" s="39">
        <v>33530893000</v>
      </c>
      <c r="AQ104" s="39">
        <v>64482097000</v>
      </c>
      <c r="AR104" s="39">
        <v>30951204000</v>
      </c>
      <c r="AS104" s="39">
        <v>98012990000</v>
      </c>
      <c r="AT104" s="39">
        <v>0.17859291728377172</v>
      </c>
      <c r="AU104" s="39">
        <v>1.4123904810353794E-2</v>
      </c>
      <c r="AV104" s="39">
        <v>1.3420034178864141E-2</v>
      </c>
      <c r="AW104" s="39">
        <v>3.1166576791378679E-2</v>
      </c>
      <c r="AX104" s="39">
        <v>7.0389843223842063E-2</v>
      </c>
      <c r="AY104" s="39">
        <v>5.065552947685821E-2</v>
      </c>
      <c r="AZ104" s="39" t="s">
        <v>152</v>
      </c>
      <c r="BA104" s="39" t="s">
        <v>152</v>
      </c>
      <c r="BB104" s="39" t="s">
        <v>152</v>
      </c>
      <c r="BC104" s="39" t="s">
        <v>152</v>
      </c>
      <c r="BD104" s="39" t="s">
        <v>152</v>
      </c>
      <c r="BE104" s="39" t="s">
        <v>152</v>
      </c>
      <c r="BF104" s="39" t="s">
        <v>152</v>
      </c>
      <c r="BG104" s="39" t="s">
        <v>152</v>
      </c>
      <c r="BH104" s="39">
        <v>0</v>
      </c>
      <c r="BI104" s="39">
        <v>0</v>
      </c>
      <c r="BJ104" s="39">
        <v>0</v>
      </c>
      <c r="BK104" s="39">
        <v>0</v>
      </c>
      <c r="BL104" s="40">
        <v>0</v>
      </c>
      <c r="BM104" s="40">
        <v>0</v>
      </c>
    </row>
    <row r="105" spans="1:65" x14ac:dyDescent="0.35">
      <c r="A105" s="39">
        <v>104</v>
      </c>
      <c r="B105" s="32" t="s">
        <v>338</v>
      </c>
      <c r="C105" s="32" t="s">
        <v>139</v>
      </c>
      <c r="D105" s="32" t="s">
        <v>4</v>
      </c>
      <c r="E105" s="32" t="s">
        <v>10</v>
      </c>
      <c r="F105" s="39">
        <v>2</v>
      </c>
      <c r="G105" s="39">
        <v>0</v>
      </c>
      <c r="H105" s="39">
        <v>1</v>
      </c>
      <c r="I105" s="39">
        <v>2013</v>
      </c>
      <c r="J105" s="39">
        <v>0</v>
      </c>
      <c r="K105" s="39" t="s">
        <v>152</v>
      </c>
      <c r="L105" s="39">
        <v>8871019822.7670345</v>
      </c>
      <c r="M105" s="39">
        <v>1</v>
      </c>
      <c r="N105" s="39">
        <v>390000000</v>
      </c>
      <c r="O105" s="39">
        <v>8</v>
      </c>
      <c r="P105" s="39">
        <v>4340000000</v>
      </c>
      <c r="Q105" s="39">
        <v>9</v>
      </c>
      <c r="R105" s="19">
        <v>4730000000</v>
      </c>
      <c r="S105" s="39">
        <v>4.3963378257715562E-2</v>
      </c>
      <c r="T105" s="39">
        <v>0.48923349138073213</v>
      </c>
      <c r="U105" s="39">
        <v>0.5331968696384477</v>
      </c>
      <c r="V105" s="39">
        <v>2.9047466539552967E-4</v>
      </c>
      <c r="W105" s="39">
        <v>5.4581583117438437E-3</v>
      </c>
      <c r="X105" s="39">
        <v>2.2073612932430476E-3</v>
      </c>
      <c r="Y105" s="39">
        <v>278235294.11764705</v>
      </c>
      <c r="Z105" s="39">
        <v>3.1364521743438102E-2</v>
      </c>
      <c r="AA105" s="39">
        <v>1</v>
      </c>
      <c r="AB105" s="39">
        <v>1</v>
      </c>
      <c r="AC105" s="39">
        <v>50000000</v>
      </c>
      <c r="AD105" s="39">
        <v>0</v>
      </c>
      <c r="AE105" s="39">
        <v>0</v>
      </c>
      <c r="AF105" s="39">
        <v>0</v>
      </c>
      <c r="AG105" s="39">
        <v>0</v>
      </c>
      <c r="AH105" s="39">
        <v>1</v>
      </c>
      <c r="AI105" s="39">
        <v>50000000</v>
      </c>
      <c r="AJ105" s="39">
        <v>5.6363305458609694E-3</v>
      </c>
      <c r="AK105" s="39">
        <v>1.2543831282458731E-3</v>
      </c>
      <c r="AL105" s="19">
        <v>1733932000</v>
      </c>
      <c r="AM105" s="19">
        <v>81469000</v>
      </c>
      <c r="AN105" s="39">
        <v>-1652463000</v>
      </c>
      <c r="AO105" s="39">
        <v>1815401000</v>
      </c>
      <c r="AP105" s="39">
        <v>4903813000</v>
      </c>
      <c r="AQ105" s="39">
        <v>1965502000</v>
      </c>
      <c r="AR105" s="39">
        <v>-2938311000</v>
      </c>
      <c r="AS105" s="39">
        <v>6869315000</v>
      </c>
      <c r="AT105" s="39">
        <v>0.35358852386907902</v>
      </c>
      <c r="AU105" s="39">
        <v>4.1449461766001762E-2</v>
      </c>
      <c r="AV105" s="39">
        <v>1.9626479398195062E-3</v>
      </c>
      <c r="AW105" s="39">
        <v>9.499996412431869E-4</v>
      </c>
      <c r="AX105" s="39">
        <v>0.26427686021095265</v>
      </c>
      <c r="AY105" s="39">
        <v>0.20464400218573101</v>
      </c>
      <c r="AZ105" s="39">
        <v>96</v>
      </c>
      <c r="BA105" s="39">
        <v>3151288944.3117113</v>
      </c>
      <c r="BB105" s="39">
        <v>58</v>
      </c>
      <c r="BC105" s="39">
        <v>761839555.53911817</v>
      </c>
      <c r="BD105" s="39">
        <v>34</v>
      </c>
      <c r="BE105" s="39">
        <v>2325623547.1757441</v>
      </c>
      <c r="BF105" s="39">
        <v>4</v>
      </c>
      <c r="BG105" s="39">
        <v>63825841.59684895</v>
      </c>
      <c r="BH105" s="39">
        <v>0.35523412271316129</v>
      </c>
      <c r="BI105" s="39">
        <v>8.5879591158605523E-2</v>
      </c>
      <c r="BJ105" s="39">
        <v>0.26215966074240371</v>
      </c>
      <c r="BK105" s="39">
        <v>7.1948708121520686E-3</v>
      </c>
      <c r="BL105" s="40">
        <v>185369937.90068889</v>
      </c>
      <c r="BM105" s="40">
        <v>2.0896124865480075E-2</v>
      </c>
    </row>
    <row r="106" spans="1:65" x14ac:dyDescent="0.35">
      <c r="A106" s="39">
        <v>105</v>
      </c>
      <c r="B106" s="32" t="s">
        <v>339</v>
      </c>
      <c r="C106" s="32" t="s">
        <v>146</v>
      </c>
      <c r="D106" s="32" t="s">
        <v>23</v>
      </c>
      <c r="E106" s="32" t="s">
        <v>10</v>
      </c>
      <c r="F106" s="39">
        <v>4</v>
      </c>
      <c r="G106" s="39">
        <v>1</v>
      </c>
      <c r="H106" s="39">
        <v>1</v>
      </c>
      <c r="I106" s="39">
        <v>2018</v>
      </c>
      <c r="J106" s="39">
        <v>0</v>
      </c>
      <c r="K106" s="39" t="s">
        <v>152</v>
      </c>
      <c r="L106" s="39">
        <v>18245925331.239628</v>
      </c>
      <c r="M106" s="39">
        <v>17</v>
      </c>
      <c r="N106" s="39">
        <v>7700000000</v>
      </c>
      <c r="O106" s="39">
        <v>36</v>
      </c>
      <c r="P106" s="39">
        <v>22110000000</v>
      </c>
      <c r="Q106" s="39">
        <v>53</v>
      </c>
      <c r="R106" s="19">
        <v>29810000000</v>
      </c>
      <c r="S106" s="39">
        <v>0.42201203064316511</v>
      </c>
      <c r="T106" s="39">
        <v>1.211777402275374</v>
      </c>
      <c r="U106" s="39">
        <v>1.6337894329185392</v>
      </c>
      <c r="V106" s="39">
        <v>5.735012624475842E-3</v>
      </c>
      <c r="W106" s="39">
        <v>2.7806424025957694E-2</v>
      </c>
      <c r="X106" s="39">
        <v>1.3911509545787581E-2</v>
      </c>
      <c r="Y106" s="39">
        <v>1753529411.7647059</v>
      </c>
      <c r="Z106" s="39">
        <v>9.6105260759914074E-2</v>
      </c>
      <c r="AA106" s="39">
        <v>1</v>
      </c>
      <c r="AB106" s="39">
        <v>2</v>
      </c>
      <c r="AC106" s="39">
        <v>70000000</v>
      </c>
      <c r="AD106" s="39">
        <v>0</v>
      </c>
      <c r="AE106" s="39">
        <v>0</v>
      </c>
      <c r="AF106" s="39">
        <v>0</v>
      </c>
      <c r="AG106" s="39">
        <v>0</v>
      </c>
      <c r="AH106" s="39">
        <v>2</v>
      </c>
      <c r="AI106" s="39">
        <v>70000000</v>
      </c>
      <c r="AJ106" s="39">
        <v>3.8364730058469553E-3</v>
      </c>
      <c r="AK106" s="39">
        <v>1.7561363795442224E-3</v>
      </c>
      <c r="AL106" s="19">
        <v>1681038</v>
      </c>
      <c r="AM106" s="19">
        <v>1672285</v>
      </c>
      <c r="AN106" s="39">
        <v>-8753</v>
      </c>
      <c r="AO106" s="39">
        <v>3353323</v>
      </c>
      <c r="AP106" s="39">
        <v>5797445000</v>
      </c>
      <c r="AQ106" s="39">
        <v>5809346000</v>
      </c>
      <c r="AR106" s="39">
        <v>11901000</v>
      </c>
      <c r="AS106" s="39">
        <v>11606791000</v>
      </c>
      <c r="AT106" s="39">
        <v>2.8996187113461186E-4</v>
      </c>
      <c r="AU106" s="39">
        <v>2.8786114650427089E-4</v>
      </c>
      <c r="AV106" s="39">
        <v>2.3203053390222872E-3</v>
      </c>
      <c r="AW106" s="39">
        <v>2.8078712796311286E-3</v>
      </c>
      <c r="AX106" s="39">
        <v>2.8891043183253666E-4</v>
      </c>
      <c r="AY106" s="39">
        <v>1.8378475956265329E-4</v>
      </c>
      <c r="AZ106" s="39">
        <v>240</v>
      </c>
      <c r="BA106" s="39">
        <v>15505734362.315592</v>
      </c>
      <c r="BB106" s="39">
        <v>148</v>
      </c>
      <c r="BC106" s="39">
        <v>2178454652.0293546</v>
      </c>
      <c r="BD106" s="39">
        <v>63</v>
      </c>
      <c r="BE106" s="39">
        <v>12583814821.697277</v>
      </c>
      <c r="BF106" s="39">
        <v>29</v>
      </c>
      <c r="BG106" s="39">
        <v>743464888.58896065</v>
      </c>
      <c r="BH106" s="39">
        <v>0.84981901881224742</v>
      </c>
      <c r="BI106" s="39">
        <v>0.11939403524246202</v>
      </c>
      <c r="BJ106" s="39">
        <v>0.68967808391454888</v>
      </c>
      <c r="BK106" s="39">
        <v>4.0746899655236597E-2</v>
      </c>
      <c r="BL106" s="40">
        <v>912102021.31268191</v>
      </c>
      <c r="BM106" s="40">
        <v>4.9989354047779266E-2</v>
      </c>
    </row>
    <row r="107" spans="1:65" x14ac:dyDescent="0.35">
      <c r="A107" s="39">
        <v>106</v>
      </c>
      <c r="B107" s="32" t="s">
        <v>340</v>
      </c>
      <c r="C107" s="32" t="s">
        <v>61</v>
      </c>
      <c r="D107" s="32" t="s">
        <v>4</v>
      </c>
      <c r="E107" s="32" t="s">
        <v>13</v>
      </c>
      <c r="F107" s="39">
        <v>0</v>
      </c>
      <c r="G107" s="39">
        <v>0</v>
      </c>
      <c r="H107" s="39">
        <v>1</v>
      </c>
      <c r="I107" s="39">
        <v>2016</v>
      </c>
      <c r="J107" s="39">
        <v>0</v>
      </c>
      <c r="K107" s="39" t="s">
        <v>152</v>
      </c>
      <c r="L107" s="39">
        <v>34055464655.325436</v>
      </c>
      <c r="M107" s="39">
        <v>0</v>
      </c>
      <c r="N107" s="39">
        <v>0</v>
      </c>
      <c r="O107" s="39">
        <v>1</v>
      </c>
      <c r="P107" s="39">
        <v>110000000</v>
      </c>
      <c r="Q107" s="39">
        <v>1</v>
      </c>
      <c r="R107" s="19">
        <v>110000000</v>
      </c>
      <c r="S107" s="39">
        <v>0</v>
      </c>
      <c r="T107" s="39">
        <v>3.2300249347148083E-3</v>
      </c>
      <c r="U107" s="39">
        <v>3.2300249347148083E-3</v>
      </c>
      <c r="V107" s="39">
        <v>0</v>
      </c>
      <c r="W107" s="39">
        <v>1.383404180395905E-4</v>
      </c>
      <c r="X107" s="39">
        <v>5.1333983563791811E-5</v>
      </c>
      <c r="Y107" s="39">
        <v>6470588.2352941176</v>
      </c>
      <c r="Z107" s="39">
        <v>1.9000146674792988E-4</v>
      </c>
      <c r="AA107" s="39">
        <v>0</v>
      </c>
      <c r="AB107" s="39" t="s">
        <v>152</v>
      </c>
      <c r="AC107" s="39" t="s">
        <v>152</v>
      </c>
      <c r="AD107" s="39" t="s">
        <v>152</v>
      </c>
      <c r="AE107" s="39" t="s">
        <v>152</v>
      </c>
      <c r="AF107" s="39" t="s">
        <v>152</v>
      </c>
      <c r="AG107" s="39" t="s">
        <v>152</v>
      </c>
      <c r="AH107" s="39">
        <v>0</v>
      </c>
      <c r="AI107" s="39" t="s">
        <v>152</v>
      </c>
      <c r="AJ107" s="39" t="s">
        <v>152</v>
      </c>
      <c r="AK107" s="39" t="s">
        <v>152</v>
      </c>
      <c r="AL107" s="19">
        <v>570676000</v>
      </c>
      <c r="AM107" s="19">
        <v>179440000</v>
      </c>
      <c r="AN107" s="39">
        <v>-391236000</v>
      </c>
      <c r="AO107" s="39">
        <v>750116000</v>
      </c>
      <c r="AP107" s="39">
        <v>17767575000</v>
      </c>
      <c r="AQ107" s="39">
        <v>14447102000</v>
      </c>
      <c r="AR107" s="39">
        <v>-3320473000</v>
      </c>
      <c r="AS107" s="39">
        <v>32214677000</v>
      </c>
      <c r="AT107" s="39">
        <v>3.2118958270895157E-2</v>
      </c>
      <c r="AU107" s="39">
        <v>1.2420484052787888E-2</v>
      </c>
      <c r="AV107" s="39">
        <v>7.1110979291703338E-3</v>
      </c>
      <c r="AW107" s="39">
        <v>6.9828174771654908E-3</v>
      </c>
      <c r="AX107" s="39">
        <v>2.3284914512723503E-2</v>
      </c>
      <c r="AY107" s="39">
        <v>2.2026303490259393E-2</v>
      </c>
      <c r="AZ107" s="39" t="s">
        <v>152</v>
      </c>
      <c r="BA107" s="39" t="s">
        <v>152</v>
      </c>
      <c r="BB107" s="39" t="s">
        <v>152</v>
      </c>
      <c r="BC107" s="39" t="s">
        <v>152</v>
      </c>
      <c r="BD107" s="39" t="s">
        <v>152</v>
      </c>
      <c r="BE107" s="39" t="s">
        <v>152</v>
      </c>
      <c r="BF107" s="39" t="s">
        <v>152</v>
      </c>
      <c r="BG107" s="39" t="s">
        <v>152</v>
      </c>
      <c r="BH107" s="39">
        <v>0</v>
      </c>
      <c r="BI107" s="39">
        <v>0</v>
      </c>
      <c r="BJ107" s="39">
        <v>0</v>
      </c>
      <c r="BK107" s="39">
        <v>0</v>
      </c>
      <c r="BL107" s="40">
        <v>0</v>
      </c>
      <c r="BM107" s="40">
        <v>0</v>
      </c>
    </row>
    <row r="108" spans="1:65" x14ac:dyDescent="0.35">
      <c r="A108" s="39">
        <v>107</v>
      </c>
      <c r="B108" s="32" t="s">
        <v>341</v>
      </c>
      <c r="C108" s="32" t="s">
        <v>62</v>
      </c>
      <c r="D108" s="32" t="s">
        <v>7</v>
      </c>
      <c r="E108" s="32" t="s">
        <v>5</v>
      </c>
      <c r="F108" s="39">
        <v>0</v>
      </c>
      <c r="G108" s="39">
        <v>0</v>
      </c>
      <c r="H108" s="39">
        <v>1</v>
      </c>
      <c r="I108" s="39">
        <v>2017</v>
      </c>
      <c r="J108" s="39">
        <v>0</v>
      </c>
      <c r="K108" s="39" t="s">
        <v>152</v>
      </c>
      <c r="L108" s="39">
        <v>51991634491.634491</v>
      </c>
      <c r="M108" s="39">
        <v>0</v>
      </c>
      <c r="N108" s="39">
        <v>0</v>
      </c>
      <c r="O108" s="39">
        <v>0</v>
      </c>
      <c r="P108" s="39">
        <v>0</v>
      </c>
      <c r="Q108" s="39">
        <v>0</v>
      </c>
      <c r="R108" s="19">
        <v>0</v>
      </c>
      <c r="S108" s="39">
        <v>0</v>
      </c>
      <c r="T108" s="39">
        <v>0</v>
      </c>
      <c r="U108" s="39">
        <v>0</v>
      </c>
      <c r="V108" s="39">
        <v>0</v>
      </c>
      <c r="W108" s="39">
        <v>0</v>
      </c>
      <c r="X108" s="39">
        <v>0</v>
      </c>
      <c r="Y108" s="39">
        <v>0</v>
      </c>
      <c r="Z108" s="39">
        <v>0</v>
      </c>
      <c r="AA108" s="39">
        <v>3</v>
      </c>
      <c r="AB108" s="39">
        <v>0</v>
      </c>
      <c r="AC108" s="39">
        <v>0</v>
      </c>
      <c r="AD108" s="39">
        <v>0</v>
      </c>
      <c r="AE108" s="39">
        <v>0</v>
      </c>
      <c r="AF108" s="39">
        <v>0</v>
      </c>
      <c r="AG108" s="39">
        <v>0</v>
      </c>
      <c r="AH108" s="39">
        <v>0</v>
      </c>
      <c r="AI108" s="39">
        <v>0</v>
      </c>
      <c r="AJ108" s="39">
        <v>0</v>
      </c>
      <c r="AK108" s="39">
        <v>0</v>
      </c>
      <c r="AL108" s="19">
        <v>1626506000</v>
      </c>
      <c r="AM108" s="19">
        <v>13593000</v>
      </c>
      <c r="AN108" s="39">
        <v>-1612913000</v>
      </c>
      <c r="AO108" s="39">
        <v>1640099000</v>
      </c>
      <c r="AP108" s="39">
        <v>19239394000</v>
      </c>
      <c r="AQ108" s="39">
        <v>3731350000</v>
      </c>
      <c r="AR108" s="39">
        <v>-15508044000</v>
      </c>
      <c r="AS108" s="39">
        <v>22970744000</v>
      </c>
      <c r="AT108" s="39">
        <v>8.4540396646588759E-2</v>
      </c>
      <c r="AU108" s="39">
        <v>3.6429174427486033E-3</v>
      </c>
      <c r="AV108" s="39">
        <v>7.7001625056819607E-3</v>
      </c>
      <c r="AW108" s="39">
        <v>1.8034991372955942E-3</v>
      </c>
      <c r="AX108" s="39">
        <v>7.1399472302682052E-2</v>
      </c>
      <c r="AY108" s="39">
        <v>3.1545440262392477E-2</v>
      </c>
      <c r="AZ108" s="39">
        <v>71</v>
      </c>
      <c r="BA108" s="39">
        <v>171154932.98376152</v>
      </c>
      <c r="BB108" s="39">
        <v>68</v>
      </c>
      <c r="BC108" s="39">
        <v>170202739.3696748</v>
      </c>
      <c r="BD108" s="39">
        <v>3</v>
      </c>
      <c r="BE108" s="39">
        <v>952193.61408672202</v>
      </c>
      <c r="BF108" s="39">
        <v>0</v>
      </c>
      <c r="BG108" s="39">
        <v>0</v>
      </c>
      <c r="BH108" s="39">
        <v>3.2919706152208109E-3</v>
      </c>
      <c r="BI108" s="39">
        <v>3.2736562532393668E-3</v>
      </c>
      <c r="BJ108" s="39">
        <v>1.8314361981443976E-5</v>
      </c>
      <c r="BK108" s="39">
        <v>0</v>
      </c>
      <c r="BL108" s="40">
        <v>10067937.234338913</v>
      </c>
      <c r="BM108" s="40">
        <v>1.9364533030710653E-4</v>
      </c>
    </row>
    <row r="109" spans="1:65" x14ac:dyDescent="0.35">
      <c r="A109" s="39">
        <v>108</v>
      </c>
      <c r="B109" s="32" t="s">
        <v>342</v>
      </c>
      <c r="C109" s="32" t="s">
        <v>63</v>
      </c>
      <c r="D109" s="32" t="s">
        <v>9</v>
      </c>
      <c r="E109" s="32" t="s">
        <v>10</v>
      </c>
      <c r="F109" s="39">
        <v>0</v>
      </c>
      <c r="G109" s="39">
        <v>0</v>
      </c>
      <c r="H109" s="39">
        <v>1</v>
      </c>
      <c r="I109" s="39">
        <v>2019</v>
      </c>
      <c r="J109" s="39">
        <v>0</v>
      </c>
      <c r="K109" s="39" t="s">
        <v>152</v>
      </c>
      <c r="L109" s="39">
        <v>2366213068.575067</v>
      </c>
      <c r="M109" s="39">
        <v>0</v>
      </c>
      <c r="N109" s="39">
        <v>0</v>
      </c>
      <c r="O109" s="39">
        <v>1</v>
      </c>
      <c r="P109" s="39">
        <v>100000000</v>
      </c>
      <c r="Q109" s="39">
        <v>1</v>
      </c>
      <c r="R109" s="19">
        <v>100000000</v>
      </c>
      <c r="S109" s="39">
        <v>0</v>
      </c>
      <c r="T109" s="39">
        <v>4.2261621038303186E-2</v>
      </c>
      <c r="U109" s="39">
        <v>4.2261621038303186E-2</v>
      </c>
      <c r="V109" s="39">
        <v>0</v>
      </c>
      <c r="W109" s="39">
        <v>1.2576401639962775E-4</v>
      </c>
      <c r="X109" s="39">
        <v>4.6667257785265281E-5</v>
      </c>
      <c r="Y109" s="39">
        <v>5882352.9411764704</v>
      </c>
      <c r="Z109" s="39">
        <v>2.4859777081354816E-3</v>
      </c>
      <c r="AA109" s="39">
        <v>0</v>
      </c>
      <c r="AB109" s="39" t="s">
        <v>152</v>
      </c>
      <c r="AC109" s="39" t="s">
        <v>152</v>
      </c>
      <c r="AD109" s="39" t="s">
        <v>152</v>
      </c>
      <c r="AE109" s="39" t="s">
        <v>152</v>
      </c>
      <c r="AF109" s="39" t="s">
        <v>152</v>
      </c>
      <c r="AG109" s="39" t="s">
        <v>152</v>
      </c>
      <c r="AH109" s="39">
        <v>0</v>
      </c>
      <c r="AI109" s="39" t="s">
        <v>152</v>
      </c>
      <c r="AJ109" s="39" t="s">
        <v>152</v>
      </c>
      <c r="AK109" s="39" t="s">
        <v>152</v>
      </c>
      <c r="AL109" s="19">
        <v>84452000</v>
      </c>
      <c r="AM109" s="19">
        <v>17745000</v>
      </c>
      <c r="AN109" s="39">
        <v>-66707000</v>
      </c>
      <c r="AO109" s="39">
        <v>102197000</v>
      </c>
      <c r="AP109" s="39">
        <v>1369285000</v>
      </c>
      <c r="AQ109" s="39">
        <v>645750000</v>
      </c>
      <c r="AR109" s="39">
        <v>-723535000</v>
      </c>
      <c r="AS109" s="39">
        <v>2015035000</v>
      </c>
      <c r="AT109" s="39">
        <v>6.1675984181525395E-2</v>
      </c>
      <c r="AU109" s="39">
        <v>2.7479674796747969E-2</v>
      </c>
      <c r="AV109" s="39">
        <v>5.4802750110490603E-4</v>
      </c>
      <c r="AW109" s="39">
        <v>3.1211480239286857E-4</v>
      </c>
      <c r="AX109" s="39">
        <v>5.0717233199423332E-2</v>
      </c>
      <c r="AY109" s="39">
        <v>4.3190108852514709E-2</v>
      </c>
      <c r="AZ109" s="39">
        <v>114</v>
      </c>
      <c r="BA109" s="39">
        <v>271028975.15808421</v>
      </c>
      <c r="BB109" s="39">
        <v>110</v>
      </c>
      <c r="BC109" s="39">
        <v>269062670.73385012</v>
      </c>
      <c r="BD109" s="39">
        <v>3</v>
      </c>
      <c r="BE109" s="39">
        <v>0</v>
      </c>
      <c r="BF109" s="39">
        <v>1</v>
      </c>
      <c r="BG109" s="39">
        <v>1966304.4242341099</v>
      </c>
      <c r="BH109" s="39">
        <v>0.11454123838530644</v>
      </c>
      <c r="BI109" s="39">
        <v>0.11371024626107724</v>
      </c>
      <c r="BJ109" s="39">
        <v>0</v>
      </c>
      <c r="BK109" s="39">
        <v>8.3099212422920897E-4</v>
      </c>
      <c r="BL109" s="40">
        <v>15942880.891652012</v>
      </c>
      <c r="BM109" s="40">
        <v>6.7377199050180255E-3</v>
      </c>
    </row>
    <row r="110" spans="1:65" x14ac:dyDescent="0.35">
      <c r="A110" s="39">
        <v>109</v>
      </c>
      <c r="B110" s="32" t="s">
        <v>343</v>
      </c>
      <c r="C110" s="32" t="s">
        <v>64</v>
      </c>
      <c r="D110" s="32" t="s">
        <v>9</v>
      </c>
      <c r="E110" s="32" t="s">
        <v>2</v>
      </c>
      <c r="F110" s="39">
        <v>0</v>
      </c>
      <c r="G110" s="39">
        <v>0</v>
      </c>
      <c r="H110" s="39">
        <v>1</v>
      </c>
      <c r="I110" s="39">
        <v>2019</v>
      </c>
      <c r="J110" s="39">
        <v>1</v>
      </c>
      <c r="K110" s="39">
        <v>2003</v>
      </c>
      <c r="L110" s="39">
        <v>3070518100</v>
      </c>
      <c r="M110" s="39">
        <v>2</v>
      </c>
      <c r="N110" s="39">
        <v>280000000</v>
      </c>
      <c r="O110" s="39">
        <v>2</v>
      </c>
      <c r="P110" s="39">
        <v>410000000</v>
      </c>
      <c r="Q110" s="39">
        <v>4</v>
      </c>
      <c r="R110" s="19">
        <v>690000000</v>
      </c>
      <c r="S110" s="39">
        <v>9.1189822329983988E-2</v>
      </c>
      <c r="T110" s="39">
        <v>0.13352795412604798</v>
      </c>
      <c r="U110" s="39">
        <v>0.22471777645603197</v>
      </c>
      <c r="V110" s="39">
        <v>2.0854591361730334E-4</v>
      </c>
      <c r="W110" s="39">
        <v>5.1563246723847374E-4</v>
      </c>
      <c r="X110" s="39">
        <v>3.2200407871833044E-4</v>
      </c>
      <c r="Y110" s="39">
        <v>40588235.294117644</v>
      </c>
      <c r="Z110" s="39">
        <v>1.3218692732707761E-2</v>
      </c>
      <c r="AA110" s="39">
        <v>2</v>
      </c>
      <c r="AB110" s="39">
        <v>0</v>
      </c>
      <c r="AC110" s="39">
        <v>0</v>
      </c>
      <c r="AD110" s="39">
        <v>0</v>
      </c>
      <c r="AE110" s="39">
        <v>0</v>
      </c>
      <c r="AF110" s="39">
        <v>0</v>
      </c>
      <c r="AG110" s="39">
        <v>0</v>
      </c>
      <c r="AH110" s="39">
        <v>0</v>
      </c>
      <c r="AI110" s="39">
        <v>0</v>
      </c>
      <c r="AJ110" s="39">
        <v>0</v>
      </c>
      <c r="AK110" s="39">
        <v>0</v>
      </c>
      <c r="AL110" s="19">
        <v>3909849000</v>
      </c>
      <c r="AM110" s="19">
        <v>112419000</v>
      </c>
      <c r="AN110" s="39">
        <v>-3797430000</v>
      </c>
      <c r="AO110" s="39">
        <v>4022268000</v>
      </c>
      <c r="AP110" s="39">
        <v>12349304000</v>
      </c>
      <c r="AQ110" s="39">
        <v>2001974000</v>
      </c>
      <c r="AR110" s="39">
        <v>-10347330000</v>
      </c>
      <c r="AS110" s="39">
        <v>14351278000</v>
      </c>
      <c r="AT110" s="39">
        <v>0.3166048062303754</v>
      </c>
      <c r="AU110" s="39">
        <v>5.6154075927059989E-2</v>
      </c>
      <c r="AV110" s="39">
        <v>4.9425490029503145E-3</v>
      </c>
      <c r="AW110" s="39">
        <v>9.6762790461581215E-4</v>
      </c>
      <c r="AX110" s="39">
        <v>0.28027246075227585</v>
      </c>
      <c r="AY110" s="39">
        <v>1.3099639438699286</v>
      </c>
      <c r="AZ110" s="39">
        <v>144</v>
      </c>
      <c r="BA110" s="39">
        <v>1151598844.2702711</v>
      </c>
      <c r="BB110" s="39">
        <v>137</v>
      </c>
      <c r="BC110" s="39">
        <v>649897009.68720102</v>
      </c>
      <c r="BD110" s="39">
        <v>6</v>
      </c>
      <c r="BE110" s="39">
        <v>501701834.58307004</v>
      </c>
      <c r="BF110" s="39">
        <v>1</v>
      </c>
      <c r="BG110" s="39">
        <v>0</v>
      </c>
      <c r="BH110" s="39">
        <v>0.37505033573007468</v>
      </c>
      <c r="BI110" s="39">
        <v>0.21165711730772765</v>
      </c>
      <c r="BJ110" s="39">
        <v>0.16339321842234705</v>
      </c>
      <c r="BK110" s="39">
        <v>0</v>
      </c>
      <c r="BL110" s="40">
        <v>67741108.486486539</v>
      </c>
      <c r="BM110" s="40">
        <v>2.2061784454710277E-2</v>
      </c>
    </row>
    <row r="111" spans="1:65" x14ac:dyDescent="0.35">
      <c r="A111" s="39">
        <v>110</v>
      </c>
      <c r="B111" s="32" t="s">
        <v>344</v>
      </c>
      <c r="C111" s="32" t="s">
        <v>65</v>
      </c>
      <c r="D111" s="32" t="s">
        <v>7</v>
      </c>
      <c r="E111" s="32" t="s">
        <v>5</v>
      </c>
      <c r="F111" s="39">
        <v>0</v>
      </c>
      <c r="G111" s="39">
        <v>0</v>
      </c>
      <c r="H111" s="39">
        <v>1</v>
      </c>
      <c r="I111" s="39">
        <v>2018</v>
      </c>
      <c r="J111" s="39">
        <v>0</v>
      </c>
      <c r="K111" s="39" t="s">
        <v>152</v>
      </c>
      <c r="L111" s="39">
        <v>52091152228.342514</v>
      </c>
      <c r="M111" s="39">
        <v>1</v>
      </c>
      <c r="N111" s="39">
        <v>2600000000</v>
      </c>
      <c r="O111" s="39">
        <v>0</v>
      </c>
      <c r="P111" s="39">
        <v>0</v>
      </c>
      <c r="Q111" s="39">
        <v>1</v>
      </c>
      <c r="R111" s="19">
        <v>2600000000</v>
      </c>
      <c r="S111" s="39">
        <v>4.9912506995484621E-2</v>
      </c>
      <c r="T111" s="39">
        <v>0</v>
      </c>
      <c r="U111" s="39">
        <v>4.9912506995484621E-2</v>
      </c>
      <c r="V111" s="39">
        <v>1.9364977693035312E-3</v>
      </c>
      <c r="W111" s="39">
        <v>0</v>
      </c>
      <c r="X111" s="39">
        <v>1.2133487024168974E-3</v>
      </c>
      <c r="Y111" s="39">
        <v>152941176.47058824</v>
      </c>
      <c r="Z111" s="39">
        <v>2.936029823263801E-3</v>
      </c>
      <c r="AA111" s="39">
        <v>3</v>
      </c>
      <c r="AB111" s="39">
        <v>0</v>
      </c>
      <c r="AC111" s="39">
        <v>0</v>
      </c>
      <c r="AD111" s="39">
        <v>0</v>
      </c>
      <c r="AE111" s="39">
        <v>0</v>
      </c>
      <c r="AF111" s="39">
        <v>0</v>
      </c>
      <c r="AG111" s="39">
        <v>0</v>
      </c>
      <c r="AH111" s="39">
        <v>0</v>
      </c>
      <c r="AI111" s="39">
        <v>0</v>
      </c>
      <c r="AJ111" s="39">
        <v>0</v>
      </c>
      <c r="AK111" s="39">
        <v>0</v>
      </c>
      <c r="AL111" s="19">
        <v>2453887000</v>
      </c>
      <c r="AM111" s="19">
        <v>4765665000</v>
      </c>
      <c r="AN111" s="39">
        <v>2311778000</v>
      </c>
      <c r="AO111" s="39">
        <v>7219552000</v>
      </c>
      <c r="AP111" s="39">
        <v>15501101000</v>
      </c>
      <c r="AQ111" s="39">
        <v>29471855000</v>
      </c>
      <c r="AR111" s="39">
        <v>13970754000</v>
      </c>
      <c r="AS111" s="39">
        <v>44972956000</v>
      </c>
      <c r="AT111" s="39">
        <v>0.15830404562875888</v>
      </c>
      <c r="AU111" s="39">
        <v>0.16170224100247507</v>
      </c>
      <c r="AV111" s="39">
        <v>6.2039894144789139E-3</v>
      </c>
      <c r="AW111" s="39">
        <v>1.4244834997253233E-2</v>
      </c>
      <c r="AX111" s="39">
        <v>0.16053096443115725</v>
      </c>
      <c r="AY111" s="39">
        <v>0.13859459219394807</v>
      </c>
      <c r="AZ111" s="39">
        <v>7</v>
      </c>
      <c r="BA111" s="39">
        <v>394418703.00868791</v>
      </c>
      <c r="BB111" s="39">
        <v>6</v>
      </c>
      <c r="BC111" s="39">
        <v>3304198.7619668599</v>
      </c>
      <c r="BD111" s="39">
        <v>1</v>
      </c>
      <c r="BE111" s="39">
        <v>391114504.24672103</v>
      </c>
      <c r="BF111" s="39">
        <v>0</v>
      </c>
      <c r="BG111" s="39">
        <v>0</v>
      </c>
      <c r="BH111" s="39">
        <v>7.5717024127196567E-3</v>
      </c>
      <c r="BI111" s="39">
        <v>6.3431093777362513E-5</v>
      </c>
      <c r="BJ111" s="39">
        <v>7.5082713189422931E-3</v>
      </c>
      <c r="BK111" s="39">
        <v>0</v>
      </c>
      <c r="BL111" s="40">
        <v>23201100.176981643</v>
      </c>
      <c r="BM111" s="40">
        <v>4.4539425957174452E-4</v>
      </c>
    </row>
    <row r="112" spans="1:65" x14ac:dyDescent="0.35">
      <c r="A112" s="39">
        <v>111</v>
      </c>
      <c r="B112" s="32" t="s">
        <v>471</v>
      </c>
      <c r="C112" s="32" t="s">
        <v>472</v>
      </c>
      <c r="D112" s="32" t="s">
        <v>4</v>
      </c>
      <c r="E112" s="32" t="s">
        <v>13</v>
      </c>
      <c r="F112" s="39">
        <v>0</v>
      </c>
      <c r="G112" s="39">
        <v>0</v>
      </c>
      <c r="H112" s="39">
        <v>0</v>
      </c>
      <c r="I112" s="39" t="s">
        <v>152</v>
      </c>
      <c r="J112" s="39">
        <v>0</v>
      </c>
      <c r="K112" s="39" t="s">
        <v>152</v>
      </c>
      <c r="L112" s="39">
        <v>6839145106.8616419</v>
      </c>
      <c r="M112" s="39">
        <v>0</v>
      </c>
      <c r="N112" s="39">
        <v>0</v>
      </c>
      <c r="O112" s="39">
        <v>0</v>
      </c>
      <c r="P112" s="39">
        <v>0</v>
      </c>
      <c r="Q112" s="39">
        <v>0</v>
      </c>
      <c r="R112" s="19">
        <v>0</v>
      </c>
      <c r="S112" s="39">
        <v>0</v>
      </c>
      <c r="T112" s="39">
        <v>0</v>
      </c>
      <c r="U112" s="39">
        <v>0</v>
      </c>
      <c r="V112" s="39">
        <v>0</v>
      </c>
      <c r="W112" s="39">
        <v>0</v>
      </c>
      <c r="X112" s="39">
        <v>0</v>
      </c>
      <c r="Y112" s="39">
        <v>0</v>
      </c>
      <c r="Z112" s="39">
        <v>0</v>
      </c>
      <c r="AA112" s="39">
        <v>0</v>
      </c>
      <c r="AB112" s="39" t="s">
        <v>152</v>
      </c>
      <c r="AC112" s="39" t="s">
        <v>152</v>
      </c>
      <c r="AD112" s="39" t="s">
        <v>152</v>
      </c>
      <c r="AE112" s="39" t="s">
        <v>152</v>
      </c>
      <c r="AF112" s="39" t="s">
        <v>152</v>
      </c>
      <c r="AG112" s="39" t="s">
        <v>152</v>
      </c>
      <c r="AH112" s="39">
        <v>0</v>
      </c>
      <c r="AI112" s="39" t="s">
        <v>152</v>
      </c>
      <c r="AJ112" s="39" t="s">
        <v>152</v>
      </c>
      <c r="AK112" s="39" t="s">
        <v>152</v>
      </c>
      <c r="AL112" s="19" t="s">
        <v>152</v>
      </c>
      <c r="AM112" s="19" t="s">
        <v>152</v>
      </c>
      <c r="AN112" s="39" t="s">
        <v>152</v>
      </c>
      <c r="AO112" s="39" t="s">
        <v>152</v>
      </c>
      <c r="AP112" s="39" t="s">
        <v>152</v>
      </c>
      <c r="AQ112" s="39" t="s">
        <v>152</v>
      </c>
      <c r="AR112" s="39" t="s">
        <v>152</v>
      </c>
      <c r="AS112" s="39" t="s">
        <v>152</v>
      </c>
      <c r="AT112" s="39" t="s">
        <v>152</v>
      </c>
      <c r="AU112" s="39" t="s">
        <v>152</v>
      </c>
      <c r="AV112" s="39" t="s">
        <v>152</v>
      </c>
      <c r="AW112" s="39" t="s">
        <v>152</v>
      </c>
      <c r="AX112" s="39" t="s">
        <v>152</v>
      </c>
      <c r="AY112" s="39" t="s">
        <v>152</v>
      </c>
      <c r="AZ112" s="39" t="s">
        <v>152</v>
      </c>
      <c r="BA112" s="39" t="s">
        <v>152</v>
      </c>
      <c r="BB112" s="39" t="s">
        <v>152</v>
      </c>
      <c r="BC112" s="39" t="s">
        <v>152</v>
      </c>
      <c r="BD112" s="39" t="s">
        <v>152</v>
      </c>
      <c r="BE112" s="39" t="s">
        <v>152</v>
      </c>
      <c r="BF112" s="39" t="s">
        <v>152</v>
      </c>
      <c r="BG112" s="39" t="s">
        <v>152</v>
      </c>
      <c r="BH112" s="39">
        <v>0</v>
      </c>
      <c r="BI112" s="39">
        <v>0</v>
      </c>
      <c r="BJ112" s="39">
        <v>0</v>
      </c>
      <c r="BK112" s="39">
        <v>0</v>
      </c>
      <c r="BL112" s="40">
        <v>0</v>
      </c>
      <c r="BM112" s="40">
        <v>0</v>
      </c>
    </row>
    <row r="113" spans="1:65" x14ac:dyDescent="0.35">
      <c r="A113" s="39">
        <v>112</v>
      </c>
      <c r="B113" s="32" t="s">
        <v>345</v>
      </c>
      <c r="C113" s="32" t="s">
        <v>66</v>
      </c>
      <c r="D113" s="32" t="s">
        <v>4</v>
      </c>
      <c r="E113" s="32" t="s">
        <v>13</v>
      </c>
      <c r="F113" s="39">
        <v>0</v>
      </c>
      <c r="G113" s="39">
        <v>0</v>
      </c>
      <c r="H113" s="39">
        <v>1</v>
      </c>
      <c r="I113" s="39">
        <v>2017</v>
      </c>
      <c r="J113" s="39">
        <v>0</v>
      </c>
      <c r="K113" s="39" t="s">
        <v>152</v>
      </c>
      <c r="L113" s="39">
        <v>54639938780.235207</v>
      </c>
      <c r="M113" s="39">
        <v>0</v>
      </c>
      <c r="N113" s="39">
        <v>0</v>
      </c>
      <c r="O113" s="39">
        <v>0</v>
      </c>
      <c r="P113" s="39">
        <v>0</v>
      </c>
      <c r="Q113" s="39">
        <v>0</v>
      </c>
      <c r="R113" s="19">
        <v>0</v>
      </c>
      <c r="S113" s="39">
        <v>0</v>
      </c>
      <c r="T113" s="39">
        <v>0</v>
      </c>
      <c r="U113" s="39">
        <v>0</v>
      </c>
      <c r="V113" s="39">
        <v>0</v>
      </c>
      <c r="W113" s="39">
        <v>0</v>
      </c>
      <c r="X113" s="39">
        <v>0</v>
      </c>
      <c r="Y113" s="39">
        <v>0</v>
      </c>
      <c r="Z113" s="39">
        <v>0</v>
      </c>
      <c r="AA113" s="39">
        <v>0</v>
      </c>
      <c r="AB113" s="39" t="s">
        <v>152</v>
      </c>
      <c r="AC113" s="39" t="s">
        <v>152</v>
      </c>
      <c r="AD113" s="39" t="s">
        <v>152</v>
      </c>
      <c r="AE113" s="39" t="s">
        <v>152</v>
      </c>
      <c r="AF113" s="39" t="s">
        <v>152</v>
      </c>
      <c r="AG113" s="39" t="s">
        <v>152</v>
      </c>
      <c r="AH113" s="39">
        <v>0</v>
      </c>
      <c r="AI113" s="39" t="s">
        <v>152</v>
      </c>
      <c r="AJ113" s="39" t="s">
        <v>152</v>
      </c>
      <c r="AK113" s="39" t="s">
        <v>152</v>
      </c>
      <c r="AL113" s="19">
        <v>1039964000</v>
      </c>
      <c r="AM113" s="19">
        <v>309140000</v>
      </c>
      <c r="AN113" s="39">
        <v>-730824000</v>
      </c>
      <c r="AO113" s="39">
        <v>1349104000</v>
      </c>
      <c r="AP113" s="39">
        <v>35759416000</v>
      </c>
      <c r="AQ113" s="39">
        <v>33150772000</v>
      </c>
      <c r="AR113" s="39">
        <v>-2608644000</v>
      </c>
      <c r="AS113" s="39">
        <v>68910188000</v>
      </c>
      <c r="AT113" s="39">
        <v>2.9082242282703945E-2</v>
      </c>
      <c r="AU113" s="39">
        <v>9.3252730283324928E-3</v>
      </c>
      <c r="AV113" s="39">
        <v>1.4311953604582534E-2</v>
      </c>
      <c r="AW113" s="39">
        <v>1.6022991330934634E-2</v>
      </c>
      <c r="AX113" s="39">
        <v>1.957771469147639E-2</v>
      </c>
      <c r="AY113" s="39">
        <v>2.4690803652364424E-2</v>
      </c>
      <c r="AZ113" s="39" t="s">
        <v>152</v>
      </c>
      <c r="BA113" s="39" t="s">
        <v>152</v>
      </c>
      <c r="BB113" s="39" t="s">
        <v>152</v>
      </c>
      <c r="BC113" s="39" t="s">
        <v>152</v>
      </c>
      <c r="BD113" s="39" t="s">
        <v>152</v>
      </c>
      <c r="BE113" s="39" t="s">
        <v>152</v>
      </c>
      <c r="BF113" s="39" t="s">
        <v>152</v>
      </c>
      <c r="BG113" s="39" t="s">
        <v>152</v>
      </c>
      <c r="BH113" s="39">
        <v>0</v>
      </c>
      <c r="BI113" s="39">
        <v>0</v>
      </c>
      <c r="BJ113" s="39">
        <v>0</v>
      </c>
      <c r="BK113" s="39">
        <v>0</v>
      </c>
      <c r="BL113" s="40">
        <v>0</v>
      </c>
      <c r="BM113" s="40">
        <v>0</v>
      </c>
    </row>
    <row r="114" spans="1:65" x14ac:dyDescent="0.35">
      <c r="A114" s="39">
        <v>113</v>
      </c>
      <c r="B114" s="32" t="s">
        <v>346</v>
      </c>
      <c r="C114" s="32" t="s">
        <v>67</v>
      </c>
      <c r="D114" s="32" t="s">
        <v>4</v>
      </c>
      <c r="E114" s="32" t="s">
        <v>13</v>
      </c>
      <c r="F114" s="39">
        <v>0</v>
      </c>
      <c r="G114" s="39">
        <v>0</v>
      </c>
      <c r="H114" s="39">
        <v>1</v>
      </c>
      <c r="I114" s="39">
        <v>2019</v>
      </c>
      <c r="J114" s="39">
        <v>0</v>
      </c>
      <c r="K114" s="39" t="s">
        <v>152</v>
      </c>
      <c r="L114" s="39">
        <v>71104919108.141068</v>
      </c>
      <c r="M114" s="39">
        <v>0</v>
      </c>
      <c r="N114" s="39">
        <v>0</v>
      </c>
      <c r="O114" s="39">
        <v>5</v>
      </c>
      <c r="P114" s="39">
        <v>4680000000</v>
      </c>
      <c r="Q114" s="39">
        <v>5</v>
      </c>
      <c r="R114" s="19">
        <v>4680000000</v>
      </c>
      <c r="S114" s="39">
        <v>0</v>
      </c>
      <c r="T114" s="39">
        <v>6.5818231125224211E-2</v>
      </c>
      <c r="U114" s="39">
        <v>6.5818231125224211E-2</v>
      </c>
      <c r="V114" s="39">
        <v>0</v>
      </c>
      <c r="W114" s="39">
        <v>5.8857559675025784E-3</v>
      </c>
      <c r="X114" s="39">
        <v>2.1840276643504152E-3</v>
      </c>
      <c r="Y114" s="39">
        <v>275294117.64705884</v>
      </c>
      <c r="Z114" s="39">
        <v>3.8716606544249538E-3</v>
      </c>
      <c r="AA114" s="39">
        <v>2</v>
      </c>
      <c r="AB114" s="39">
        <v>0</v>
      </c>
      <c r="AC114" s="39">
        <v>0</v>
      </c>
      <c r="AD114" s="39">
        <v>0</v>
      </c>
      <c r="AE114" s="39">
        <v>0</v>
      </c>
      <c r="AF114" s="39">
        <v>0</v>
      </c>
      <c r="AG114" s="39">
        <v>0</v>
      </c>
      <c r="AH114" s="39">
        <v>0</v>
      </c>
      <c r="AI114" s="39">
        <v>0</v>
      </c>
      <c r="AJ114" s="39">
        <v>0</v>
      </c>
      <c r="AK114" s="39">
        <v>0</v>
      </c>
      <c r="AL114" s="19">
        <v>658564000</v>
      </c>
      <c r="AM114" s="19">
        <v>205707000</v>
      </c>
      <c r="AN114" s="39">
        <v>-452857000</v>
      </c>
      <c r="AO114" s="39">
        <v>864271000</v>
      </c>
      <c r="AP114" s="39">
        <v>22673693000</v>
      </c>
      <c r="AQ114" s="39">
        <v>14667447000</v>
      </c>
      <c r="AR114" s="39">
        <v>-8006246000</v>
      </c>
      <c r="AS114" s="39">
        <v>37341140000</v>
      </c>
      <c r="AT114" s="39">
        <v>2.904529050472722E-2</v>
      </c>
      <c r="AU114" s="39">
        <v>1.4024731093284332E-2</v>
      </c>
      <c r="AV114" s="39">
        <v>9.0746683967251537E-3</v>
      </c>
      <c r="AW114" s="39">
        <v>7.0893183461291096E-3</v>
      </c>
      <c r="AX114" s="39">
        <v>2.314527622884572E-2</v>
      </c>
      <c r="AY114" s="39">
        <v>1.2154869323253985E-2</v>
      </c>
      <c r="AZ114" s="39" t="s">
        <v>152</v>
      </c>
      <c r="BA114" s="39" t="s">
        <v>152</v>
      </c>
      <c r="BB114" s="39" t="s">
        <v>152</v>
      </c>
      <c r="BC114" s="39" t="s">
        <v>152</v>
      </c>
      <c r="BD114" s="39" t="s">
        <v>152</v>
      </c>
      <c r="BE114" s="39" t="s">
        <v>152</v>
      </c>
      <c r="BF114" s="39" t="s">
        <v>152</v>
      </c>
      <c r="BG114" s="39" t="s">
        <v>152</v>
      </c>
      <c r="BH114" s="39">
        <v>0</v>
      </c>
      <c r="BI114" s="39">
        <v>0</v>
      </c>
      <c r="BJ114" s="39">
        <v>0</v>
      </c>
      <c r="BK114" s="39">
        <v>0</v>
      </c>
      <c r="BL114" s="40">
        <v>0</v>
      </c>
      <c r="BM114" s="40">
        <v>0</v>
      </c>
    </row>
    <row r="115" spans="1:65" x14ac:dyDescent="0.35">
      <c r="A115" s="39">
        <v>114</v>
      </c>
      <c r="B115" s="32" t="s">
        <v>347</v>
      </c>
      <c r="C115" s="32" t="s">
        <v>200</v>
      </c>
      <c r="D115" s="32" t="s">
        <v>23</v>
      </c>
      <c r="E115" s="32" t="s">
        <v>13</v>
      </c>
      <c r="F115" s="39">
        <v>0</v>
      </c>
      <c r="G115" s="39">
        <v>1</v>
      </c>
      <c r="H115" s="39">
        <v>0</v>
      </c>
      <c r="I115" s="39" t="s">
        <v>152</v>
      </c>
      <c r="J115" s="39">
        <v>0</v>
      </c>
      <c r="K115" s="39" t="s">
        <v>152</v>
      </c>
      <c r="L115" s="39">
        <v>55153707948.702072</v>
      </c>
      <c r="M115" s="39">
        <v>0</v>
      </c>
      <c r="N115" s="39">
        <v>0</v>
      </c>
      <c r="O115" s="39">
        <v>0</v>
      </c>
      <c r="P115" s="39">
        <v>0</v>
      </c>
      <c r="Q115" s="39">
        <v>0</v>
      </c>
      <c r="R115" s="19">
        <v>0</v>
      </c>
      <c r="S115" s="39">
        <v>0</v>
      </c>
      <c r="T115" s="39">
        <v>0</v>
      </c>
      <c r="U115" s="39">
        <v>0</v>
      </c>
      <c r="V115" s="39">
        <v>0</v>
      </c>
      <c r="W115" s="39">
        <v>0</v>
      </c>
      <c r="X115" s="39">
        <v>0</v>
      </c>
      <c r="Y115" s="39">
        <v>0</v>
      </c>
      <c r="Z115" s="39">
        <v>0</v>
      </c>
      <c r="AA115" s="39">
        <v>0</v>
      </c>
      <c r="AB115" s="39" t="s">
        <v>152</v>
      </c>
      <c r="AC115" s="39" t="s">
        <v>152</v>
      </c>
      <c r="AD115" s="39" t="s">
        <v>152</v>
      </c>
      <c r="AE115" s="39" t="s">
        <v>152</v>
      </c>
      <c r="AF115" s="39" t="s">
        <v>152</v>
      </c>
      <c r="AG115" s="39" t="s">
        <v>152</v>
      </c>
      <c r="AH115" s="39">
        <v>0</v>
      </c>
      <c r="AI115" s="39" t="s">
        <v>152</v>
      </c>
      <c r="AJ115" s="39" t="s">
        <v>152</v>
      </c>
      <c r="AK115" s="39" t="s">
        <v>152</v>
      </c>
      <c r="AL115" s="19">
        <v>3982601000</v>
      </c>
      <c r="AM115" s="19">
        <v>106308000</v>
      </c>
      <c r="AN115" s="39">
        <v>-3876293000</v>
      </c>
      <c r="AO115" s="39">
        <v>4088909000</v>
      </c>
      <c r="AP115" s="39">
        <v>12024019000</v>
      </c>
      <c r="AQ115" s="39">
        <v>1023983000</v>
      </c>
      <c r="AR115" s="39">
        <v>-11000036000</v>
      </c>
      <c r="AS115" s="39">
        <v>13048002000</v>
      </c>
      <c r="AT115" s="39">
        <v>0.33122045133162215</v>
      </c>
      <c r="AU115" s="39">
        <v>0.1038181297931704</v>
      </c>
      <c r="AV115" s="39">
        <v>4.8123605281646343E-3</v>
      </c>
      <c r="AW115" s="39">
        <v>4.9492876763245332E-4</v>
      </c>
      <c r="AX115" s="39">
        <v>0.31337433884513505</v>
      </c>
      <c r="AY115" s="39">
        <v>7.41366111559182E-2</v>
      </c>
      <c r="AZ115" s="39" t="s">
        <v>152</v>
      </c>
      <c r="BA115" s="39" t="s">
        <v>152</v>
      </c>
      <c r="BB115" s="39" t="s">
        <v>152</v>
      </c>
      <c r="BC115" s="39" t="s">
        <v>152</v>
      </c>
      <c r="BD115" s="39" t="s">
        <v>152</v>
      </c>
      <c r="BE115" s="39" t="s">
        <v>152</v>
      </c>
      <c r="BF115" s="39" t="s">
        <v>152</v>
      </c>
      <c r="BG115" s="39" t="s">
        <v>152</v>
      </c>
      <c r="BH115" s="39">
        <v>0</v>
      </c>
      <c r="BI115" s="39">
        <v>0</v>
      </c>
      <c r="BJ115" s="39">
        <v>0</v>
      </c>
      <c r="BK115" s="39">
        <v>0</v>
      </c>
      <c r="BL115" s="40">
        <v>0</v>
      </c>
      <c r="BM115" s="40">
        <v>0</v>
      </c>
    </row>
    <row r="116" spans="1:65" x14ac:dyDescent="0.35">
      <c r="A116" s="39">
        <v>115</v>
      </c>
      <c r="B116" s="32" t="s">
        <v>349</v>
      </c>
      <c r="C116" s="32" t="s">
        <v>68</v>
      </c>
      <c r="D116" s="32" t="s">
        <v>9</v>
      </c>
      <c r="E116" s="32" t="s">
        <v>2</v>
      </c>
      <c r="F116" s="39">
        <v>0</v>
      </c>
      <c r="G116" s="39">
        <v>0</v>
      </c>
      <c r="H116" s="39">
        <v>1</v>
      </c>
      <c r="I116" s="39">
        <v>2017</v>
      </c>
      <c r="J116" s="39">
        <v>0</v>
      </c>
      <c r="K116" s="39" t="s">
        <v>152</v>
      </c>
      <c r="L116" s="39">
        <v>14191911512.040983</v>
      </c>
      <c r="M116" s="39">
        <v>2</v>
      </c>
      <c r="N116" s="39">
        <v>290000000</v>
      </c>
      <c r="O116" s="39">
        <v>4</v>
      </c>
      <c r="P116" s="39">
        <v>1790000000</v>
      </c>
      <c r="Q116" s="39">
        <v>6</v>
      </c>
      <c r="R116" s="19">
        <v>2080000000</v>
      </c>
      <c r="S116" s="39">
        <v>2.0434174758907738E-2</v>
      </c>
      <c r="T116" s="39">
        <v>0.12612818213256846</v>
      </c>
      <c r="U116" s="39">
        <v>0.14656235689147618</v>
      </c>
      <c r="V116" s="39">
        <v>2.1599398196077847E-4</v>
      </c>
      <c r="W116" s="39">
        <v>2.2511758935533366E-3</v>
      </c>
      <c r="X116" s="39">
        <v>9.7067896193351786E-4</v>
      </c>
      <c r="Y116" s="39">
        <v>122352941.17647059</v>
      </c>
      <c r="Z116" s="39">
        <v>8.621315111263305E-3</v>
      </c>
      <c r="AA116" s="39">
        <v>2</v>
      </c>
      <c r="AB116" s="39">
        <v>0</v>
      </c>
      <c r="AC116" s="39">
        <v>0</v>
      </c>
      <c r="AD116" s="39">
        <v>0</v>
      </c>
      <c r="AE116" s="39">
        <v>0</v>
      </c>
      <c r="AF116" s="39">
        <v>0</v>
      </c>
      <c r="AG116" s="39">
        <v>0</v>
      </c>
      <c r="AH116" s="39">
        <v>0</v>
      </c>
      <c r="AI116" s="39">
        <v>0</v>
      </c>
      <c r="AJ116" s="39">
        <v>0</v>
      </c>
      <c r="AK116" s="39">
        <v>0</v>
      </c>
      <c r="AL116" s="19">
        <v>874580000</v>
      </c>
      <c r="AM116" s="19">
        <v>167226000</v>
      </c>
      <c r="AN116" s="39">
        <v>-707354000</v>
      </c>
      <c r="AO116" s="39">
        <v>1041806000</v>
      </c>
      <c r="AP116" s="39">
        <v>3896887000</v>
      </c>
      <c r="AQ116" s="39">
        <v>2564400000</v>
      </c>
      <c r="AR116" s="39">
        <v>-1332487000</v>
      </c>
      <c r="AS116" s="39">
        <v>6461287000</v>
      </c>
      <c r="AT116" s="39">
        <v>0.22443042356629792</v>
      </c>
      <c r="AU116" s="39">
        <v>6.5210575573233509E-2</v>
      </c>
      <c r="AV116" s="39">
        <v>1.5596470016820414E-3</v>
      </c>
      <c r="AW116" s="39">
        <v>1.2394691432540024E-3</v>
      </c>
      <c r="AX116" s="39">
        <v>0.16123815580394432</v>
      </c>
      <c r="AY116" s="39">
        <v>7.3408434030615977E-2</v>
      </c>
      <c r="AZ116" s="39">
        <v>111</v>
      </c>
      <c r="BA116" s="39">
        <v>804675543.67270756</v>
      </c>
      <c r="BB116" s="39">
        <v>101</v>
      </c>
      <c r="BC116" s="39">
        <v>529686978.48534048</v>
      </c>
      <c r="BD116" s="39">
        <v>9</v>
      </c>
      <c r="BE116" s="39">
        <v>268092218.5773001</v>
      </c>
      <c r="BF116" s="39">
        <v>1</v>
      </c>
      <c r="BG116" s="39">
        <v>6896346.61006705</v>
      </c>
      <c r="BH116" s="39">
        <v>5.6699588564231726E-2</v>
      </c>
      <c r="BI116" s="39">
        <v>3.7323159606507762E-2</v>
      </c>
      <c r="BJ116" s="39">
        <v>1.8890493951420145E-2</v>
      </c>
      <c r="BK116" s="39">
        <v>4.8593500630383121E-4</v>
      </c>
      <c r="BL116" s="40">
        <v>47333855.510159269</v>
      </c>
      <c r="BM116" s="40">
        <v>3.3352699155430429E-3</v>
      </c>
    </row>
    <row r="117" spans="1:65" x14ac:dyDescent="0.35">
      <c r="A117" s="39">
        <v>116</v>
      </c>
      <c r="B117" s="32" t="s">
        <v>350</v>
      </c>
      <c r="C117" s="32" t="s">
        <v>201</v>
      </c>
      <c r="D117" s="32" t="s">
        <v>9</v>
      </c>
      <c r="E117" s="32" t="s">
        <v>2</v>
      </c>
      <c r="F117" s="39">
        <v>0</v>
      </c>
      <c r="G117" s="39">
        <v>0</v>
      </c>
      <c r="H117" s="39">
        <v>0</v>
      </c>
      <c r="I117" s="39" t="s">
        <v>152</v>
      </c>
      <c r="J117" s="39">
        <v>1</v>
      </c>
      <c r="K117" s="39">
        <v>2008</v>
      </c>
      <c r="L117" s="39">
        <v>10862613621.905966</v>
      </c>
      <c r="M117" s="39">
        <v>3</v>
      </c>
      <c r="N117" s="39">
        <v>810000000</v>
      </c>
      <c r="O117" s="39">
        <v>0</v>
      </c>
      <c r="P117" s="39">
        <v>0</v>
      </c>
      <c r="Q117" s="39">
        <v>3</v>
      </c>
      <c r="R117" s="19">
        <v>810000000</v>
      </c>
      <c r="S117" s="39">
        <v>7.4567689526075273E-2</v>
      </c>
      <c r="T117" s="39">
        <v>0</v>
      </c>
      <c r="U117" s="39">
        <v>7.4567689526075273E-2</v>
      </c>
      <c r="V117" s="39">
        <v>6.032935358214847E-4</v>
      </c>
      <c r="W117" s="39">
        <v>0</v>
      </c>
      <c r="X117" s="39">
        <v>3.7800478806064878E-4</v>
      </c>
      <c r="Y117" s="39">
        <v>47647058.823529415</v>
      </c>
      <c r="Z117" s="39">
        <v>4.3863346780044273E-3</v>
      </c>
      <c r="AA117" s="39">
        <v>0</v>
      </c>
      <c r="AB117" s="39" t="s">
        <v>152</v>
      </c>
      <c r="AC117" s="39" t="s">
        <v>152</v>
      </c>
      <c r="AD117" s="39" t="s">
        <v>152</v>
      </c>
      <c r="AE117" s="39" t="s">
        <v>152</v>
      </c>
      <c r="AF117" s="39" t="s">
        <v>152</v>
      </c>
      <c r="AG117" s="39" t="s">
        <v>152</v>
      </c>
      <c r="AH117" s="39">
        <v>0</v>
      </c>
      <c r="AI117" s="39" t="s">
        <v>152</v>
      </c>
      <c r="AJ117" s="39" t="s">
        <v>152</v>
      </c>
      <c r="AK117" s="39" t="s">
        <v>152</v>
      </c>
      <c r="AL117" s="19">
        <v>541249000</v>
      </c>
      <c r="AM117" s="19">
        <v>35293000</v>
      </c>
      <c r="AN117" s="39">
        <v>-505956000</v>
      </c>
      <c r="AO117" s="39">
        <v>576542000</v>
      </c>
      <c r="AP117" s="39">
        <v>2941148000</v>
      </c>
      <c r="AQ117" s="39">
        <v>912983000</v>
      </c>
      <c r="AR117" s="39">
        <v>-2028165000</v>
      </c>
      <c r="AS117" s="39">
        <v>3854131000</v>
      </c>
      <c r="AT117" s="39">
        <v>0.18402644137595253</v>
      </c>
      <c r="AU117" s="39">
        <v>3.8656798647948541E-2</v>
      </c>
      <c r="AV117" s="39">
        <v>1.1771325829317432E-3</v>
      </c>
      <c r="AW117" s="39">
        <v>4.412783718668963E-4</v>
      </c>
      <c r="AX117" s="39">
        <v>0.14959065999572926</v>
      </c>
      <c r="AY117" s="39">
        <v>5.3075808462645042E-2</v>
      </c>
      <c r="AZ117" s="39">
        <v>155</v>
      </c>
      <c r="BA117" s="39">
        <v>1346157401.5601292</v>
      </c>
      <c r="BB117" s="39">
        <v>144</v>
      </c>
      <c r="BC117" s="39">
        <v>1208006927.5556164</v>
      </c>
      <c r="BD117" s="39">
        <v>6</v>
      </c>
      <c r="BE117" s="39">
        <v>161598.31997793919</v>
      </c>
      <c r="BF117" s="39">
        <v>5</v>
      </c>
      <c r="BG117" s="39">
        <v>137988875.68453479</v>
      </c>
      <c r="BH117" s="39">
        <v>0.12392573725032585</v>
      </c>
      <c r="BI117" s="39">
        <v>0.11120775990038925</v>
      </c>
      <c r="BJ117" s="39">
        <v>1.4876559693889303E-5</v>
      </c>
      <c r="BK117" s="39">
        <v>1.27031007902427E-2</v>
      </c>
      <c r="BL117" s="40">
        <v>79185729.503537014</v>
      </c>
      <c r="BM117" s="40">
        <v>7.2897492500191684E-3</v>
      </c>
    </row>
    <row r="118" spans="1:65" x14ac:dyDescent="0.35">
      <c r="A118" s="39">
        <v>117</v>
      </c>
      <c r="B118" s="32" t="s">
        <v>351</v>
      </c>
      <c r="C118" s="32" t="s">
        <v>69</v>
      </c>
      <c r="D118" s="32" t="s">
        <v>23</v>
      </c>
      <c r="E118" s="32" t="s">
        <v>5</v>
      </c>
      <c r="F118" s="39">
        <v>3</v>
      </c>
      <c r="G118" s="39">
        <v>1</v>
      </c>
      <c r="H118" s="39">
        <v>1</v>
      </c>
      <c r="I118" s="39">
        <v>2017</v>
      </c>
      <c r="J118" s="39">
        <v>0</v>
      </c>
      <c r="K118" s="39" t="s">
        <v>152</v>
      </c>
      <c r="L118" s="39">
        <v>364681367531.68378</v>
      </c>
      <c r="M118" s="39">
        <v>30</v>
      </c>
      <c r="N118" s="39">
        <v>13210000000</v>
      </c>
      <c r="O118" s="39">
        <v>61</v>
      </c>
      <c r="P118" s="39">
        <v>30610000000</v>
      </c>
      <c r="Q118" s="39">
        <v>91</v>
      </c>
      <c r="R118" s="19">
        <v>43820000000</v>
      </c>
      <c r="S118" s="39">
        <v>3.6223402608723372E-2</v>
      </c>
      <c r="T118" s="39">
        <v>8.3936287195535378E-2</v>
      </c>
      <c r="U118" s="39">
        <v>0.12015968980425874</v>
      </c>
      <c r="V118" s="39">
        <v>9.8388982817306323E-3</v>
      </c>
      <c r="W118" s="39">
        <v>3.849636541992605E-2</v>
      </c>
      <c r="X118" s="39">
        <v>2.0449592361503247E-2</v>
      </c>
      <c r="Y118" s="39">
        <v>2577647058.8235292</v>
      </c>
      <c r="Z118" s="39">
        <v>7.0682170473093378E-3</v>
      </c>
      <c r="AA118" s="39">
        <v>1</v>
      </c>
      <c r="AB118" s="39">
        <v>0</v>
      </c>
      <c r="AC118" s="39">
        <v>0</v>
      </c>
      <c r="AD118" s="39">
        <v>0</v>
      </c>
      <c r="AE118" s="39">
        <v>0</v>
      </c>
      <c r="AF118" s="39">
        <v>0</v>
      </c>
      <c r="AG118" s="39">
        <v>0</v>
      </c>
      <c r="AH118" s="39">
        <v>0</v>
      </c>
      <c r="AI118" s="39">
        <v>0</v>
      </c>
      <c r="AJ118" s="39">
        <v>0</v>
      </c>
      <c r="AK118" s="39">
        <v>0</v>
      </c>
      <c r="AL118" s="19">
        <v>42395009000</v>
      </c>
      <c r="AM118" s="19">
        <v>33706910000</v>
      </c>
      <c r="AN118" s="39">
        <v>-8688099000</v>
      </c>
      <c r="AO118" s="39">
        <v>76101919000</v>
      </c>
      <c r="AP118" s="39">
        <v>204988314000</v>
      </c>
      <c r="AQ118" s="39">
        <v>238161125000</v>
      </c>
      <c r="AR118" s="39">
        <v>33172811000</v>
      </c>
      <c r="AS118" s="39">
        <v>443149439000</v>
      </c>
      <c r="AT118" s="39">
        <v>0.20681671151263775</v>
      </c>
      <c r="AU118" s="39">
        <v>0.14152985715028008</v>
      </c>
      <c r="AV118" s="39">
        <v>8.204225816913778E-2</v>
      </c>
      <c r="AW118" s="39">
        <v>0.1151120595695521</v>
      </c>
      <c r="AX118" s="39">
        <v>0.17172969725907744</v>
      </c>
      <c r="AY118" s="39">
        <v>0.2086805792001101</v>
      </c>
      <c r="AZ118" s="39">
        <v>39</v>
      </c>
      <c r="BA118" s="39">
        <v>26661440552.418114</v>
      </c>
      <c r="BB118" s="39">
        <v>12</v>
      </c>
      <c r="BC118" s="39">
        <v>3803445.9413302299</v>
      </c>
      <c r="BD118" s="39">
        <v>22</v>
      </c>
      <c r="BE118" s="39">
        <v>26032408950.268303</v>
      </c>
      <c r="BF118" s="39">
        <v>5</v>
      </c>
      <c r="BG118" s="39">
        <v>625228156.20847774</v>
      </c>
      <c r="BH118" s="39">
        <v>7.3108864137682458E-2</v>
      </c>
      <c r="BI118" s="39">
        <v>1.0429504438555621E-5</v>
      </c>
      <c r="BJ118" s="39">
        <v>7.1383984124186409E-2</v>
      </c>
      <c r="BK118" s="39">
        <v>1.7144505090574925E-3</v>
      </c>
      <c r="BL118" s="40">
        <v>1568320032.4951832</v>
      </c>
      <c r="BM118" s="40">
        <v>4.3005214198636741E-3</v>
      </c>
    </row>
    <row r="119" spans="1:65" x14ac:dyDescent="0.35">
      <c r="A119" s="39">
        <v>118</v>
      </c>
      <c r="B119" s="32" t="s">
        <v>352</v>
      </c>
      <c r="C119" s="32" t="s">
        <v>70</v>
      </c>
      <c r="D119" s="32" t="s">
        <v>1</v>
      </c>
      <c r="E119" s="32" t="s">
        <v>5</v>
      </c>
      <c r="F119" s="39">
        <v>0</v>
      </c>
      <c r="G119" s="39">
        <v>0</v>
      </c>
      <c r="H119" s="39">
        <v>1</v>
      </c>
      <c r="I119" s="39">
        <v>2017</v>
      </c>
      <c r="J119" s="39">
        <v>0</v>
      </c>
      <c r="K119" s="39" t="s">
        <v>152</v>
      </c>
      <c r="L119" s="39">
        <v>5642179170.4589777</v>
      </c>
      <c r="M119" s="39">
        <v>0</v>
      </c>
      <c r="N119" s="39">
        <v>0</v>
      </c>
      <c r="O119" s="39">
        <v>6</v>
      </c>
      <c r="P119" s="39">
        <v>1230000000</v>
      </c>
      <c r="Q119" s="39">
        <v>6</v>
      </c>
      <c r="R119" s="19">
        <v>1230000000</v>
      </c>
      <c r="S119" s="39">
        <v>0</v>
      </c>
      <c r="T119" s="39">
        <v>0.218000875697101</v>
      </c>
      <c r="U119" s="39">
        <v>0.218000875697101</v>
      </c>
      <c r="V119" s="39">
        <v>0</v>
      </c>
      <c r="W119" s="39">
        <v>1.5468974017154211E-3</v>
      </c>
      <c r="X119" s="39">
        <v>5.7400727075876293E-4</v>
      </c>
      <c r="Y119" s="39">
        <v>72352941.176470593</v>
      </c>
      <c r="Z119" s="39">
        <v>1.2823580923358883E-2</v>
      </c>
      <c r="AA119" s="39">
        <v>1</v>
      </c>
      <c r="AB119" s="39">
        <v>3</v>
      </c>
      <c r="AC119" s="39">
        <v>67300000</v>
      </c>
      <c r="AD119" s="39">
        <v>0</v>
      </c>
      <c r="AE119" s="39">
        <v>0</v>
      </c>
      <c r="AF119" s="39">
        <v>0</v>
      </c>
      <c r="AG119" s="39">
        <v>0</v>
      </c>
      <c r="AH119" s="39">
        <v>3</v>
      </c>
      <c r="AI119" s="39">
        <v>67300000</v>
      </c>
      <c r="AJ119" s="39">
        <v>1.1928015393833249E-2</v>
      </c>
      <c r="AK119" s="39">
        <v>1.6883996906189452E-3</v>
      </c>
      <c r="AL119" s="19">
        <v>469397</v>
      </c>
      <c r="AM119" s="19">
        <v>4</v>
      </c>
      <c r="AN119" s="39">
        <v>-469393</v>
      </c>
      <c r="AO119" s="39">
        <v>469401</v>
      </c>
      <c r="AP119" s="39">
        <v>2887083000</v>
      </c>
      <c r="AQ119" s="39">
        <v>158016000</v>
      </c>
      <c r="AR119" s="39">
        <v>-2729067000</v>
      </c>
      <c r="AS119" s="39">
        <v>3045099000</v>
      </c>
      <c r="AT119" s="39">
        <v>1.6258521144005904E-4</v>
      </c>
      <c r="AU119" s="39">
        <v>2.5313892264074525E-8</v>
      </c>
      <c r="AV119" s="39">
        <v>1.1554942046195318E-3</v>
      </c>
      <c r="AW119" s="39">
        <v>7.6374963399011253E-5</v>
      </c>
      <c r="AX119" s="39">
        <v>1.5414966804034943E-4</v>
      </c>
      <c r="AY119" s="39">
        <v>8.3194982969995863E-5</v>
      </c>
      <c r="AZ119" s="39">
        <v>77</v>
      </c>
      <c r="BA119" s="39">
        <v>1817080883.9023614</v>
      </c>
      <c r="BB119" s="39">
        <v>63</v>
      </c>
      <c r="BC119" s="39">
        <v>384920213.52288961</v>
      </c>
      <c r="BD119" s="39">
        <v>10</v>
      </c>
      <c r="BE119" s="39">
        <v>1185724060.2961195</v>
      </c>
      <c r="BF119" s="39">
        <v>4</v>
      </c>
      <c r="BG119" s="39">
        <v>246436610.0833523</v>
      </c>
      <c r="BH119" s="39">
        <v>0.32205302756355864</v>
      </c>
      <c r="BI119" s="39">
        <v>6.8221905383337431E-2</v>
      </c>
      <c r="BJ119" s="39">
        <v>0.21015356380461481</v>
      </c>
      <c r="BK119" s="39">
        <v>4.3677558375606364E-2</v>
      </c>
      <c r="BL119" s="40">
        <v>106887110.81778596</v>
      </c>
      <c r="BM119" s="40">
        <v>1.8944295739032859E-2</v>
      </c>
    </row>
    <row r="120" spans="1:65" x14ac:dyDescent="0.35">
      <c r="A120" s="39">
        <v>119</v>
      </c>
      <c r="B120" s="32" t="s">
        <v>353</v>
      </c>
      <c r="C120" s="32" t="s">
        <v>71</v>
      </c>
      <c r="D120" s="32" t="s">
        <v>9</v>
      </c>
      <c r="E120" s="32" t="s">
        <v>2</v>
      </c>
      <c r="F120" s="39">
        <v>0</v>
      </c>
      <c r="G120" s="39">
        <v>0</v>
      </c>
      <c r="H120" s="39">
        <v>1</v>
      </c>
      <c r="I120" s="39">
        <v>2019</v>
      </c>
      <c r="J120" s="39">
        <v>0</v>
      </c>
      <c r="K120" s="39" t="s">
        <v>152</v>
      </c>
      <c r="L120" s="39">
        <v>17281815733.959595</v>
      </c>
      <c r="M120" s="39">
        <v>3</v>
      </c>
      <c r="N120" s="39">
        <v>690000000</v>
      </c>
      <c r="O120" s="39">
        <v>4</v>
      </c>
      <c r="P120" s="39">
        <v>1820000000</v>
      </c>
      <c r="Q120" s="39">
        <v>7</v>
      </c>
      <c r="R120" s="19">
        <v>2510000000</v>
      </c>
      <c r="S120" s="39">
        <v>3.9926360205549294E-2</v>
      </c>
      <c r="T120" s="39">
        <v>0.10531300807840538</v>
      </c>
      <c r="U120" s="39">
        <v>0.14523936828395467</v>
      </c>
      <c r="V120" s="39">
        <v>5.139167156997833E-4</v>
      </c>
      <c r="W120" s="39">
        <v>2.2889050984732247E-3</v>
      </c>
      <c r="X120" s="39">
        <v>1.1713481704101584E-3</v>
      </c>
      <c r="Y120" s="39">
        <v>147647058.82352942</v>
      </c>
      <c r="Z120" s="39">
        <v>8.5434922519973342E-3</v>
      </c>
      <c r="AA120" s="39">
        <v>0</v>
      </c>
      <c r="AB120" s="39" t="s">
        <v>152</v>
      </c>
      <c r="AC120" s="39" t="s">
        <v>152</v>
      </c>
      <c r="AD120" s="39" t="s">
        <v>152</v>
      </c>
      <c r="AE120" s="39" t="s">
        <v>152</v>
      </c>
      <c r="AF120" s="39" t="s">
        <v>152</v>
      </c>
      <c r="AG120" s="39" t="s">
        <v>152</v>
      </c>
      <c r="AH120" s="39">
        <v>0</v>
      </c>
      <c r="AI120" s="39" t="s">
        <v>152</v>
      </c>
      <c r="AJ120" s="39" t="s">
        <v>152</v>
      </c>
      <c r="AK120" s="39" t="s">
        <v>152</v>
      </c>
      <c r="AL120" s="19">
        <v>795952</v>
      </c>
      <c r="AM120" s="19">
        <v>32895</v>
      </c>
      <c r="AN120" s="39">
        <v>-763057</v>
      </c>
      <c r="AO120" s="39">
        <v>828847</v>
      </c>
      <c r="AP120" s="39">
        <v>5049220000</v>
      </c>
      <c r="AQ120" s="39">
        <v>3642251000</v>
      </c>
      <c r="AR120" s="39">
        <v>-1406969000</v>
      </c>
      <c r="AS120" s="39">
        <v>8691471000</v>
      </c>
      <c r="AT120" s="39">
        <v>1.5763860556680041E-4</v>
      </c>
      <c r="AU120" s="39">
        <v>9.0315027712258163E-6</v>
      </c>
      <c r="AV120" s="39">
        <v>2.0208440311030311E-3</v>
      </c>
      <c r="AW120" s="39">
        <v>1.7604343029504108E-3</v>
      </c>
      <c r="AX120" s="39">
        <v>9.5363258992637722E-5</v>
      </c>
      <c r="AY120" s="39">
        <v>4.7960643300418714E-5</v>
      </c>
      <c r="AZ120" s="39">
        <v>149</v>
      </c>
      <c r="BA120" s="39">
        <v>3652028013.9940505</v>
      </c>
      <c r="BB120" s="39">
        <v>130</v>
      </c>
      <c r="BC120" s="39">
        <v>2855610033.669302</v>
      </c>
      <c r="BD120" s="39">
        <v>6</v>
      </c>
      <c r="BE120" s="39">
        <v>646014104.18274343</v>
      </c>
      <c r="BF120" s="39">
        <v>13</v>
      </c>
      <c r="BG120" s="39">
        <v>150403876.14200509</v>
      </c>
      <c r="BH120" s="39">
        <v>0.21132200864852649</v>
      </c>
      <c r="BI120" s="39">
        <v>0.16523784755197288</v>
      </c>
      <c r="BJ120" s="39">
        <v>3.7381147567341247E-2</v>
      </c>
      <c r="BK120" s="39">
        <v>8.7030135292123431E-3</v>
      </c>
      <c r="BL120" s="40">
        <v>214825177.29376769</v>
      </c>
      <c r="BM120" s="40">
        <v>1.2430706391089794E-2</v>
      </c>
    </row>
    <row r="121" spans="1:65" x14ac:dyDescent="0.35">
      <c r="A121" s="39">
        <v>120</v>
      </c>
      <c r="B121" s="32" t="s">
        <v>354</v>
      </c>
      <c r="C121" s="32" t="s">
        <v>72</v>
      </c>
      <c r="D121" s="32" t="s">
        <v>7</v>
      </c>
      <c r="E121" s="32" t="s">
        <v>13</v>
      </c>
      <c r="F121" s="39">
        <v>0</v>
      </c>
      <c r="G121" s="39">
        <v>0</v>
      </c>
      <c r="H121" s="39">
        <v>1</v>
      </c>
      <c r="I121" s="39">
        <v>2018</v>
      </c>
      <c r="J121" s="39">
        <v>0</v>
      </c>
      <c r="K121" s="39" t="s">
        <v>152</v>
      </c>
      <c r="L121" s="39">
        <v>15215714309.097391</v>
      </c>
      <c r="M121" s="39">
        <v>0</v>
      </c>
      <c r="N121" s="39">
        <v>0</v>
      </c>
      <c r="O121" s="39">
        <v>1</v>
      </c>
      <c r="P121" s="39">
        <v>440000000</v>
      </c>
      <c r="Q121" s="39">
        <v>1</v>
      </c>
      <c r="R121" s="19">
        <v>440000000</v>
      </c>
      <c r="S121" s="39">
        <v>0</v>
      </c>
      <c r="T121" s="39">
        <v>2.8917472493350277E-2</v>
      </c>
      <c r="U121" s="39">
        <v>2.8917472493350277E-2</v>
      </c>
      <c r="V121" s="39">
        <v>0</v>
      </c>
      <c r="W121" s="39">
        <v>5.53361672158362E-4</v>
      </c>
      <c r="X121" s="39">
        <v>2.0533593425516725E-4</v>
      </c>
      <c r="Y121" s="39">
        <v>25882352.94117647</v>
      </c>
      <c r="Z121" s="39">
        <v>1.7010277937264868E-3</v>
      </c>
      <c r="AA121" s="39">
        <v>2</v>
      </c>
      <c r="AB121" s="39">
        <v>0</v>
      </c>
      <c r="AC121" s="39">
        <v>0</v>
      </c>
      <c r="AD121" s="39">
        <v>0</v>
      </c>
      <c r="AE121" s="39">
        <v>0</v>
      </c>
      <c r="AF121" s="39">
        <v>0</v>
      </c>
      <c r="AG121" s="39">
        <v>0</v>
      </c>
      <c r="AH121" s="39">
        <v>0</v>
      </c>
      <c r="AI121" s="39">
        <v>0</v>
      </c>
      <c r="AJ121" s="39">
        <v>0</v>
      </c>
      <c r="AK121" s="39">
        <v>0</v>
      </c>
      <c r="AL121" s="19">
        <v>286007000</v>
      </c>
      <c r="AM121" s="19">
        <v>40737000</v>
      </c>
      <c r="AN121" s="39">
        <v>-245270000</v>
      </c>
      <c r="AO121" s="39">
        <v>326744000</v>
      </c>
      <c r="AP121" s="39">
        <v>7066686000</v>
      </c>
      <c r="AQ121" s="39">
        <v>3007798000</v>
      </c>
      <c r="AR121" s="39">
        <v>-4058888000</v>
      </c>
      <c r="AS121" s="39">
        <v>10074484000</v>
      </c>
      <c r="AT121" s="39">
        <v>4.0472577952381072E-2</v>
      </c>
      <c r="AU121" s="39">
        <v>1.3543795161776156E-2</v>
      </c>
      <c r="AV121" s="39">
        <v>2.8282923348119816E-3</v>
      </c>
      <c r="AW121" s="39">
        <v>1.4537797575031597E-3</v>
      </c>
      <c r="AX121" s="39">
        <v>3.2432827328923247E-2</v>
      </c>
      <c r="AY121" s="39">
        <v>2.1474115073561915E-2</v>
      </c>
      <c r="AZ121" s="39" t="s">
        <v>152</v>
      </c>
      <c r="BA121" s="39" t="s">
        <v>152</v>
      </c>
      <c r="BB121" s="39" t="s">
        <v>152</v>
      </c>
      <c r="BC121" s="39" t="s">
        <v>152</v>
      </c>
      <c r="BD121" s="39" t="s">
        <v>152</v>
      </c>
      <c r="BE121" s="39" t="s">
        <v>152</v>
      </c>
      <c r="BF121" s="39" t="s">
        <v>152</v>
      </c>
      <c r="BG121" s="39" t="s">
        <v>152</v>
      </c>
      <c r="BH121" s="39">
        <v>0</v>
      </c>
      <c r="BI121" s="39">
        <v>0</v>
      </c>
      <c r="BJ121" s="39">
        <v>0</v>
      </c>
      <c r="BK121" s="39">
        <v>0</v>
      </c>
      <c r="BL121" s="40">
        <v>0</v>
      </c>
      <c r="BM121" s="40">
        <v>0</v>
      </c>
    </row>
    <row r="122" spans="1:65" x14ac:dyDescent="0.35">
      <c r="A122" s="39">
        <v>121</v>
      </c>
      <c r="B122" s="32" t="s">
        <v>456</v>
      </c>
      <c r="C122" s="32" t="s">
        <v>444</v>
      </c>
      <c r="D122" s="32" t="s">
        <v>23</v>
      </c>
      <c r="E122" s="32" t="s">
        <v>5</v>
      </c>
      <c r="F122" s="39">
        <v>0</v>
      </c>
      <c r="G122" s="39">
        <v>0</v>
      </c>
      <c r="H122" s="39">
        <v>0</v>
      </c>
      <c r="I122" s="39" t="s">
        <v>152</v>
      </c>
      <c r="J122" s="39">
        <v>2</v>
      </c>
      <c r="K122" s="39" t="s">
        <v>152</v>
      </c>
      <c r="L122" s="39">
        <v>239462200</v>
      </c>
      <c r="M122" s="39">
        <v>0</v>
      </c>
      <c r="N122" s="39">
        <v>0</v>
      </c>
      <c r="O122" s="39">
        <v>0</v>
      </c>
      <c r="P122" s="39">
        <v>0</v>
      </c>
      <c r="Q122" s="39">
        <v>0</v>
      </c>
      <c r="R122" s="19">
        <v>0</v>
      </c>
      <c r="S122" s="39">
        <v>0</v>
      </c>
      <c r="T122" s="39">
        <v>0</v>
      </c>
      <c r="U122" s="39">
        <v>0</v>
      </c>
      <c r="V122" s="39">
        <v>0</v>
      </c>
      <c r="W122" s="39">
        <v>0</v>
      </c>
      <c r="X122" s="39">
        <v>0</v>
      </c>
      <c r="Y122" s="39">
        <v>0</v>
      </c>
      <c r="Z122" s="39">
        <v>0</v>
      </c>
      <c r="AA122" s="39">
        <v>0</v>
      </c>
      <c r="AB122" s="39" t="s">
        <v>152</v>
      </c>
      <c r="AC122" s="39" t="s">
        <v>152</v>
      </c>
      <c r="AD122" s="39" t="s">
        <v>152</v>
      </c>
      <c r="AE122" s="39" t="s">
        <v>152</v>
      </c>
      <c r="AF122" s="39" t="s">
        <v>152</v>
      </c>
      <c r="AG122" s="39" t="s">
        <v>152</v>
      </c>
      <c r="AH122" s="39">
        <v>0</v>
      </c>
      <c r="AI122" s="39" t="s">
        <v>152</v>
      </c>
      <c r="AJ122" s="39" t="s">
        <v>152</v>
      </c>
      <c r="AK122" s="39" t="s">
        <v>152</v>
      </c>
      <c r="AL122" s="19">
        <v>2384715000</v>
      </c>
      <c r="AM122" s="19">
        <v>45069000</v>
      </c>
      <c r="AN122" s="39">
        <v>-2339646000</v>
      </c>
      <c r="AO122" s="39">
        <v>2429784000</v>
      </c>
      <c r="AP122" s="39">
        <v>11958628000</v>
      </c>
      <c r="AQ122" s="39">
        <v>1255808000</v>
      </c>
      <c r="AR122" s="39">
        <v>-10702820000</v>
      </c>
      <c r="AS122" s="39">
        <v>13214436000</v>
      </c>
      <c r="AT122" s="39">
        <v>0.19941376218074514</v>
      </c>
      <c r="AU122" s="39">
        <v>3.5888447915604936E-2</v>
      </c>
      <c r="AV122" s="39">
        <v>4.7861891567373928E-3</v>
      </c>
      <c r="AW122" s="39">
        <v>6.0697834419416719E-4</v>
      </c>
      <c r="AX122" s="39">
        <v>0.18387345475811454</v>
      </c>
      <c r="AY122" s="39">
        <v>10.146837371409767</v>
      </c>
      <c r="AZ122" s="39">
        <v>41</v>
      </c>
      <c r="BA122" s="39">
        <v>3430241540.1422386</v>
      </c>
      <c r="BB122" s="39">
        <v>0</v>
      </c>
      <c r="BC122" s="39">
        <v>0</v>
      </c>
      <c r="BD122" s="39">
        <v>41</v>
      </c>
      <c r="BE122" s="39">
        <v>3430241540.1422386</v>
      </c>
      <c r="BF122" s="39">
        <v>0</v>
      </c>
      <c r="BG122" s="39">
        <v>0</v>
      </c>
      <c r="BH122" s="39">
        <v>14.324772511662545</v>
      </c>
      <c r="BI122" s="39">
        <v>0</v>
      </c>
      <c r="BJ122" s="39">
        <v>14.324772511662545</v>
      </c>
      <c r="BK122" s="39">
        <v>0</v>
      </c>
      <c r="BL122" s="40">
        <v>201778914.12601402</v>
      </c>
      <c r="BM122" s="40">
        <v>0.84263367715662019</v>
      </c>
    </row>
    <row r="123" spans="1:65" x14ac:dyDescent="0.35">
      <c r="A123" s="39">
        <v>122</v>
      </c>
      <c r="B123" s="32" t="s">
        <v>355</v>
      </c>
      <c r="C123" s="32" t="s">
        <v>73</v>
      </c>
      <c r="D123" s="32" t="s">
        <v>9</v>
      </c>
      <c r="E123" s="32" t="s">
        <v>10</v>
      </c>
      <c r="F123" s="39">
        <v>0</v>
      </c>
      <c r="G123" s="39">
        <v>0</v>
      </c>
      <c r="H123" s="39">
        <v>1</v>
      </c>
      <c r="I123" s="39">
        <v>2018</v>
      </c>
      <c r="J123" s="39">
        <v>0</v>
      </c>
      <c r="K123" s="39" t="s">
        <v>152</v>
      </c>
      <c r="L123" s="39">
        <v>7600650037.8463011</v>
      </c>
      <c r="M123" s="39">
        <v>6</v>
      </c>
      <c r="N123" s="39">
        <v>1010000000</v>
      </c>
      <c r="O123" s="39">
        <v>0</v>
      </c>
      <c r="P123" s="39">
        <v>0</v>
      </c>
      <c r="Q123" s="39">
        <v>6</v>
      </c>
      <c r="R123" s="19">
        <v>1010000000</v>
      </c>
      <c r="S123" s="39">
        <v>0.13288337115521118</v>
      </c>
      <c r="T123" s="39">
        <v>0</v>
      </c>
      <c r="U123" s="39">
        <v>0.13288337115521118</v>
      </c>
      <c r="V123" s="39">
        <v>7.5225490269098712E-4</v>
      </c>
      <c r="W123" s="39">
        <v>0</v>
      </c>
      <c r="X123" s="39">
        <v>4.7133930363117932E-4</v>
      </c>
      <c r="Y123" s="39">
        <v>59411764.705882356</v>
      </c>
      <c r="Z123" s="39">
        <v>7.8166688914830113E-3</v>
      </c>
      <c r="AA123" s="39">
        <v>0</v>
      </c>
      <c r="AB123" s="39" t="s">
        <v>152</v>
      </c>
      <c r="AC123" s="39" t="s">
        <v>152</v>
      </c>
      <c r="AD123" s="39" t="s">
        <v>152</v>
      </c>
      <c r="AE123" s="39" t="s">
        <v>152</v>
      </c>
      <c r="AF123" s="39" t="s">
        <v>152</v>
      </c>
      <c r="AG123" s="39" t="s">
        <v>152</v>
      </c>
      <c r="AH123" s="39">
        <v>0</v>
      </c>
      <c r="AI123" s="39" t="s">
        <v>152</v>
      </c>
      <c r="AJ123" s="39" t="s">
        <v>152</v>
      </c>
      <c r="AK123" s="39" t="s">
        <v>152</v>
      </c>
      <c r="AL123" s="19">
        <v>377888000</v>
      </c>
      <c r="AM123" s="19">
        <v>875593000</v>
      </c>
      <c r="AN123" s="39">
        <v>497705000</v>
      </c>
      <c r="AO123" s="39">
        <v>1253481000</v>
      </c>
      <c r="AP123" s="39">
        <v>3519825000</v>
      </c>
      <c r="AQ123" s="39">
        <v>2890635000</v>
      </c>
      <c r="AR123" s="39">
        <v>-629190000</v>
      </c>
      <c r="AS123" s="39">
        <v>6410460000</v>
      </c>
      <c r="AT123" s="39">
        <v>0.10735988294872614</v>
      </c>
      <c r="AU123" s="39">
        <v>0.30290680075485144</v>
      </c>
      <c r="AV123" s="39">
        <v>1.408735872427271E-3</v>
      </c>
      <c r="AW123" s="39">
        <v>1.3971505564303671E-3</v>
      </c>
      <c r="AX123" s="39">
        <v>0.19553682575041417</v>
      </c>
      <c r="AY123" s="39">
        <v>0.1649176049099062</v>
      </c>
      <c r="AZ123" s="39">
        <v>99</v>
      </c>
      <c r="BA123" s="39">
        <v>2573750430.3313603</v>
      </c>
      <c r="BB123" s="39">
        <v>88</v>
      </c>
      <c r="BC123" s="39">
        <v>1273043490.1578119</v>
      </c>
      <c r="BD123" s="39">
        <v>7</v>
      </c>
      <c r="BE123" s="39">
        <v>389471132.71857762</v>
      </c>
      <c r="BF123" s="39">
        <v>4</v>
      </c>
      <c r="BG123" s="39">
        <v>911235807.45497096</v>
      </c>
      <c r="BH123" s="39">
        <v>0.33862240959862044</v>
      </c>
      <c r="BI123" s="39">
        <v>0.16749139663303561</v>
      </c>
      <c r="BJ123" s="39">
        <v>5.1241818894339868E-2</v>
      </c>
      <c r="BK123" s="39">
        <v>0.11988919407124501</v>
      </c>
      <c r="BL123" s="40">
        <v>151397084.13713884</v>
      </c>
      <c r="BM123" s="40">
        <v>1.9918965270507086E-2</v>
      </c>
    </row>
    <row r="124" spans="1:65" x14ac:dyDescent="0.35">
      <c r="A124" s="39">
        <v>123</v>
      </c>
      <c r="B124" s="32" t="s">
        <v>356</v>
      </c>
      <c r="C124" s="32" t="s">
        <v>202</v>
      </c>
      <c r="D124" s="32" t="s">
        <v>9</v>
      </c>
      <c r="E124" s="32" t="s">
        <v>5</v>
      </c>
      <c r="F124" s="39">
        <v>0</v>
      </c>
      <c r="G124" s="39">
        <v>1</v>
      </c>
      <c r="H124" s="39">
        <v>0</v>
      </c>
      <c r="I124" s="39" t="s">
        <v>152</v>
      </c>
      <c r="J124" s="39">
        <v>0</v>
      </c>
      <c r="K124" s="39" t="s">
        <v>152</v>
      </c>
      <c r="L124" s="39">
        <v>14046337854.8466</v>
      </c>
      <c r="M124" s="39">
        <v>4</v>
      </c>
      <c r="N124" s="39">
        <v>1470000000</v>
      </c>
      <c r="O124" s="39">
        <v>0</v>
      </c>
      <c r="P124" s="39">
        <v>0</v>
      </c>
      <c r="Q124" s="39">
        <v>4</v>
      </c>
      <c r="R124" s="19">
        <v>1470000000</v>
      </c>
      <c r="S124" s="39">
        <v>0.10465361257794221</v>
      </c>
      <c r="T124" s="39">
        <v>0</v>
      </c>
      <c r="U124" s="39">
        <v>0.10465361257794221</v>
      </c>
      <c r="V124" s="39">
        <v>1.0948660464908425E-3</v>
      </c>
      <c r="W124" s="39">
        <v>0</v>
      </c>
      <c r="X124" s="39">
        <v>6.8600868944339961E-4</v>
      </c>
      <c r="Y124" s="39">
        <v>86470588.235294119</v>
      </c>
      <c r="Z124" s="39">
        <v>6.1560948575260128E-3</v>
      </c>
      <c r="AA124" s="39">
        <v>0</v>
      </c>
      <c r="AB124" s="39" t="s">
        <v>152</v>
      </c>
      <c r="AC124" s="39" t="s">
        <v>152</v>
      </c>
      <c r="AD124" s="39" t="s">
        <v>152</v>
      </c>
      <c r="AE124" s="39" t="s">
        <v>152</v>
      </c>
      <c r="AF124" s="39" t="s">
        <v>152</v>
      </c>
      <c r="AG124" s="39" t="s">
        <v>152</v>
      </c>
      <c r="AH124" s="39">
        <v>0</v>
      </c>
      <c r="AI124" s="39" t="s">
        <v>152</v>
      </c>
      <c r="AJ124" s="39" t="s">
        <v>152</v>
      </c>
      <c r="AK124" s="39" t="s">
        <v>152</v>
      </c>
      <c r="AL124" s="19">
        <v>934919000</v>
      </c>
      <c r="AM124" s="19">
        <v>31982000</v>
      </c>
      <c r="AN124" s="39">
        <v>-902937000</v>
      </c>
      <c r="AO124" s="39">
        <v>966901000</v>
      </c>
      <c r="AP124" s="39">
        <v>5600488000</v>
      </c>
      <c r="AQ124" s="39">
        <v>1873604000</v>
      </c>
      <c r="AR124" s="39">
        <v>-3726884000</v>
      </c>
      <c r="AS124" s="39">
        <v>7474092000</v>
      </c>
      <c r="AT124" s="39">
        <v>0.1669352742118187</v>
      </c>
      <c r="AU124" s="39">
        <v>1.7069775683655673E-2</v>
      </c>
      <c r="AV124" s="39">
        <v>2.2414774452418694E-3</v>
      </c>
      <c r="AW124" s="39">
        <v>9.0558194691829348E-4</v>
      </c>
      <c r="AX124" s="39">
        <v>0.12936701876294807</v>
      </c>
      <c r="AY124" s="39">
        <v>6.8836518813078174E-2</v>
      </c>
      <c r="AZ124" s="39">
        <v>95</v>
      </c>
      <c r="BA124" s="39">
        <v>2169146515.9355683</v>
      </c>
      <c r="BB124" s="39">
        <v>85</v>
      </c>
      <c r="BC124" s="39">
        <v>636904511.15150201</v>
      </c>
      <c r="BD124" s="39">
        <v>5</v>
      </c>
      <c r="BE124" s="39">
        <v>474251128.33628535</v>
      </c>
      <c r="BF124" s="39">
        <v>5</v>
      </c>
      <c r="BG124" s="39">
        <v>1057990876.4477811</v>
      </c>
      <c r="BH124" s="39">
        <v>0.15442790415205043</v>
      </c>
      <c r="BI124" s="39">
        <v>4.5343100652512222E-2</v>
      </c>
      <c r="BJ124" s="39">
        <v>3.3763329149358888E-2</v>
      </c>
      <c r="BK124" s="39">
        <v>7.5321474350179329E-2</v>
      </c>
      <c r="BL124" s="40">
        <v>127596853.87856284</v>
      </c>
      <c r="BM124" s="40">
        <v>9.0839943618853183E-3</v>
      </c>
    </row>
    <row r="125" spans="1:65" x14ac:dyDescent="0.35">
      <c r="A125" s="39">
        <v>124</v>
      </c>
      <c r="B125" s="32" t="s">
        <v>357</v>
      </c>
      <c r="C125" s="32" t="s">
        <v>156</v>
      </c>
      <c r="D125" s="32" t="s">
        <v>12</v>
      </c>
      <c r="E125" s="32" t="s">
        <v>5</v>
      </c>
      <c r="F125" s="39">
        <v>3</v>
      </c>
      <c r="G125" s="39">
        <v>0</v>
      </c>
      <c r="H125" s="39">
        <v>0</v>
      </c>
      <c r="I125" s="39" t="s">
        <v>152</v>
      </c>
      <c r="J125" s="39">
        <v>0</v>
      </c>
      <c r="K125" s="39" t="s">
        <v>152</v>
      </c>
      <c r="L125" s="39">
        <v>1268870527160.0325</v>
      </c>
      <c r="M125" s="39">
        <v>15</v>
      </c>
      <c r="N125" s="39">
        <v>3600000000</v>
      </c>
      <c r="O125" s="39">
        <v>0</v>
      </c>
      <c r="P125" s="39">
        <v>0</v>
      </c>
      <c r="Q125" s="39">
        <v>15</v>
      </c>
      <c r="R125" s="19">
        <v>3600000000</v>
      </c>
      <c r="S125" s="39">
        <v>2.837168901745608E-3</v>
      </c>
      <c r="T125" s="39">
        <v>0</v>
      </c>
      <c r="U125" s="39">
        <v>2.837168901745608E-3</v>
      </c>
      <c r="V125" s="39">
        <v>2.681304603651043E-3</v>
      </c>
      <c r="W125" s="39">
        <v>0</v>
      </c>
      <c r="X125" s="39">
        <v>1.68002128026955E-3</v>
      </c>
      <c r="Y125" s="39">
        <v>211764705.88235295</v>
      </c>
      <c r="Z125" s="39">
        <v>1.6689228833797695E-4</v>
      </c>
      <c r="AA125" s="39">
        <v>0</v>
      </c>
      <c r="AB125" s="39" t="s">
        <v>152</v>
      </c>
      <c r="AC125" s="39" t="s">
        <v>152</v>
      </c>
      <c r="AD125" s="39" t="s">
        <v>152</v>
      </c>
      <c r="AE125" s="39" t="s">
        <v>152</v>
      </c>
      <c r="AF125" s="39" t="s">
        <v>152</v>
      </c>
      <c r="AG125" s="39" t="s">
        <v>152</v>
      </c>
      <c r="AH125" s="39">
        <v>0</v>
      </c>
      <c r="AI125" s="39" t="s">
        <v>152</v>
      </c>
      <c r="AJ125" s="39" t="s">
        <v>152</v>
      </c>
      <c r="AK125" s="39" t="s">
        <v>152</v>
      </c>
      <c r="AL125" s="19">
        <v>83052434000</v>
      </c>
      <c r="AM125" s="19">
        <v>6930326000</v>
      </c>
      <c r="AN125" s="39">
        <v>-76122108000</v>
      </c>
      <c r="AO125" s="39">
        <v>89982760000</v>
      </c>
      <c r="AP125" s="39">
        <v>455289486000</v>
      </c>
      <c r="AQ125" s="39">
        <v>460703804000</v>
      </c>
      <c r="AR125" s="39">
        <v>5414318000</v>
      </c>
      <c r="AS125" s="39">
        <v>915993290000</v>
      </c>
      <c r="AT125" s="39">
        <v>0.18241676242003094</v>
      </c>
      <c r="AU125" s="39">
        <v>1.5042910303384428E-2</v>
      </c>
      <c r="AV125" s="39">
        <v>0.18222003402645695</v>
      </c>
      <c r="AW125" s="39">
        <v>0.22267514788556383</v>
      </c>
      <c r="AX125" s="39">
        <v>9.8235173753292451E-2</v>
      </c>
      <c r="AY125" s="39">
        <v>7.0915635657010728E-2</v>
      </c>
      <c r="AZ125" s="39">
        <v>59</v>
      </c>
      <c r="BA125" s="39">
        <v>6218525621.0088673</v>
      </c>
      <c r="BB125" s="39">
        <v>17</v>
      </c>
      <c r="BC125" s="39">
        <v>3157034942.0911288</v>
      </c>
      <c r="BD125" s="39">
        <v>36</v>
      </c>
      <c r="BE125" s="39">
        <v>2963256979.8272028</v>
      </c>
      <c r="BF125" s="39">
        <v>6</v>
      </c>
      <c r="BG125" s="39">
        <v>98233699.090534985</v>
      </c>
      <c r="BH125" s="39">
        <v>4.9008354185096255E-3</v>
      </c>
      <c r="BI125" s="39">
        <v>2.4880670442847769E-3</v>
      </c>
      <c r="BJ125" s="39">
        <v>2.3353501530684311E-3</v>
      </c>
      <c r="BK125" s="39">
        <v>7.7418221156417137E-5</v>
      </c>
      <c r="BL125" s="40">
        <v>365795624.7652275</v>
      </c>
      <c r="BM125" s="40">
        <v>2.882844363829192E-4</v>
      </c>
    </row>
    <row r="126" spans="1:65" x14ac:dyDescent="0.35">
      <c r="A126" s="39">
        <v>125</v>
      </c>
      <c r="B126" s="32" t="s">
        <v>358</v>
      </c>
      <c r="C126" s="32" t="s">
        <v>147</v>
      </c>
      <c r="D126" s="32" t="s">
        <v>23</v>
      </c>
      <c r="E126" s="32" t="s">
        <v>10</v>
      </c>
      <c r="F126" s="39">
        <v>0</v>
      </c>
      <c r="G126" s="39">
        <v>0</v>
      </c>
      <c r="H126" s="39">
        <v>1</v>
      </c>
      <c r="I126" s="39">
        <v>2018</v>
      </c>
      <c r="J126" s="39">
        <v>0</v>
      </c>
      <c r="K126" s="39" t="s">
        <v>152</v>
      </c>
      <c r="L126" s="39">
        <v>408060600</v>
      </c>
      <c r="M126" s="39">
        <v>0</v>
      </c>
      <c r="N126" s="39">
        <v>0</v>
      </c>
      <c r="O126" s="39">
        <v>0</v>
      </c>
      <c r="P126" s="39">
        <v>0</v>
      </c>
      <c r="Q126" s="39">
        <v>0</v>
      </c>
      <c r="R126" s="19">
        <v>0</v>
      </c>
      <c r="S126" s="39">
        <v>0</v>
      </c>
      <c r="T126" s="39">
        <v>0</v>
      </c>
      <c r="U126" s="39">
        <v>0</v>
      </c>
      <c r="V126" s="39">
        <v>0</v>
      </c>
      <c r="W126" s="39">
        <v>0</v>
      </c>
      <c r="X126" s="39">
        <v>0</v>
      </c>
      <c r="Y126" s="39">
        <v>0</v>
      </c>
      <c r="Z126" s="39">
        <v>0</v>
      </c>
      <c r="AA126" s="39">
        <v>0</v>
      </c>
      <c r="AB126" s="39" t="s">
        <v>152</v>
      </c>
      <c r="AC126" s="39" t="s">
        <v>152</v>
      </c>
      <c r="AD126" s="39" t="s">
        <v>152</v>
      </c>
      <c r="AE126" s="39" t="s">
        <v>152</v>
      </c>
      <c r="AF126" s="39" t="s">
        <v>152</v>
      </c>
      <c r="AG126" s="39" t="s">
        <v>152</v>
      </c>
      <c r="AH126" s="39">
        <v>0</v>
      </c>
      <c r="AI126" s="39" t="s">
        <v>152</v>
      </c>
      <c r="AJ126" s="39" t="s">
        <v>152</v>
      </c>
      <c r="AK126" s="39" t="s">
        <v>152</v>
      </c>
      <c r="AL126" s="19">
        <v>18739000</v>
      </c>
      <c r="AM126" s="19">
        <v>12575000</v>
      </c>
      <c r="AN126" s="39">
        <v>-6164000</v>
      </c>
      <c r="AO126" s="39">
        <v>31314000</v>
      </c>
      <c r="AP126" s="39">
        <v>129962000</v>
      </c>
      <c r="AQ126" s="39">
        <v>143091000</v>
      </c>
      <c r="AR126" s="39">
        <v>13129000</v>
      </c>
      <c r="AS126" s="39">
        <v>273053000</v>
      </c>
      <c r="AT126" s="39">
        <v>0.14418830119573414</v>
      </c>
      <c r="AU126" s="39">
        <v>8.7881138576150847E-2</v>
      </c>
      <c r="AV126" s="39">
        <v>5.2014555113505077E-5</v>
      </c>
      <c r="AW126" s="39">
        <v>6.9161160184588383E-5</v>
      </c>
      <c r="AX126" s="39">
        <v>0.1146810326200408</v>
      </c>
      <c r="AY126" s="39">
        <v>7.6738602060576297E-2</v>
      </c>
      <c r="AZ126" s="39">
        <v>142</v>
      </c>
      <c r="BA126" s="39">
        <v>221465776.44672751</v>
      </c>
      <c r="BB126" s="39">
        <v>129</v>
      </c>
      <c r="BC126" s="39">
        <v>191438044.71543893</v>
      </c>
      <c r="BD126" s="39">
        <v>12</v>
      </c>
      <c r="BE126" s="39">
        <v>3437802.311718151</v>
      </c>
      <c r="BF126" s="39">
        <v>1</v>
      </c>
      <c r="BG126" s="39">
        <v>26589929.419570401</v>
      </c>
      <c r="BH126" s="39">
        <v>0.54272766458395516</v>
      </c>
      <c r="BI126" s="39">
        <v>0.46914121264204123</v>
      </c>
      <c r="BJ126" s="39">
        <v>8.4247347372379267E-3</v>
      </c>
      <c r="BK126" s="39">
        <v>6.5161717204675978E-2</v>
      </c>
      <c r="BL126" s="40">
        <v>13027398.614513382</v>
      </c>
      <c r="BM126" s="40">
        <v>3.1925156740232656E-2</v>
      </c>
    </row>
    <row r="127" spans="1:65" x14ac:dyDescent="0.35">
      <c r="A127" s="39">
        <v>126</v>
      </c>
      <c r="B127" s="32" t="s">
        <v>359</v>
      </c>
      <c r="C127" s="32" t="s">
        <v>74</v>
      </c>
      <c r="D127" s="32" t="s">
        <v>4</v>
      </c>
      <c r="E127" s="32" t="s">
        <v>5</v>
      </c>
      <c r="F127" s="39">
        <v>0</v>
      </c>
      <c r="G127" s="39">
        <v>0</v>
      </c>
      <c r="H127" s="39">
        <v>1</v>
      </c>
      <c r="I127" s="39">
        <v>2013</v>
      </c>
      <c r="J127" s="39">
        <v>0</v>
      </c>
      <c r="K127" s="39" t="s">
        <v>152</v>
      </c>
      <c r="L127" s="39">
        <v>11968699005.980051</v>
      </c>
      <c r="M127" s="39">
        <v>0</v>
      </c>
      <c r="N127" s="39">
        <v>0</v>
      </c>
      <c r="O127" s="39">
        <v>2</v>
      </c>
      <c r="P127" s="39">
        <v>560000000</v>
      </c>
      <c r="Q127" s="39">
        <v>2</v>
      </c>
      <c r="R127" s="19">
        <v>560000000</v>
      </c>
      <c r="S127" s="39">
        <v>0</v>
      </c>
      <c r="T127" s="39">
        <v>4.6788711097187852E-2</v>
      </c>
      <c r="U127" s="39">
        <v>4.6788711097187852E-2</v>
      </c>
      <c r="V127" s="39">
        <v>0</v>
      </c>
      <c r="W127" s="39">
        <v>7.0427849183791536E-4</v>
      </c>
      <c r="X127" s="39">
        <v>2.6133664359748556E-4</v>
      </c>
      <c r="Y127" s="39">
        <v>32941176.470588237</v>
      </c>
      <c r="Z127" s="39">
        <v>2.7522771233639914E-3</v>
      </c>
      <c r="AA127" s="39">
        <v>0</v>
      </c>
      <c r="AB127" s="39" t="s">
        <v>152</v>
      </c>
      <c r="AC127" s="39" t="s">
        <v>152</v>
      </c>
      <c r="AD127" s="39" t="s">
        <v>152</v>
      </c>
      <c r="AE127" s="39" t="s">
        <v>152</v>
      </c>
      <c r="AF127" s="39" t="s">
        <v>152</v>
      </c>
      <c r="AG127" s="39" t="s">
        <v>152</v>
      </c>
      <c r="AH127" s="39">
        <v>0</v>
      </c>
      <c r="AI127" s="39" t="s">
        <v>152</v>
      </c>
      <c r="AJ127" s="39" t="s">
        <v>152</v>
      </c>
      <c r="AK127" s="39" t="s">
        <v>152</v>
      </c>
      <c r="AL127" s="19">
        <v>602293000</v>
      </c>
      <c r="AM127" s="19">
        <v>17422000</v>
      </c>
      <c r="AN127" s="39">
        <v>-584871000</v>
      </c>
      <c r="AO127" s="39">
        <v>619715000</v>
      </c>
      <c r="AP127" s="39">
        <v>5842487000</v>
      </c>
      <c r="AQ127" s="39">
        <v>2779165000</v>
      </c>
      <c r="AR127" s="39">
        <v>-3063322000</v>
      </c>
      <c r="AS127" s="39">
        <v>8621652000</v>
      </c>
      <c r="AT127" s="39">
        <v>0.10308846215661241</v>
      </c>
      <c r="AU127" s="39">
        <v>6.2687893665903244E-3</v>
      </c>
      <c r="AV127" s="39">
        <v>2.3383324514968757E-3</v>
      </c>
      <c r="AW127" s="39">
        <v>1.3432729923223796E-3</v>
      </c>
      <c r="AX127" s="39">
        <v>7.1878916012847655E-2</v>
      </c>
      <c r="AY127" s="39">
        <v>5.1777975174274585E-2</v>
      </c>
      <c r="AZ127" s="39">
        <v>43</v>
      </c>
      <c r="BA127" s="39">
        <v>1495043161.0185857</v>
      </c>
      <c r="BB127" s="39">
        <v>37</v>
      </c>
      <c r="BC127" s="39">
        <v>177013256.82251224</v>
      </c>
      <c r="BD127" s="39">
        <v>4</v>
      </c>
      <c r="BE127" s="39">
        <v>1303715014.15573</v>
      </c>
      <c r="BF127" s="39">
        <v>2</v>
      </c>
      <c r="BG127" s="39">
        <v>14314890.04034332</v>
      </c>
      <c r="BH127" s="39">
        <v>0.12491275453343768</v>
      </c>
      <c r="BI127" s="39">
        <v>1.4789682381858646E-2</v>
      </c>
      <c r="BJ127" s="39">
        <v>0.1089270449114261</v>
      </c>
      <c r="BK127" s="39">
        <v>1.1960272401529202E-3</v>
      </c>
      <c r="BL127" s="40">
        <v>87943715.354034454</v>
      </c>
      <c r="BM127" s="40">
        <v>7.3478090902022166E-3</v>
      </c>
    </row>
    <row r="128" spans="1:65" x14ac:dyDescent="0.35">
      <c r="A128" s="39">
        <v>127</v>
      </c>
      <c r="B128" s="32" t="s">
        <v>360</v>
      </c>
      <c r="C128" s="32" t="s">
        <v>75</v>
      </c>
      <c r="D128" s="32" t="s">
        <v>23</v>
      </c>
      <c r="E128" s="32" t="s">
        <v>10</v>
      </c>
      <c r="F128" s="39">
        <v>2</v>
      </c>
      <c r="G128" s="39">
        <v>0</v>
      </c>
      <c r="H128" s="39">
        <v>1</v>
      </c>
      <c r="I128" s="39">
        <v>2013</v>
      </c>
      <c r="J128" s="39">
        <v>0</v>
      </c>
      <c r="K128" s="39" t="s">
        <v>152</v>
      </c>
      <c r="L128" s="39">
        <v>13996719329.423601</v>
      </c>
      <c r="M128" s="39">
        <v>6</v>
      </c>
      <c r="N128" s="39">
        <v>2230000000</v>
      </c>
      <c r="O128" s="39">
        <v>14</v>
      </c>
      <c r="P128" s="39">
        <v>5630000000</v>
      </c>
      <c r="Q128" s="39">
        <v>20</v>
      </c>
      <c r="R128" s="19">
        <v>7860000000</v>
      </c>
      <c r="S128" s="39">
        <v>0.15932304903136424</v>
      </c>
      <c r="T128" s="39">
        <v>0.40223711481909447</v>
      </c>
      <c r="U128" s="39">
        <v>0.5615601638504587</v>
      </c>
      <c r="V128" s="39">
        <v>1.6609192405949518E-3</v>
      </c>
      <c r="W128" s="39">
        <v>7.0805141232990415E-3</v>
      </c>
      <c r="X128" s="39">
        <v>3.6680464619218509E-3</v>
      </c>
      <c r="Y128" s="39">
        <v>462352941.17647058</v>
      </c>
      <c r="Z128" s="39">
        <v>3.3032950814732863E-2</v>
      </c>
      <c r="AA128" s="39">
        <v>1</v>
      </c>
      <c r="AB128" s="39">
        <v>2</v>
      </c>
      <c r="AC128" s="39">
        <v>121000000</v>
      </c>
      <c r="AD128" s="39">
        <v>0</v>
      </c>
      <c r="AE128" s="39">
        <v>0</v>
      </c>
      <c r="AF128" s="39">
        <v>0</v>
      </c>
      <c r="AG128" s="39">
        <v>0</v>
      </c>
      <c r="AH128" s="39">
        <v>2</v>
      </c>
      <c r="AI128" s="39">
        <v>121000000</v>
      </c>
      <c r="AJ128" s="39">
        <v>8.6448829295045163E-3</v>
      </c>
      <c r="AK128" s="39">
        <v>3.0356071703550131E-3</v>
      </c>
      <c r="AL128" s="19">
        <v>2036805</v>
      </c>
      <c r="AM128" s="19">
        <v>6772663</v>
      </c>
      <c r="AN128" s="39">
        <v>4735858</v>
      </c>
      <c r="AO128" s="39">
        <v>8809468</v>
      </c>
      <c r="AP128" s="39">
        <v>6127356000</v>
      </c>
      <c r="AQ128" s="39">
        <v>7619754000</v>
      </c>
      <c r="AR128" s="39">
        <v>1492398000</v>
      </c>
      <c r="AS128" s="39">
        <v>13747110000</v>
      </c>
      <c r="AT128" s="39">
        <v>3.3241172864772344E-4</v>
      </c>
      <c r="AU128" s="39">
        <v>8.8882961313449223E-4</v>
      </c>
      <c r="AV128" s="39">
        <v>2.4523452729418292E-3</v>
      </c>
      <c r="AW128" s="39">
        <v>3.6829082678935653E-3</v>
      </c>
      <c r="AX128" s="39">
        <v>6.4082327121845969E-4</v>
      </c>
      <c r="AY128" s="39">
        <v>6.293952027373248E-4</v>
      </c>
      <c r="AZ128" s="39">
        <v>139</v>
      </c>
      <c r="BA128" s="39">
        <v>5225733735.4564066</v>
      </c>
      <c r="BB128" s="39">
        <v>80</v>
      </c>
      <c r="BC128" s="39">
        <v>804804606.9130677</v>
      </c>
      <c r="BD128" s="39">
        <v>50</v>
      </c>
      <c r="BE128" s="39">
        <v>4326680144.5949039</v>
      </c>
      <c r="BF128" s="39">
        <v>9</v>
      </c>
      <c r="BG128" s="39">
        <v>94248983.948433891</v>
      </c>
      <c r="BH128" s="39">
        <v>0.3733541848246526</v>
      </c>
      <c r="BI128" s="39">
        <v>5.7499517420573319E-2</v>
      </c>
      <c r="BJ128" s="39">
        <v>0.30912101920193902</v>
      </c>
      <c r="BK128" s="39">
        <v>6.7336482021401771E-3</v>
      </c>
      <c r="BL128" s="40">
        <v>307396102.08567095</v>
      </c>
      <c r="BM128" s="40">
        <v>2.1962010872038387E-2</v>
      </c>
    </row>
    <row r="129" spans="1:65" x14ac:dyDescent="0.35">
      <c r="A129" s="39">
        <v>128</v>
      </c>
      <c r="B129" s="32" t="s">
        <v>361</v>
      </c>
      <c r="C129" s="32" t="s">
        <v>76</v>
      </c>
      <c r="D129" s="32" t="s">
        <v>4</v>
      </c>
      <c r="E129" s="32" t="s">
        <v>5</v>
      </c>
      <c r="F129" s="39">
        <v>0</v>
      </c>
      <c r="G129" s="39">
        <v>0</v>
      </c>
      <c r="H129" s="39">
        <v>1</v>
      </c>
      <c r="I129" s="39">
        <v>2017</v>
      </c>
      <c r="J129" s="39">
        <v>0</v>
      </c>
      <c r="K129" s="39" t="s">
        <v>152</v>
      </c>
      <c r="L129" s="39">
        <v>5542674764.8902826</v>
      </c>
      <c r="M129" s="39">
        <v>0</v>
      </c>
      <c r="N129" s="39">
        <v>0</v>
      </c>
      <c r="O129" s="39">
        <v>2</v>
      </c>
      <c r="P129" s="39">
        <v>1220000000</v>
      </c>
      <c r="Q129" s="39">
        <v>2</v>
      </c>
      <c r="R129" s="19">
        <v>1220000000</v>
      </c>
      <c r="S129" s="39">
        <v>0</v>
      </c>
      <c r="T129" s="39">
        <v>0.22011033512700612</v>
      </c>
      <c r="U129" s="39">
        <v>0.22011033512700612</v>
      </c>
      <c r="V129" s="39">
        <v>0</v>
      </c>
      <c r="W129" s="39">
        <v>1.5343210000754585E-3</v>
      </c>
      <c r="X129" s="39">
        <v>5.6934054498023639E-4</v>
      </c>
      <c r="Y129" s="39">
        <v>71764705.882352948</v>
      </c>
      <c r="Z129" s="39">
        <v>1.2947666772176833E-2</v>
      </c>
      <c r="AA129" s="39">
        <v>0</v>
      </c>
      <c r="AB129" s="39" t="s">
        <v>152</v>
      </c>
      <c r="AC129" s="39" t="s">
        <v>152</v>
      </c>
      <c r="AD129" s="39" t="s">
        <v>152</v>
      </c>
      <c r="AE129" s="39" t="s">
        <v>152</v>
      </c>
      <c r="AF129" s="39" t="s">
        <v>152</v>
      </c>
      <c r="AG129" s="39" t="s">
        <v>152</v>
      </c>
      <c r="AH129" s="39">
        <v>0</v>
      </c>
      <c r="AI129" s="39" t="s">
        <v>152</v>
      </c>
      <c r="AJ129" s="39" t="s">
        <v>152</v>
      </c>
      <c r="AK129" s="39" t="s">
        <v>152</v>
      </c>
      <c r="AL129" s="19">
        <v>221954000</v>
      </c>
      <c r="AM129" s="19">
        <v>17413000</v>
      </c>
      <c r="AN129" s="39">
        <v>-204541000</v>
      </c>
      <c r="AO129" s="39">
        <v>239367000</v>
      </c>
      <c r="AP129" s="39">
        <v>2600771000</v>
      </c>
      <c r="AQ129" s="39">
        <v>415484000</v>
      </c>
      <c r="AR129" s="39">
        <v>-2185287000</v>
      </c>
      <c r="AS129" s="39">
        <v>3016255000</v>
      </c>
      <c r="AT129" s="39">
        <v>8.5341616005407628E-2</v>
      </c>
      <c r="AU129" s="39">
        <v>4.1910157791876464E-2</v>
      </c>
      <c r="AV129" s="39">
        <v>1.0409038527962459E-3</v>
      </c>
      <c r="AW129" s="39">
        <v>2.008187480563664E-4</v>
      </c>
      <c r="AX129" s="39">
        <v>7.9359006450051478E-2</v>
      </c>
      <c r="AY129" s="39">
        <v>4.3186189006841048E-2</v>
      </c>
      <c r="AZ129" s="39">
        <v>20</v>
      </c>
      <c r="BA129" s="39">
        <v>1035055873.7648617</v>
      </c>
      <c r="BB129" s="39">
        <v>16</v>
      </c>
      <c r="BC129" s="39">
        <v>22913447.661233313</v>
      </c>
      <c r="BD129" s="39">
        <v>4</v>
      </c>
      <c r="BE129" s="39">
        <v>1012142426.1036284</v>
      </c>
      <c r="BF129" s="39">
        <v>0</v>
      </c>
      <c r="BG129" s="39">
        <v>0</v>
      </c>
      <c r="BH129" s="39">
        <v>0.18674302889308186</v>
      </c>
      <c r="BI129" s="39">
        <v>4.1340054455976877E-3</v>
      </c>
      <c r="BJ129" s="39">
        <v>0.18260902344748417</v>
      </c>
      <c r="BK129" s="39">
        <v>0</v>
      </c>
      <c r="BL129" s="40">
        <v>60885639.633227162</v>
      </c>
      <c r="BM129" s="40">
        <v>1.0984884052534227E-2</v>
      </c>
    </row>
    <row r="130" spans="1:65" x14ac:dyDescent="0.35">
      <c r="A130" s="39">
        <v>129</v>
      </c>
      <c r="B130" s="32" t="s">
        <v>362</v>
      </c>
      <c r="C130" s="32" t="s">
        <v>77</v>
      </c>
      <c r="D130" s="32" t="s">
        <v>7</v>
      </c>
      <c r="E130" s="32" t="s">
        <v>10</v>
      </c>
      <c r="F130" s="39">
        <v>0</v>
      </c>
      <c r="G130" s="39">
        <v>0</v>
      </c>
      <c r="H130" s="39">
        <v>1</v>
      </c>
      <c r="I130" s="39">
        <v>2017</v>
      </c>
      <c r="J130" s="39">
        <v>0</v>
      </c>
      <c r="K130" s="39" t="s">
        <v>152</v>
      </c>
      <c r="L130" s="39">
        <v>119700325461.93758</v>
      </c>
      <c r="M130" s="39">
        <v>4</v>
      </c>
      <c r="N130" s="39">
        <v>1040000000</v>
      </c>
      <c r="O130" s="39">
        <v>4</v>
      </c>
      <c r="P130" s="39">
        <v>1260000000</v>
      </c>
      <c r="Q130" s="39">
        <v>8</v>
      </c>
      <c r="R130" s="19">
        <v>2300000000</v>
      </c>
      <c r="S130" s="39">
        <v>8.6883640122657826E-3</v>
      </c>
      <c r="T130" s="39">
        <v>1.0526287168706622E-2</v>
      </c>
      <c r="U130" s="39">
        <v>1.9214651180972403E-2</v>
      </c>
      <c r="V130" s="39">
        <v>7.7459910772141247E-4</v>
      </c>
      <c r="W130" s="39">
        <v>1.5846266066353095E-3</v>
      </c>
      <c r="X130" s="39">
        <v>1.0733469290611015E-3</v>
      </c>
      <c r="Y130" s="39">
        <v>135294117.64705881</v>
      </c>
      <c r="Z130" s="39">
        <v>1.1302735988807295E-3</v>
      </c>
      <c r="AA130" s="39">
        <v>3</v>
      </c>
      <c r="AB130" s="39">
        <v>0</v>
      </c>
      <c r="AC130" s="39">
        <v>0</v>
      </c>
      <c r="AD130" s="39">
        <v>0</v>
      </c>
      <c r="AE130" s="39">
        <v>0</v>
      </c>
      <c r="AF130" s="39">
        <v>0</v>
      </c>
      <c r="AG130" s="39">
        <v>0</v>
      </c>
      <c r="AH130" s="39">
        <v>0</v>
      </c>
      <c r="AI130" s="39">
        <v>0</v>
      </c>
      <c r="AJ130" s="39">
        <v>0</v>
      </c>
      <c r="AK130" s="39">
        <v>0</v>
      </c>
      <c r="AL130" s="19">
        <v>5181673000</v>
      </c>
      <c r="AM130" s="19">
        <v>283450000</v>
      </c>
      <c r="AN130" s="39">
        <v>-4898223000</v>
      </c>
      <c r="AO130" s="39">
        <v>5465123000</v>
      </c>
      <c r="AP130" s="39">
        <v>51067504000</v>
      </c>
      <c r="AQ130" s="39">
        <v>29592492000</v>
      </c>
      <c r="AR130" s="39">
        <v>-21475012000</v>
      </c>
      <c r="AS130" s="39">
        <v>80659996000</v>
      </c>
      <c r="AT130" s="39">
        <v>0.10146712868520068</v>
      </c>
      <c r="AU130" s="39">
        <v>9.5784430726550511E-3</v>
      </c>
      <c r="AV130" s="39">
        <v>2.0438693628269347E-2</v>
      </c>
      <c r="AW130" s="39">
        <v>1.4303143310712417E-2</v>
      </c>
      <c r="AX130" s="39">
        <v>6.7755061629311261E-2</v>
      </c>
      <c r="AY130" s="39">
        <v>4.5656709611351931E-2</v>
      </c>
      <c r="AZ130" s="39">
        <v>59</v>
      </c>
      <c r="BA130" s="39">
        <v>992214985.20459378</v>
      </c>
      <c r="BB130" s="39">
        <v>44</v>
      </c>
      <c r="BC130" s="39">
        <v>165057422.02168748</v>
      </c>
      <c r="BD130" s="39">
        <v>10</v>
      </c>
      <c r="BE130" s="39">
        <v>656287159.22629499</v>
      </c>
      <c r="BF130" s="39">
        <v>5</v>
      </c>
      <c r="BG130" s="39">
        <v>170870403.95661148</v>
      </c>
      <c r="BH130" s="39">
        <v>8.2891586248869404E-3</v>
      </c>
      <c r="BI130" s="39">
        <v>1.3789220821640339E-3</v>
      </c>
      <c r="BJ130" s="39">
        <v>5.4827516691671975E-3</v>
      </c>
      <c r="BK130" s="39">
        <v>1.4274848735557116E-3</v>
      </c>
      <c r="BL130" s="40">
        <v>58365587.364976108</v>
      </c>
      <c r="BM130" s="40">
        <v>4.8759756616982011E-4</v>
      </c>
    </row>
    <row r="131" spans="1:65" x14ac:dyDescent="0.35">
      <c r="A131" s="39">
        <v>130</v>
      </c>
      <c r="B131" s="32" t="s">
        <v>363</v>
      </c>
      <c r="C131" s="32" t="s">
        <v>78</v>
      </c>
      <c r="D131" s="32" t="s">
        <v>9</v>
      </c>
      <c r="E131" s="32" t="s">
        <v>2</v>
      </c>
      <c r="F131" s="39">
        <v>0</v>
      </c>
      <c r="G131" s="39">
        <v>0</v>
      </c>
      <c r="H131" s="39">
        <v>1</v>
      </c>
      <c r="I131" s="39">
        <v>2018</v>
      </c>
      <c r="J131" s="39">
        <v>0</v>
      </c>
      <c r="K131" s="39" t="s">
        <v>152</v>
      </c>
      <c r="L131" s="39">
        <v>15291448211.603004</v>
      </c>
      <c r="M131" s="39">
        <v>9</v>
      </c>
      <c r="N131" s="39">
        <v>7360000000</v>
      </c>
      <c r="O131" s="39">
        <v>7</v>
      </c>
      <c r="P131" s="39">
        <v>3050000000</v>
      </c>
      <c r="Q131" s="39">
        <v>16</v>
      </c>
      <c r="R131" s="19">
        <v>10410000000</v>
      </c>
      <c r="S131" s="39">
        <v>0.48131477791719574</v>
      </c>
      <c r="T131" s="39">
        <v>0.19945789030535965</v>
      </c>
      <c r="U131" s="39">
        <v>0.68077266822255533</v>
      </c>
      <c r="V131" s="39">
        <v>5.4817783007976885E-3</v>
      </c>
      <c r="W131" s="39">
        <v>3.8358025001886458E-3</v>
      </c>
      <c r="X131" s="39">
        <v>4.8580615354461157E-3</v>
      </c>
      <c r="Y131" s="39">
        <v>612352941.17647064</v>
      </c>
      <c r="Z131" s="39">
        <v>4.0045451071915025E-2</v>
      </c>
      <c r="AA131" s="39">
        <v>0</v>
      </c>
      <c r="AB131" s="39" t="s">
        <v>152</v>
      </c>
      <c r="AC131" s="39" t="s">
        <v>152</v>
      </c>
      <c r="AD131" s="39" t="s">
        <v>152</v>
      </c>
      <c r="AE131" s="39" t="s">
        <v>152</v>
      </c>
      <c r="AF131" s="39" t="s">
        <v>152</v>
      </c>
      <c r="AG131" s="39" t="s">
        <v>152</v>
      </c>
      <c r="AH131" s="39">
        <v>0</v>
      </c>
      <c r="AI131" s="39" t="s">
        <v>152</v>
      </c>
      <c r="AJ131" s="39" t="s">
        <v>152</v>
      </c>
      <c r="AK131" s="39" t="s">
        <v>152</v>
      </c>
      <c r="AL131" s="19">
        <v>861515000</v>
      </c>
      <c r="AM131" s="19">
        <v>323799000</v>
      </c>
      <c r="AN131" s="39">
        <v>-537716000</v>
      </c>
      <c r="AO131" s="39">
        <v>1185314000</v>
      </c>
      <c r="AP131" s="39">
        <v>7638740000</v>
      </c>
      <c r="AQ131" s="39">
        <v>4722313000</v>
      </c>
      <c r="AR131" s="39">
        <v>-2916427000</v>
      </c>
      <c r="AS131" s="39">
        <v>12361053000</v>
      </c>
      <c r="AT131" s="39">
        <v>0.11278234368495328</v>
      </c>
      <c r="AU131" s="39">
        <v>6.8567881883305912E-2</v>
      </c>
      <c r="AV131" s="39">
        <v>3.0572449079556779E-3</v>
      </c>
      <c r="AW131" s="39">
        <v>2.2824681205300414E-3</v>
      </c>
      <c r="AX131" s="39">
        <v>9.5891021582061017E-2</v>
      </c>
      <c r="AY131" s="39">
        <v>7.7514829439149863E-2</v>
      </c>
      <c r="AZ131" s="39">
        <v>117</v>
      </c>
      <c r="BA131" s="39">
        <v>9474383767.6672211</v>
      </c>
      <c r="BB131" s="39">
        <v>85</v>
      </c>
      <c r="BC131" s="39">
        <v>1791185758.9066896</v>
      </c>
      <c r="BD131" s="39">
        <v>17</v>
      </c>
      <c r="BE131" s="39">
        <v>3154804544.1743064</v>
      </c>
      <c r="BF131" s="39">
        <v>15</v>
      </c>
      <c r="BG131" s="39">
        <v>4528393464.5862246</v>
      </c>
      <c r="BH131" s="39">
        <v>0.61958708139090113</v>
      </c>
      <c r="BI131" s="39">
        <v>0.11713643692345341</v>
      </c>
      <c r="BJ131" s="39">
        <v>0.2063116913792685</v>
      </c>
      <c r="BK131" s="39">
        <v>0.29613895308817922</v>
      </c>
      <c r="BL131" s="40">
        <v>557316692.21571887</v>
      </c>
      <c r="BM131" s="40">
        <v>3.6446298905347126E-2</v>
      </c>
    </row>
    <row r="132" spans="1:65" x14ac:dyDescent="0.35">
      <c r="A132" s="39">
        <v>131</v>
      </c>
      <c r="B132" s="32" t="s">
        <v>364</v>
      </c>
      <c r="C132" s="32" t="s">
        <v>79</v>
      </c>
      <c r="D132" s="32" t="s">
        <v>23</v>
      </c>
      <c r="E132" s="32" t="s">
        <v>10</v>
      </c>
      <c r="F132" s="39">
        <v>4</v>
      </c>
      <c r="G132" s="39">
        <v>1</v>
      </c>
      <c r="H132" s="39">
        <v>1</v>
      </c>
      <c r="I132" s="39">
        <v>2016</v>
      </c>
      <c r="J132" s="39">
        <v>0</v>
      </c>
      <c r="K132" s="39" t="s">
        <v>152</v>
      </c>
      <c r="L132" s="39">
        <v>79844294296.064682</v>
      </c>
      <c r="M132" s="39">
        <v>7</v>
      </c>
      <c r="N132" s="39">
        <v>4180000000</v>
      </c>
      <c r="O132" s="39">
        <v>16</v>
      </c>
      <c r="P132" s="39">
        <v>5700000000</v>
      </c>
      <c r="Q132" s="39">
        <v>23</v>
      </c>
      <c r="R132" s="19">
        <v>9880000000</v>
      </c>
      <c r="S132" s="39">
        <v>5.2351893605577543E-2</v>
      </c>
      <c r="T132" s="39">
        <v>7.1388945825787559E-2</v>
      </c>
      <c r="U132" s="39">
        <v>0.1237408394313651</v>
      </c>
      <c r="V132" s="39">
        <v>3.1132925675726002E-3</v>
      </c>
      <c r="W132" s="39">
        <v>7.1685489347787807E-3</v>
      </c>
      <c r="X132" s="39">
        <v>4.61072506918421E-3</v>
      </c>
      <c r="Y132" s="39">
        <v>581176470.58823526</v>
      </c>
      <c r="Z132" s="39">
        <v>7.2788729077273582E-3</v>
      </c>
      <c r="AA132" s="39">
        <v>1</v>
      </c>
      <c r="AB132" s="39">
        <v>1</v>
      </c>
      <c r="AC132" s="39">
        <v>20000000</v>
      </c>
      <c r="AD132" s="39">
        <v>0</v>
      </c>
      <c r="AE132" s="39">
        <v>0</v>
      </c>
      <c r="AF132" s="39">
        <v>0</v>
      </c>
      <c r="AG132" s="39">
        <v>0</v>
      </c>
      <c r="AH132" s="39">
        <v>1</v>
      </c>
      <c r="AI132" s="39">
        <v>20000000</v>
      </c>
      <c r="AJ132" s="39">
        <v>2.5048752921328965E-4</v>
      </c>
      <c r="AK132" s="39">
        <v>5.0175325129834928E-4</v>
      </c>
      <c r="AL132" s="19">
        <v>6447069000</v>
      </c>
      <c r="AM132" s="19">
        <v>5753615000</v>
      </c>
      <c r="AN132" s="39">
        <v>-693454000</v>
      </c>
      <c r="AO132" s="39">
        <v>12200684000</v>
      </c>
      <c r="AP132" s="39">
        <v>18610892000</v>
      </c>
      <c r="AQ132" s="39">
        <v>18105886000</v>
      </c>
      <c r="AR132" s="39">
        <v>-505006000</v>
      </c>
      <c r="AS132" s="39">
        <v>36716778000</v>
      </c>
      <c r="AT132" s="39">
        <v>0.34641375598762275</v>
      </c>
      <c r="AU132" s="39">
        <v>0.31777594313804913</v>
      </c>
      <c r="AV132" s="39">
        <v>7.4486178086324521E-3</v>
      </c>
      <c r="AW132" s="39">
        <v>8.7512427890635777E-3</v>
      </c>
      <c r="AX132" s="39">
        <v>0.33229179314154417</v>
      </c>
      <c r="AY132" s="39">
        <v>0.15280595949360579</v>
      </c>
      <c r="AZ132" s="39">
        <v>280</v>
      </c>
      <c r="BA132" s="39">
        <v>17089617367.982758</v>
      </c>
      <c r="BB132" s="39">
        <v>182</v>
      </c>
      <c r="BC132" s="39">
        <v>3050070955.9996686</v>
      </c>
      <c r="BD132" s="39">
        <v>81</v>
      </c>
      <c r="BE132" s="39">
        <v>7760284650.3226576</v>
      </c>
      <c r="BF132" s="39">
        <v>17</v>
      </c>
      <c r="BG132" s="39">
        <v>6279261761.6604366</v>
      </c>
      <c r="BH132" s="39">
        <v>0.21403680148532617</v>
      </c>
      <c r="BI132" s="39">
        <v>3.8200236884678669E-2</v>
      </c>
      <c r="BJ132" s="39">
        <v>9.7192726402557009E-2</v>
      </c>
      <c r="BK132" s="39">
        <v>7.8643838198090565E-2</v>
      </c>
      <c r="BL132" s="40">
        <v>1005271609.8813387</v>
      </c>
      <c r="BM132" s="40">
        <v>1.2590400087372128E-2</v>
      </c>
    </row>
    <row r="133" spans="1:65" x14ac:dyDescent="0.35">
      <c r="A133" s="39">
        <v>132</v>
      </c>
      <c r="B133" s="32" t="s">
        <v>365</v>
      </c>
      <c r="C133" s="32" t="s">
        <v>80</v>
      </c>
      <c r="D133" s="32" t="s">
        <v>9</v>
      </c>
      <c r="E133" s="32" t="s">
        <v>5</v>
      </c>
      <c r="F133" s="39">
        <v>0</v>
      </c>
      <c r="G133" s="39">
        <v>0</v>
      </c>
      <c r="H133" s="39">
        <v>1</v>
      </c>
      <c r="I133" s="39">
        <v>2018</v>
      </c>
      <c r="J133" s="39">
        <v>0</v>
      </c>
      <c r="K133" s="39" t="s">
        <v>152</v>
      </c>
      <c r="L133" s="39">
        <v>12565772084.744125</v>
      </c>
      <c r="M133" s="39">
        <v>0</v>
      </c>
      <c r="N133" s="39">
        <v>0</v>
      </c>
      <c r="O133" s="39">
        <v>7</v>
      </c>
      <c r="P133" s="39">
        <v>3250000000</v>
      </c>
      <c r="Q133" s="39">
        <v>7</v>
      </c>
      <c r="R133" s="19">
        <v>3250000000</v>
      </c>
      <c r="S133" s="39">
        <v>0</v>
      </c>
      <c r="T133" s="39">
        <v>0.25863910136853158</v>
      </c>
      <c r="U133" s="39">
        <v>0.25863910136853158</v>
      </c>
      <c r="V133" s="39">
        <v>0</v>
      </c>
      <c r="W133" s="39">
        <v>4.0873305329879013E-3</v>
      </c>
      <c r="X133" s="39">
        <v>1.5166858780211216E-3</v>
      </c>
      <c r="Y133" s="39">
        <v>191176470.58823529</v>
      </c>
      <c r="Z133" s="39">
        <v>1.5214064786384209E-2</v>
      </c>
      <c r="AA133" s="39">
        <v>0</v>
      </c>
      <c r="AB133" s="39" t="s">
        <v>152</v>
      </c>
      <c r="AC133" s="39" t="s">
        <v>152</v>
      </c>
      <c r="AD133" s="39" t="s">
        <v>152</v>
      </c>
      <c r="AE133" s="39" t="s">
        <v>152</v>
      </c>
      <c r="AF133" s="39" t="s">
        <v>152</v>
      </c>
      <c r="AG133" s="39" t="s">
        <v>152</v>
      </c>
      <c r="AH133" s="39">
        <v>0</v>
      </c>
      <c r="AI133" s="39" t="s">
        <v>152</v>
      </c>
      <c r="AJ133" s="39" t="s">
        <v>152</v>
      </c>
      <c r="AK133" s="39" t="s">
        <v>152</v>
      </c>
      <c r="AL133" s="19">
        <v>309760000</v>
      </c>
      <c r="AM133" s="19">
        <v>1645972000</v>
      </c>
      <c r="AN133" s="39">
        <v>1336212000</v>
      </c>
      <c r="AO133" s="39">
        <v>1955732000</v>
      </c>
      <c r="AP133" s="39">
        <v>7715202000</v>
      </c>
      <c r="AQ133" s="39">
        <v>6439325000</v>
      </c>
      <c r="AR133" s="39">
        <v>-1275877000</v>
      </c>
      <c r="AS133" s="39">
        <v>14154527000</v>
      </c>
      <c r="AT133" s="39">
        <v>4.0149305228819675E-2</v>
      </c>
      <c r="AU133" s="39">
        <v>0.25561250596918156</v>
      </c>
      <c r="AV133" s="39">
        <v>3.0878472141150845E-3</v>
      </c>
      <c r="AW133" s="39">
        <v>3.112363375793199E-3</v>
      </c>
      <c r="AX133" s="39">
        <v>0.13817007096033657</v>
      </c>
      <c r="AY133" s="39">
        <v>0.15563962061467107</v>
      </c>
      <c r="AZ133" s="39">
        <v>140</v>
      </c>
      <c r="BA133" s="39">
        <v>3212928697.5196543</v>
      </c>
      <c r="BB133" s="39">
        <v>117</v>
      </c>
      <c r="BC133" s="39">
        <v>350831970.32019562</v>
      </c>
      <c r="BD133" s="39">
        <v>22</v>
      </c>
      <c r="BE133" s="39">
        <v>2862096727.1994586</v>
      </c>
      <c r="BF133" s="39">
        <v>1</v>
      </c>
      <c r="BG133" s="39">
        <v>0</v>
      </c>
      <c r="BH133" s="39">
        <v>0.25568892033466151</v>
      </c>
      <c r="BI133" s="39">
        <v>2.7919650933835916E-2</v>
      </c>
      <c r="BJ133" s="39">
        <v>0.22776926940082559</v>
      </c>
      <c r="BK133" s="39">
        <v>0</v>
      </c>
      <c r="BL133" s="40">
        <v>188995805.73645025</v>
      </c>
      <c r="BM133" s="40">
        <v>1.5040524725568325E-2</v>
      </c>
    </row>
    <row r="134" spans="1:65" x14ac:dyDescent="0.35">
      <c r="A134" s="39">
        <v>133</v>
      </c>
      <c r="B134" s="32" t="s">
        <v>457</v>
      </c>
      <c r="C134" s="32" t="s">
        <v>366</v>
      </c>
      <c r="D134" s="32" t="s">
        <v>23</v>
      </c>
      <c r="E134" s="32" t="s">
        <v>13</v>
      </c>
      <c r="F134" s="39">
        <v>0</v>
      </c>
      <c r="G134" s="39">
        <v>0</v>
      </c>
      <c r="H134" s="39">
        <v>0</v>
      </c>
      <c r="I134" s="39" t="s">
        <v>152</v>
      </c>
      <c r="J134" s="39">
        <v>2</v>
      </c>
      <c r="K134" s="39" t="s">
        <v>152</v>
      </c>
      <c r="L134" s="39">
        <v>118223430.12444571</v>
      </c>
      <c r="M134" s="39">
        <v>0</v>
      </c>
      <c r="N134" s="39">
        <v>0</v>
      </c>
      <c r="O134" s="39">
        <v>0</v>
      </c>
      <c r="P134" s="39">
        <v>0</v>
      </c>
      <c r="Q134" s="39">
        <v>0</v>
      </c>
      <c r="R134" s="19">
        <v>0</v>
      </c>
      <c r="S134" s="39">
        <v>0</v>
      </c>
      <c r="T134" s="39">
        <v>0</v>
      </c>
      <c r="U134" s="39">
        <v>0</v>
      </c>
      <c r="V134" s="39">
        <v>0</v>
      </c>
      <c r="W134" s="39">
        <v>0</v>
      </c>
      <c r="X134" s="39">
        <v>0</v>
      </c>
      <c r="Y134" s="39">
        <v>0</v>
      </c>
      <c r="Z134" s="39">
        <v>0</v>
      </c>
      <c r="AA134" s="39">
        <v>0</v>
      </c>
      <c r="AB134" s="39" t="s">
        <v>152</v>
      </c>
      <c r="AC134" s="39" t="s">
        <v>152</v>
      </c>
      <c r="AD134" s="39" t="s">
        <v>152</v>
      </c>
      <c r="AE134" s="39" t="s">
        <v>152</v>
      </c>
      <c r="AF134" s="39" t="s">
        <v>152</v>
      </c>
      <c r="AG134" s="39" t="s">
        <v>152</v>
      </c>
      <c r="AH134" s="39">
        <v>0</v>
      </c>
      <c r="AI134" s="39" t="s">
        <v>152</v>
      </c>
      <c r="AJ134" s="39" t="s">
        <v>152</v>
      </c>
      <c r="AK134" s="39" t="s">
        <v>152</v>
      </c>
      <c r="AL134" s="19">
        <v>1222000</v>
      </c>
      <c r="AM134" s="19">
        <v>23000</v>
      </c>
      <c r="AN134" s="39">
        <v>-1199000</v>
      </c>
      <c r="AO134" s="39">
        <v>1245000</v>
      </c>
      <c r="AP134" s="39">
        <v>96779000</v>
      </c>
      <c r="AQ134" s="39">
        <v>34450000</v>
      </c>
      <c r="AR134" s="39">
        <v>-62329000</v>
      </c>
      <c r="AS134" s="39">
        <v>131229000</v>
      </c>
      <c r="AT134" s="39">
        <v>1.2626706206925057E-2</v>
      </c>
      <c r="AU134" s="39">
        <v>6.6763425253991288E-4</v>
      </c>
      <c r="AV134" s="39">
        <v>3.8733757785582768E-5</v>
      </c>
      <c r="AW134" s="39">
        <v>1.665095616327421E-5</v>
      </c>
      <c r="AX134" s="39">
        <v>9.4872322428731452E-3</v>
      </c>
      <c r="AY134" s="39">
        <v>1.0530907441016335E-2</v>
      </c>
      <c r="AZ134" s="39">
        <v>13</v>
      </c>
      <c r="BA134" s="39">
        <v>142252708.66030189</v>
      </c>
      <c r="BB134" s="39">
        <v>12</v>
      </c>
      <c r="BC134" s="39">
        <v>142252708.66030189</v>
      </c>
      <c r="BD134" s="39">
        <v>0</v>
      </c>
      <c r="BE134" s="39">
        <v>0</v>
      </c>
      <c r="BF134" s="39">
        <v>1</v>
      </c>
      <c r="BG134" s="39">
        <v>0</v>
      </c>
      <c r="BH134" s="39">
        <v>1.2032530989040178</v>
      </c>
      <c r="BI134" s="39">
        <v>1.2032530989040178</v>
      </c>
      <c r="BJ134" s="39">
        <v>0</v>
      </c>
      <c r="BK134" s="39">
        <v>0</v>
      </c>
      <c r="BL134" s="40">
        <v>8367806.3917824645</v>
      </c>
      <c r="BM134" s="40">
        <v>7.0779594053177505E-2</v>
      </c>
    </row>
    <row r="135" spans="1:65" x14ac:dyDescent="0.35">
      <c r="A135" s="39">
        <v>134</v>
      </c>
      <c r="B135" s="32" t="s">
        <v>367</v>
      </c>
      <c r="C135" s="32" t="s">
        <v>81</v>
      </c>
      <c r="D135" s="32" t="s">
        <v>1</v>
      </c>
      <c r="E135" s="32" t="s">
        <v>10</v>
      </c>
      <c r="F135" s="39">
        <v>1</v>
      </c>
      <c r="G135" s="39">
        <v>0</v>
      </c>
      <c r="H135" s="39">
        <v>1</v>
      </c>
      <c r="I135" s="39">
        <v>2017</v>
      </c>
      <c r="J135" s="39">
        <v>0</v>
      </c>
      <c r="K135" s="39" t="s">
        <v>152</v>
      </c>
      <c r="L135" s="39">
        <v>34186180694.928478</v>
      </c>
      <c r="M135" s="39">
        <v>3</v>
      </c>
      <c r="N135" s="39">
        <v>450000000</v>
      </c>
      <c r="O135" s="39">
        <v>13</v>
      </c>
      <c r="P135" s="39">
        <v>2480000000</v>
      </c>
      <c r="Q135" s="39">
        <v>16</v>
      </c>
      <c r="R135" s="19">
        <v>2930000000</v>
      </c>
      <c r="S135" s="39">
        <v>1.3163213639327587E-2</v>
      </c>
      <c r="T135" s="39">
        <v>7.2543932945627596E-2</v>
      </c>
      <c r="U135" s="39">
        <v>8.5707146584955179E-2</v>
      </c>
      <c r="V135" s="39">
        <v>3.3516307545638038E-4</v>
      </c>
      <c r="W135" s="39">
        <v>3.1189476067107679E-3</v>
      </c>
      <c r="X135" s="39">
        <v>1.3673506531082728E-3</v>
      </c>
      <c r="Y135" s="39">
        <v>172352941.17647058</v>
      </c>
      <c r="Z135" s="39">
        <v>5.0415968579385394E-3</v>
      </c>
      <c r="AA135" s="39">
        <v>1</v>
      </c>
      <c r="AB135" s="39">
        <v>2</v>
      </c>
      <c r="AC135" s="39">
        <v>202300000</v>
      </c>
      <c r="AD135" s="39">
        <v>3</v>
      </c>
      <c r="AE135" s="39">
        <v>362000000</v>
      </c>
      <c r="AF135" s="39">
        <v>0</v>
      </c>
      <c r="AG135" s="39">
        <v>0</v>
      </c>
      <c r="AH135" s="39">
        <v>5</v>
      </c>
      <c r="AI135" s="39">
        <v>564300000</v>
      </c>
      <c r="AJ135" s="39">
        <v>1.6506669903716794E-2</v>
      </c>
      <c r="AK135" s="39">
        <v>1.4156967985382924E-2</v>
      </c>
      <c r="AL135" s="19">
        <v>1939889</v>
      </c>
      <c r="AM135" s="19">
        <v>18116</v>
      </c>
      <c r="AN135" s="39">
        <v>-1921773</v>
      </c>
      <c r="AO135" s="39">
        <v>1958005</v>
      </c>
      <c r="AP135" s="39">
        <v>12325259000</v>
      </c>
      <c r="AQ135" s="39">
        <v>959629000</v>
      </c>
      <c r="AR135" s="39">
        <v>-11365630000</v>
      </c>
      <c r="AS135" s="39">
        <v>13284888000</v>
      </c>
      <c r="AT135" s="39">
        <v>1.5739133757757139E-4</v>
      </c>
      <c r="AU135" s="39">
        <v>1.8878128943581321E-5</v>
      </c>
      <c r="AV135" s="39">
        <v>4.9329254977895426E-3</v>
      </c>
      <c r="AW135" s="39">
        <v>4.6382410484779873E-4</v>
      </c>
      <c r="AX135" s="39">
        <v>1.4738588688139486E-4</v>
      </c>
      <c r="AY135" s="39">
        <v>5.7274751381936916E-5</v>
      </c>
      <c r="AZ135" s="39">
        <v>157</v>
      </c>
      <c r="BA135" s="39">
        <v>4542336114.3011894</v>
      </c>
      <c r="BB135" s="39">
        <v>142</v>
      </c>
      <c r="BC135" s="39">
        <v>2330204591.3633966</v>
      </c>
      <c r="BD135" s="39">
        <v>12</v>
      </c>
      <c r="BE135" s="39">
        <v>1759332002.6515505</v>
      </c>
      <c r="BF135" s="39">
        <v>3</v>
      </c>
      <c r="BG135" s="39">
        <v>452799520.28624201</v>
      </c>
      <c r="BH135" s="39">
        <v>0.13287053487595488</v>
      </c>
      <c r="BI135" s="39">
        <v>6.8162179687685398E-2</v>
      </c>
      <c r="BJ135" s="39">
        <v>5.1463251140907572E-2</v>
      </c>
      <c r="BK135" s="39">
        <v>1.3245104047361888E-2</v>
      </c>
      <c r="BL135" s="40">
        <v>267196242.01771703</v>
      </c>
      <c r="BM135" s="40">
        <v>7.8159138162326395E-3</v>
      </c>
    </row>
    <row r="136" spans="1:65" x14ac:dyDescent="0.35">
      <c r="A136" s="39">
        <v>135</v>
      </c>
      <c r="B136" s="32" t="s">
        <v>368</v>
      </c>
      <c r="C136" s="32" t="s">
        <v>176</v>
      </c>
      <c r="D136" s="32" t="s">
        <v>4</v>
      </c>
      <c r="E136" s="32" t="s">
        <v>13</v>
      </c>
      <c r="F136" s="39">
        <v>0</v>
      </c>
      <c r="G136" s="39">
        <v>0</v>
      </c>
      <c r="H136" s="39">
        <v>0</v>
      </c>
      <c r="I136" s="39" t="s">
        <v>152</v>
      </c>
      <c r="J136" s="39">
        <v>0</v>
      </c>
      <c r="K136" s="39" t="s">
        <v>152</v>
      </c>
      <c r="L136" s="39">
        <v>910194347568.62598</v>
      </c>
      <c r="M136" s="39">
        <v>23</v>
      </c>
      <c r="N136" s="39">
        <v>20330000000</v>
      </c>
      <c r="O136" s="39">
        <v>0</v>
      </c>
      <c r="P136" s="39">
        <v>0</v>
      </c>
      <c r="Q136" s="39">
        <v>23</v>
      </c>
      <c r="R136" s="19">
        <v>20330000000</v>
      </c>
      <c r="S136" s="39">
        <v>2.2335889092595335E-2</v>
      </c>
      <c r="T136" s="39">
        <v>0</v>
      </c>
      <c r="U136" s="39">
        <v>2.2335889092595335E-2</v>
      </c>
      <c r="V136" s="39">
        <v>1.5141922942284919E-2</v>
      </c>
      <c r="W136" s="39">
        <v>0</v>
      </c>
      <c r="X136" s="39">
        <v>9.4874535077444314E-3</v>
      </c>
      <c r="Y136" s="39">
        <v>1195882352.9411764</v>
      </c>
      <c r="Z136" s="39">
        <v>1.313875828976196E-3</v>
      </c>
      <c r="AA136" s="39">
        <v>2</v>
      </c>
      <c r="AB136" s="39">
        <v>0</v>
      </c>
      <c r="AC136" s="39">
        <v>0</v>
      </c>
      <c r="AD136" s="39">
        <v>0</v>
      </c>
      <c r="AE136" s="39">
        <v>0</v>
      </c>
      <c r="AF136" s="39">
        <v>0</v>
      </c>
      <c r="AG136" s="39">
        <v>0</v>
      </c>
      <c r="AH136" s="39">
        <v>0</v>
      </c>
      <c r="AI136" s="39">
        <v>0</v>
      </c>
      <c r="AJ136" s="39">
        <v>0</v>
      </c>
      <c r="AK136" s="39">
        <v>0</v>
      </c>
      <c r="AL136" s="19">
        <v>48168518000</v>
      </c>
      <c r="AM136" s="19">
        <v>14317292000</v>
      </c>
      <c r="AN136" s="39">
        <v>-33851226000</v>
      </c>
      <c r="AO136" s="39">
        <v>62485810000</v>
      </c>
      <c r="AP136" s="39">
        <v>514857688000</v>
      </c>
      <c r="AQ136" s="39">
        <v>576784455000</v>
      </c>
      <c r="AR136" s="39">
        <v>61926767000</v>
      </c>
      <c r="AS136" s="39">
        <v>1091642143000</v>
      </c>
      <c r="AT136" s="39">
        <v>9.3556955878650497E-2</v>
      </c>
      <c r="AU136" s="39">
        <v>2.4822603792260662E-2</v>
      </c>
      <c r="AV136" s="39">
        <v>0.20606095311004605</v>
      </c>
      <c r="AW136" s="39">
        <v>0.27878120974928899</v>
      </c>
      <c r="AX136" s="39">
        <v>5.7240195791891484E-2</v>
      </c>
      <c r="AY136" s="39">
        <v>6.8651063552434069E-2</v>
      </c>
      <c r="AZ136" s="39" t="s">
        <v>152</v>
      </c>
      <c r="BA136" s="39" t="s">
        <v>152</v>
      </c>
      <c r="BB136" s="39" t="s">
        <v>152</v>
      </c>
      <c r="BC136" s="39" t="s">
        <v>152</v>
      </c>
      <c r="BD136" s="39" t="s">
        <v>152</v>
      </c>
      <c r="BE136" s="39" t="s">
        <v>152</v>
      </c>
      <c r="BF136" s="39" t="s">
        <v>152</v>
      </c>
      <c r="BG136" s="39" t="s">
        <v>152</v>
      </c>
      <c r="BH136" s="39">
        <v>0</v>
      </c>
      <c r="BI136" s="39">
        <v>0</v>
      </c>
      <c r="BJ136" s="39">
        <v>0</v>
      </c>
      <c r="BK136" s="39">
        <v>0</v>
      </c>
      <c r="BL136" s="40">
        <v>0</v>
      </c>
      <c r="BM136" s="40">
        <v>0</v>
      </c>
    </row>
    <row r="137" spans="1:65" x14ac:dyDescent="0.35">
      <c r="A137" s="39">
        <v>136</v>
      </c>
      <c r="B137" s="32" t="s">
        <v>458</v>
      </c>
      <c r="C137" s="32" t="s">
        <v>475</v>
      </c>
      <c r="D137" s="32" t="s">
        <v>23</v>
      </c>
      <c r="E137" s="32" t="s">
        <v>13</v>
      </c>
      <c r="F137" s="39">
        <v>0</v>
      </c>
      <c r="G137" s="39">
        <v>0</v>
      </c>
      <c r="H137" s="39">
        <v>0</v>
      </c>
      <c r="I137" s="39" t="s">
        <v>152</v>
      </c>
      <c r="J137" s="39">
        <v>0</v>
      </c>
      <c r="K137" s="39" t="s">
        <v>152</v>
      </c>
      <c r="L137" s="39">
        <v>2682347064.3641982</v>
      </c>
      <c r="M137" s="39">
        <v>0</v>
      </c>
      <c r="N137" s="39">
        <v>0</v>
      </c>
      <c r="O137" s="39">
        <v>0</v>
      </c>
      <c r="P137" s="39">
        <v>0</v>
      </c>
      <c r="Q137" s="39">
        <v>0</v>
      </c>
      <c r="R137" s="19">
        <v>0</v>
      </c>
      <c r="S137" s="39">
        <v>0</v>
      </c>
      <c r="T137" s="39">
        <v>0</v>
      </c>
      <c r="U137" s="39">
        <v>0</v>
      </c>
      <c r="V137" s="39">
        <v>0</v>
      </c>
      <c r="W137" s="39">
        <v>0</v>
      </c>
      <c r="X137" s="39">
        <v>0</v>
      </c>
      <c r="Y137" s="39">
        <v>0</v>
      </c>
      <c r="Z137" s="39">
        <v>0</v>
      </c>
      <c r="AA137" s="39">
        <v>0</v>
      </c>
      <c r="AB137" s="39" t="s">
        <v>152</v>
      </c>
      <c r="AC137" s="39" t="s">
        <v>152</v>
      </c>
      <c r="AD137" s="39" t="s">
        <v>152</v>
      </c>
      <c r="AE137" s="39" t="s">
        <v>152</v>
      </c>
      <c r="AF137" s="39" t="s">
        <v>152</v>
      </c>
      <c r="AG137" s="39" t="s">
        <v>152</v>
      </c>
      <c r="AH137" s="39">
        <v>0</v>
      </c>
      <c r="AI137" s="39" t="s">
        <v>152</v>
      </c>
      <c r="AJ137" s="39" t="s">
        <v>152</v>
      </c>
      <c r="AK137" s="39" t="s">
        <v>152</v>
      </c>
      <c r="AL137" s="19">
        <v>155403000</v>
      </c>
      <c r="AM137" s="19">
        <v>1040695000</v>
      </c>
      <c r="AN137" s="39">
        <v>885292000</v>
      </c>
      <c r="AO137" s="39">
        <v>1196098000</v>
      </c>
      <c r="AP137" s="39">
        <v>2551690000</v>
      </c>
      <c r="AQ137" s="39">
        <v>1811254000</v>
      </c>
      <c r="AR137" s="39">
        <v>-740436000</v>
      </c>
      <c r="AS137" s="39">
        <v>4362944000</v>
      </c>
      <c r="AT137" s="39">
        <v>6.0901990445547852E-2</v>
      </c>
      <c r="AU137" s="39">
        <v>0.5745715399386282</v>
      </c>
      <c r="AV137" s="39">
        <v>1.021260215582861E-3</v>
      </c>
      <c r="AW137" s="39">
        <v>8.754458912788118E-4</v>
      </c>
      <c r="AX137" s="39">
        <v>0.27414929002068328</v>
      </c>
      <c r="AY137" s="39">
        <v>0.44591470503221903</v>
      </c>
      <c r="AZ137" s="39">
        <v>0</v>
      </c>
      <c r="BA137" s="39" t="s">
        <v>152</v>
      </c>
      <c r="BB137" s="39" t="s">
        <v>152</v>
      </c>
      <c r="BC137" s="39" t="s">
        <v>152</v>
      </c>
      <c r="BD137" s="39" t="s">
        <v>152</v>
      </c>
      <c r="BE137" s="39" t="s">
        <v>152</v>
      </c>
      <c r="BF137" s="39" t="s">
        <v>152</v>
      </c>
      <c r="BG137" s="39" t="s">
        <v>152</v>
      </c>
      <c r="BH137" s="39">
        <v>0</v>
      </c>
      <c r="BI137" s="39">
        <v>0</v>
      </c>
      <c r="BJ137" s="39">
        <v>0</v>
      </c>
      <c r="BK137" s="39">
        <v>0</v>
      </c>
      <c r="BL137" s="40">
        <v>0</v>
      </c>
      <c r="BM137" s="40">
        <v>0</v>
      </c>
    </row>
    <row r="138" spans="1:65" x14ac:dyDescent="0.35">
      <c r="A138" s="39">
        <v>137</v>
      </c>
      <c r="B138" s="32" t="s">
        <v>369</v>
      </c>
      <c r="C138" s="32" t="s">
        <v>82</v>
      </c>
      <c r="D138" s="32" t="s">
        <v>23</v>
      </c>
      <c r="E138" s="32" t="s">
        <v>13</v>
      </c>
      <c r="F138" s="39">
        <v>0</v>
      </c>
      <c r="G138" s="39">
        <v>1</v>
      </c>
      <c r="H138" s="39">
        <v>1</v>
      </c>
      <c r="I138" s="39">
        <v>2017</v>
      </c>
      <c r="J138" s="39">
        <v>0</v>
      </c>
      <c r="K138" s="39" t="s">
        <v>152</v>
      </c>
      <c r="L138" s="39">
        <v>212891048340.60776</v>
      </c>
      <c r="M138" s="39">
        <v>5</v>
      </c>
      <c r="N138" s="39">
        <v>1350000000</v>
      </c>
      <c r="O138" s="39">
        <v>10</v>
      </c>
      <c r="P138" s="39">
        <v>2740000000</v>
      </c>
      <c r="Q138" s="39">
        <v>15</v>
      </c>
      <c r="R138" s="19">
        <v>4090000000</v>
      </c>
      <c r="S138" s="39">
        <v>6.3412717938243872E-3</v>
      </c>
      <c r="T138" s="39">
        <v>1.2870433122280608E-2</v>
      </c>
      <c r="U138" s="39">
        <v>1.9211704916104994E-2</v>
      </c>
      <c r="V138" s="39">
        <v>1.0054892263691411E-3</v>
      </c>
      <c r="W138" s="39">
        <v>3.4459340493498002E-3</v>
      </c>
      <c r="X138" s="39">
        <v>1.9086908434173498E-3</v>
      </c>
      <c r="Y138" s="39">
        <v>240588235.29411766</v>
      </c>
      <c r="Z138" s="39">
        <v>1.1301002891826468E-3</v>
      </c>
      <c r="AA138" s="39">
        <v>1</v>
      </c>
      <c r="AB138" s="39">
        <v>0</v>
      </c>
      <c r="AC138" s="39">
        <v>0</v>
      </c>
      <c r="AD138" s="39">
        <v>0</v>
      </c>
      <c r="AE138" s="39">
        <v>0</v>
      </c>
      <c r="AF138" s="39">
        <v>0</v>
      </c>
      <c r="AG138" s="39">
        <v>0</v>
      </c>
      <c r="AH138" s="39">
        <v>0</v>
      </c>
      <c r="AI138" s="39">
        <v>0</v>
      </c>
      <c r="AJ138" s="39">
        <v>0</v>
      </c>
      <c r="AK138" s="39">
        <v>0</v>
      </c>
      <c r="AL138" s="19">
        <v>8556490000</v>
      </c>
      <c r="AM138" s="19">
        <v>11014410000</v>
      </c>
      <c r="AN138" s="39">
        <v>2457920000</v>
      </c>
      <c r="AO138" s="39">
        <v>19570900000</v>
      </c>
      <c r="AP138" s="39">
        <v>42320991000</v>
      </c>
      <c r="AQ138" s="39">
        <v>38183311000</v>
      </c>
      <c r="AR138" s="39">
        <v>-4137680000</v>
      </c>
      <c r="AS138" s="39">
        <v>80504302000</v>
      </c>
      <c r="AT138" s="39">
        <v>0.20218075706213967</v>
      </c>
      <c r="AU138" s="39">
        <v>0.28846136470459566</v>
      </c>
      <c r="AV138" s="39">
        <v>1.6938085893012208E-2</v>
      </c>
      <c r="AW138" s="39">
        <v>1.8455403124228331E-2</v>
      </c>
      <c r="AX138" s="39">
        <v>0.24310377847881967</v>
      </c>
      <c r="AY138" s="39">
        <v>9.192918233315385E-2</v>
      </c>
      <c r="AZ138" s="39" t="s">
        <v>152</v>
      </c>
      <c r="BA138" s="39" t="s">
        <v>152</v>
      </c>
      <c r="BB138" s="39" t="s">
        <v>152</v>
      </c>
      <c r="BC138" s="39" t="s">
        <v>152</v>
      </c>
      <c r="BD138" s="39" t="s">
        <v>152</v>
      </c>
      <c r="BE138" s="39" t="s">
        <v>152</v>
      </c>
      <c r="BF138" s="39" t="s">
        <v>152</v>
      </c>
      <c r="BG138" s="39" t="s">
        <v>152</v>
      </c>
      <c r="BH138" s="39">
        <v>0</v>
      </c>
      <c r="BI138" s="39">
        <v>0</v>
      </c>
      <c r="BJ138" s="39">
        <v>0</v>
      </c>
      <c r="BK138" s="39">
        <v>0</v>
      </c>
      <c r="BL138" s="40">
        <v>0</v>
      </c>
      <c r="BM138" s="40">
        <v>0</v>
      </c>
    </row>
    <row r="139" spans="1:65" x14ac:dyDescent="0.35">
      <c r="A139" s="39">
        <v>138</v>
      </c>
      <c r="B139" s="32" t="s">
        <v>370</v>
      </c>
      <c r="C139" s="32" t="s">
        <v>161</v>
      </c>
      <c r="D139" s="32" t="s">
        <v>12</v>
      </c>
      <c r="E139" s="32" t="s">
        <v>10</v>
      </c>
      <c r="F139" s="39">
        <v>0</v>
      </c>
      <c r="G139" s="39">
        <v>0</v>
      </c>
      <c r="H139" s="39">
        <v>0</v>
      </c>
      <c r="I139" s="39" t="s">
        <v>152</v>
      </c>
      <c r="J139" s="39">
        <v>2</v>
      </c>
      <c r="K139" s="39" t="s">
        <v>152</v>
      </c>
      <c r="L139" s="39">
        <v>12611218627.063225</v>
      </c>
      <c r="M139" s="39">
        <v>2</v>
      </c>
      <c r="N139" s="39">
        <v>530000000</v>
      </c>
      <c r="O139" s="39">
        <v>0</v>
      </c>
      <c r="P139" s="39">
        <v>0</v>
      </c>
      <c r="Q139" s="39">
        <v>2</v>
      </c>
      <c r="R139" s="19">
        <v>530000000</v>
      </c>
      <c r="S139" s="39">
        <v>4.2026073425024839E-2</v>
      </c>
      <c r="T139" s="39">
        <v>0</v>
      </c>
      <c r="U139" s="39">
        <v>4.2026073425024839E-2</v>
      </c>
      <c r="V139" s="39">
        <v>3.9474762220418133E-4</v>
      </c>
      <c r="W139" s="39">
        <v>0</v>
      </c>
      <c r="X139" s="39">
        <v>2.47336466261906E-4</v>
      </c>
      <c r="Y139" s="39">
        <v>31176470.588235293</v>
      </c>
      <c r="Z139" s="39">
        <v>2.4721219661779314E-3</v>
      </c>
      <c r="AA139" s="39">
        <v>0</v>
      </c>
      <c r="AB139" s="39" t="s">
        <v>152</v>
      </c>
      <c r="AC139" s="39" t="s">
        <v>152</v>
      </c>
      <c r="AD139" s="39" t="s">
        <v>152</v>
      </c>
      <c r="AE139" s="39" t="s">
        <v>152</v>
      </c>
      <c r="AF139" s="39" t="s">
        <v>152</v>
      </c>
      <c r="AG139" s="39" t="s">
        <v>152</v>
      </c>
      <c r="AH139" s="39">
        <v>0</v>
      </c>
      <c r="AI139" s="39" t="s">
        <v>152</v>
      </c>
      <c r="AJ139" s="39" t="s">
        <v>152</v>
      </c>
      <c r="AK139" s="39" t="s">
        <v>152</v>
      </c>
      <c r="AL139" s="19">
        <v>893851000</v>
      </c>
      <c r="AM139" s="19">
        <v>28553000</v>
      </c>
      <c r="AN139" s="39">
        <v>-865298000</v>
      </c>
      <c r="AO139" s="39">
        <v>922404000</v>
      </c>
      <c r="AP139" s="39">
        <v>6985509000</v>
      </c>
      <c r="AQ139" s="39">
        <v>5272553000</v>
      </c>
      <c r="AR139" s="39">
        <v>-1712956000</v>
      </c>
      <c r="AS139" s="39">
        <v>12258062000</v>
      </c>
      <c r="AT139" s="39">
        <v>0.12795789111430533</v>
      </c>
      <c r="AU139" s="39">
        <v>5.4154031263412622E-3</v>
      </c>
      <c r="AV139" s="39">
        <v>2.7958029491419478E-3</v>
      </c>
      <c r="AW139" s="39">
        <v>2.5484194157195912E-3</v>
      </c>
      <c r="AX139" s="39">
        <v>7.524876281421973E-2</v>
      </c>
      <c r="AY139" s="39">
        <v>7.3141543833087949E-2</v>
      </c>
      <c r="AZ139" s="39">
        <v>1</v>
      </c>
      <c r="BA139" s="39">
        <v>4858309.3510989398</v>
      </c>
      <c r="BB139" s="39">
        <v>0</v>
      </c>
      <c r="BC139" s="39">
        <v>0</v>
      </c>
      <c r="BD139" s="39">
        <v>0</v>
      </c>
      <c r="BE139" s="39">
        <v>0</v>
      </c>
      <c r="BF139" s="39">
        <v>1</v>
      </c>
      <c r="BG139" s="39">
        <v>4858309.3510989398</v>
      </c>
      <c r="BH139" s="39">
        <v>3.8523710473729964E-4</v>
      </c>
      <c r="BI139" s="39">
        <v>0</v>
      </c>
      <c r="BJ139" s="39">
        <v>0</v>
      </c>
      <c r="BK139" s="39">
        <v>3.8523710473729964E-4</v>
      </c>
      <c r="BL139" s="40">
        <v>285782.90300582</v>
      </c>
      <c r="BM139" s="40">
        <v>2.2661006161017628E-5</v>
      </c>
    </row>
    <row r="140" spans="1:65" x14ac:dyDescent="0.35">
      <c r="A140" s="39">
        <v>139</v>
      </c>
      <c r="B140" s="32" t="s">
        <v>371</v>
      </c>
      <c r="C140" s="32" t="s">
        <v>137</v>
      </c>
      <c r="D140" s="32" t="s">
        <v>9</v>
      </c>
      <c r="E140" s="32" t="s">
        <v>2</v>
      </c>
      <c r="F140" s="39">
        <v>0</v>
      </c>
      <c r="G140" s="39">
        <v>0</v>
      </c>
      <c r="H140" s="39">
        <v>1</v>
      </c>
      <c r="I140" s="39" t="s">
        <v>152</v>
      </c>
      <c r="J140" s="39">
        <v>0</v>
      </c>
      <c r="K140" s="39" t="s">
        <v>152</v>
      </c>
      <c r="L140" s="39">
        <v>12911689659.350994</v>
      </c>
      <c r="M140" s="39">
        <v>5</v>
      </c>
      <c r="N140" s="39">
        <v>5740000000</v>
      </c>
      <c r="O140" s="39">
        <v>4</v>
      </c>
      <c r="P140" s="39">
        <v>1730000000</v>
      </c>
      <c r="Q140" s="39">
        <v>9</v>
      </c>
      <c r="R140" s="19">
        <v>7470000000</v>
      </c>
      <c r="S140" s="39">
        <v>0.44455839254492435</v>
      </c>
      <c r="T140" s="39">
        <v>0.13398711134193714</v>
      </c>
      <c r="U140" s="39">
        <v>0.57854550388686155</v>
      </c>
      <c r="V140" s="39">
        <v>4.2751912291547189E-3</v>
      </c>
      <c r="W140" s="39">
        <v>2.1757174837135598E-3</v>
      </c>
      <c r="X140" s="39">
        <v>3.4860441565593165E-3</v>
      </c>
      <c r="Y140" s="39">
        <v>439411764.70588237</v>
      </c>
      <c r="Z140" s="39">
        <v>3.4032088463933033E-2</v>
      </c>
      <c r="AA140" s="39">
        <v>0</v>
      </c>
      <c r="AB140" s="39" t="s">
        <v>152</v>
      </c>
      <c r="AC140" s="39" t="s">
        <v>152</v>
      </c>
      <c r="AD140" s="39" t="s">
        <v>152</v>
      </c>
      <c r="AE140" s="39" t="s">
        <v>152</v>
      </c>
      <c r="AF140" s="39" t="s">
        <v>152</v>
      </c>
      <c r="AG140" s="39" t="s">
        <v>152</v>
      </c>
      <c r="AH140" s="39">
        <v>0</v>
      </c>
      <c r="AI140" s="39" t="s">
        <v>152</v>
      </c>
      <c r="AJ140" s="39" t="s">
        <v>152</v>
      </c>
      <c r="AK140" s="39" t="s">
        <v>152</v>
      </c>
      <c r="AL140" s="19">
        <v>565338000</v>
      </c>
      <c r="AM140" s="19">
        <v>280000</v>
      </c>
      <c r="AN140" s="39">
        <v>-565058000</v>
      </c>
      <c r="AO140" s="39">
        <v>565618000</v>
      </c>
      <c r="AP140" s="39">
        <v>2772522000</v>
      </c>
      <c r="AQ140" s="39">
        <v>854318000</v>
      </c>
      <c r="AR140" s="39">
        <v>-1918204000</v>
      </c>
      <c r="AS140" s="39">
        <v>3626840000</v>
      </c>
      <c r="AT140" s="39">
        <v>0.2039074892823213</v>
      </c>
      <c r="AU140" s="39">
        <v>3.2774681090647745E-4</v>
      </c>
      <c r="AV140" s="39">
        <v>1.10964357560214E-3</v>
      </c>
      <c r="AW140" s="39">
        <v>4.1292341269945132E-4</v>
      </c>
      <c r="AX140" s="39">
        <v>0.15595339193347377</v>
      </c>
      <c r="AY140" s="39">
        <v>4.3806660082661153E-2</v>
      </c>
      <c r="AZ140" s="39">
        <v>115</v>
      </c>
      <c r="BA140" s="39">
        <v>3214830315.2802434</v>
      </c>
      <c r="BB140" s="39">
        <v>107</v>
      </c>
      <c r="BC140" s="39">
        <v>1892117308.0012741</v>
      </c>
      <c r="BD140" s="39">
        <v>4</v>
      </c>
      <c r="BE140" s="39">
        <v>1309496212.231102</v>
      </c>
      <c r="BF140" s="39">
        <v>4</v>
      </c>
      <c r="BG140" s="39">
        <v>13216795.047867401</v>
      </c>
      <c r="BH140" s="39">
        <v>0.24898602739820164</v>
      </c>
      <c r="BI140" s="39">
        <v>0.146542966716285</v>
      </c>
      <c r="BJ140" s="39">
        <v>0.10141943051448185</v>
      </c>
      <c r="BK140" s="39">
        <v>1.023630167434782E-3</v>
      </c>
      <c r="BL140" s="40">
        <v>189107665.60472021</v>
      </c>
      <c r="BM140" s="40">
        <v>1.4646236905776567E-2</v>
      </c>
    </row>
    <row r="141" spans="1:65" x14ac:dyDescent="0.35">
      <c r="A141" s="39">
        <v>140</v>
      </c>
      <c r="B141" s="32" t="s">
        <v>372</v>
      </c>
      <c r="C141" s="32" t="s">
        <v>83</v>
      </c>
      <c r="D141" s="32" t="s">
        <v>9</v>
      </c>
      <c r="E141" s="32" t="s">
        <v>10</v>
      </c>
      <c r="F141" s="39">
        <v>2</v>
      </c>
      <c r="G141" s="39">
        <v>0</v>
      </c>
      <c r="H141" s="39">
        <v>1</v>
      </c>
      <c r="I141" s="39">
        <v>2018</v>
      </c>
      <c r="J141" s="39">
        <v>0</v>
      </c>
      <c r="K141" s="39" t="s">
        <v>152</v>
      </c>
      <c r="L141" s="39">
        <v>448120428858.76923</v>
      </c>
      <c r="M141" s="39">
        <v>19</v>
      </c>
      <c r="N141" s="39">
        <v>13670000000</v>
      </c>
      <c r="O141" s="39">
        <v>33</v>
      </c>
      <c r="P141" s="39">
        <v>26480000000</v>
      </c>
      <c r="Q141" s="39">
        <v>52</v>
      </c>
      <c r="R141" s="19">
        <v>40150000000</v>
      </c>
      <c r="S141" s="39">
        <v>3.0505192621575999E-2</v>
      </c>
      <c r="T141" s="39">
        <v>5.9091258275006033E-2</v>
      </c>
      <c r="U141" s="39">
        <v>8.9596450896582039E-2</v>
      </c>
      <c r="V141" s="39">
        <v>1.0181509425530489E-2</v>
      </c>
      <c r="W141" s="39">
        <v>3.3302311542621428E-2</v>
      </c>
      <c r="X141" s="39">
        <v>1.873690400078401E-2</v>
      </c>
      <c r="Y141" s="39">
        <v>2361764705.8823528</v>
      </c>
      <c r="Z141" s="39">
        <v>5.2703794645048256E-3</v>
      </c>
      <c r="AA141" s="39">
        <v>0</v>
      </c>
      <c r="AB141" s="39" t="s">
        <v>152</v>
      </c>
      <c r="AC141" s="39" t="s">
        <v>152</v>
      </c>
      <c r="AD141" s="39" t="s">
        <v>152</v>
      </c>
      <c r="AE141" s="39" t="s">
        <v>152</v>
      </c>
      <c r="AF141" s="39" t="s">
        <v>152</v>
      </c>
      <c r="AG141" s="39" t="s">
        <v>152</v>
      </c>
      <c r="AH141" s="39">
        <v>0</v>
      </c>
      <c r="AI141" s="39" t="s">
        <v>152</v>
      </c>
      <c r="AJ141" s="39" t="s">
        <v>152</v>
      </c>
      <c r="AK141" s="39" t="s">
        <v>152</v>
      </c>
      <c r="AL141" s="19">
        <v>12064658000</v>
      </c>
      <c r="AM141" s="19">
        <v>1665243000</v>
      </c>
      <c r="AN141" s="39">
        <v>-10399415000</v>
      </c>
      <c r="AO141" s="39">
        <v>13729901000</v>
      </c>
      <c r="AP141" s="39">
        <v>47387304000</v>
      </c>
      <c r="AQ141" s="39">
        <v>53624701000</v>
      </c>
      <c r="AR141" s="39">
        <v>6237397000</v>
      </c>
      <c r="AS141" s="39">
        <v>101012005000</v>
      </c>
      <c r="AT141" s="39">
        <v>0.25459684307003411</v>
      </c>
      <c r="AU141" s="39">
        <v>3.1053655665138347E-2</v>
      </c>
      <c r="AV141" s="39">
        <v>1.8965771037598833E-2</v>
      </c>
      <c r="AW141" s="39">
        <v>2.5918796679816742E-2</v>
      </c>
      <c r="AX141" s="39">
        <v>0.13592345781078199</v>
      </c>
      <c r="AY141" s="39">
        <v>3.0638864277993338E-2</v>
      </c>
      <c r="AZ141" s="39">
        <v>104</v>
      </c>
      <c r="BA141" s="39">
        <v>61819759640.81562</v>
      </c>
      <c r="BB141" s="39">
        <v>52</v>
      </c>
      <c r="BC141" s="39">
        <v>5425238555.5450525</v>
      </c>
      <c r="BD141" s="39">
        <v>39</v>
      </c>
      <c r="BE141" s="39">
        <v>43009874223.82708</v>
      </c>
      <c r="BF141" s="39">
        <v>13</v>
      </c>
      <c r="BG141" s="39">
        <v>13384646861.443499</v>
      </c>
      <c r="BH141" s="39">
        <v>0.13795345103603587</v>
      </c>
      <c r="BI141" s="39">
        <v>1.2106653047176487E-2</v>
      </c>
      <c r="BJ141" s="39">
        <v>9.5978383162223971E-2</v>
      </c>
      <c r="BK141" s="39">
        <v>2.986841482663545E-2</v>
      </c>
      <c r="BL141" s="40">
        <v>3636456449.4597425</v>
      </c>
      <c r="BM141" s="40">
        <v>8.1149088844726987E-3</v>
      </c>
    </row>
    <row r="142" spans="1:65" x14ac:dyDescent="0.35">
      <c r="A142" s="39">
        <v>141</v>
      </c>
      <c r="B142" s="32" t="s">
        <v>373</v>
      </c>
      <c r="C142" s="32" t="s">
        <v>84</v>
      </c>
      <c r="D142" s="32" t="s">
        <v>23</v>
      </c>
      <c r="E142" s="32" t="s">
        <v>5</v>
      </c>
      <c r="F142" s="39">
        <v>0</v>
      </c>
      <c r="G142" s="39">
        <v>0</v>
      </c>
      <c r="H142" s="39">
        <v>1</v>
      </c>
      <c r="I142" s="39">
        <v>2018</v>
      </c>
      <c r="J142" s="39">
        <v>0</v>
      </c>
      <c r="K142" s="39" t="s">
        <v>152</v>
      </c>
      <c r="L142" s="39" t="s">
        <v>152</v>
      </c>
      <c r="M142" s="39">
        <v>0</v>
      </c>
      <c r="N142" s="39">
        <v>0</v>
      </c>
      <c r="O142" s="39">
        <v>0</v>
      </c>
      <c r="P142" s="39">
        <v>0</v>
      </c>
      <c r="Q142" s="39">
        <v>0</v>
      </c>
      <c r="R142" s="19">
        <v>0</v>
      </c>
      <c r="S142" s="39">
        <v>0</v>
      </c>
      <c r="T142" s="39">
        <v>0</v>
      </c>
      <c r="U142" s="39">
        <v>0</v>
      </c>
      <c r="V142" s="39">
        <v>0</v>
      </c>
      <c r="W142" s="39">
        <v>0</v>
      </c>
      <c r="X142" s="39">
        <v>0</v>
      </c>
      <c r="Y142" s="39">
        <v>0</v>
      </c>
      <c r="Z142" s="39">
        <v>0</v>
      </c>
      <c r="AA142" s="39">
        <v>0</v>
      </c>
      <c r="AB142" s="39" t="s">
        <v>152</v>
      </c>
      <c r="AC142" s="39" t="s">
        <v>152</v>
      </c>
      <c r="AD142" s="39" t="s">
        <v>152</v>
      </c>
      <c r="AE142" s="39" t="s">
        <v>152</v>
      </c>
      <c r="AF142" s="39" t="s">
        <v>152</v>
      </c>
      <c r="AG142" s="39" t="s">
        <v>152</v>
      </c>
      <c r="AH142" s="39">
        <v>0</v>
      </c>
      <c r="AI142" s="39" t="s">
        <v>152</v>
      </c>
      <c r="AJ142" s="39" t="s">
        <v>152</v>
      </c>
      <c r="AK142" s="39" t="s">
        <v>152</v>
      </c>
      <c r="AL142" s="19" t="s">
        <v>152</v>
      </c>
      <c r="AM142" s="19" t="s">
        <v>152</v>
      </c>
      <c r="AN142" s="39" t="s">
        <v>152</v>
      </c>
      <c r="AO142" s="39" t="s">
        <v>152</v>
      </c>
      <c r="AP142" s="39">
        <v>0</v>
      </c>
      <c r="AQ142" s="39">
        <v>64147000</v>
      </c>
      <c r="AR142" s="39">
        <v>64147000</v>
      </c>
      <c r="AS142" s="39">
        <v>64147000</v>
      </c>
      <c r="AT142" s="39" t="s">
        <v>152</v>
      </c>
      <c r="AU142" s="39" t="s">
        <v>152</v>
      </c>
      <c r="AV142" s="39" t="s">
        <v>152</v>
      </c>
      <c r="AW142" s="39" t="s">
        <v>152</v>
      </c>
      <c r="AX142" s="39" t="s">
        <v>152</v>
      </c>
      <c r="AY142" s="39" t="s">
        <v>152</v>
      </c>
      <c r="AZ142" s="39">
        <v>23</v>
      </c>
      <c r="BA142" s="39">
        <v>23290162.04071331</v>
      </c>
      <c r="BB142" s="39">
        <v>22</v>
      </c>
      <c r="BC142" s="39">
        <v>23290162.04071331</v>
      </c>
      <c r="BD142" s="39">
        <v>0</v>
      </c>
      <c r="BE142" s="39">
        <v>0</v>
      </c>
      <c r="BF142" s="39">
        <v>1</v>
      </c>
      <c r="BG142" s="39">
        <v>0</v>
      </c>
      <c r="BH142" s="39">
        <v>0</v>
      </c>
      <c r="BI142" s="39">
        <v>0</v>
      </c>
      <c r="BJ142" s="39">
        <v>0</v>
      </c>
      <c r="BK142" s="39">
        <v>0</v>
      </c>
      <c r="BL142" s="40">
        <v>1370009.5318066652</v>
      </c>
      <c r="BM142" s="40">
        <v>0</v>
      </c>
    </row>
    <row r="143" spans="1:65" x14ac:dyDescent="0.35">
      <c r="A143" s="39">
        <v>142</v>
      </c>
      <c r="B143" s="32" t="s">
        <v>348</v>
      </c>
      <c r="C143" s="32" t="s">
        <v>448</v>
      </c>
      <c r="D143" s="32" t="s">
        <v>4</v>
      </c>
      <c r="E143" s="32" t="s">
        <v>5</v>
      </c>
      <c r="F143" s="39">
        <v>0</v>
      </c>
      <c r="G143" s="39">
        <v>0</v>
      </c>
      <c r="H143" s="39">
        <v>1</v>
      </c>
      <c r="I143" s="39">
        <v>2013</v>
      </c>
      <c r="J143" s="39">
        <v>1</v>
      </c>
      <c r="K143" s="39">
        <v>2001</v>
      </c>
      <c r="L143" s="39">
        <v>12547086168.489635</v>
      </c>
      <c r="M143" s="39">
        <v>0</v>
      </c>
      <c r="N143" s="39">
        <v>0</v>
      </c>
      <c r="O143" s="39">
        <v>3</v>
      </c>
      <c r="P143" s="39">
        <v>650000000</v>
      </c>
      <c r="Q143" s="39">
        <v>3</v>
      </c>
      <c r="R143" s="19">
        <v>650000000</v>
      </c>
      <c r="S143" s="39">
        <v>0</v>
      </c>
      <c r="T143" s="39">
        <v>5.1804856623395949E-2</v>
      </c>
      <c r="U143" s="39">
        <v>5.1804856623395949E-2</v>
      </c>
      <c r="V143" s="39">
        <v>0</v>
      </c>
      <c r="W143" s="39">
        <v>8.1746610659758025E-4</v>
      </c>
      <c r="X143" s="39">
        <v>3.0333717560422434E-4</v>
      </c>
      <c r="Y143" s="39">
        <v>38235294.117647059</v>
      </c>
      <c r="Z143" s="39">
        <v>3.0473445072585854E-3</v>
      </c>
      <c r="AA143" s="39">
        <v>0</v>
      </c>
      <c r="AB143" s="39" t="s">
        <v>152</v>
      </c>
      <c r="AC143" s="39" t="s">
        <v>152</v>
      </c>
      <c r="AD143" s="39" t="s">
        <v>152</v>
      </c>
      <c r="AE143" s="39" t="s">
        <v>152</v>
      </c>
      <c r="AF143" s="39" t="s">
        <v>152</v>
      </c>
      <c r="AG143" s="39" t="s">
        <v>152</v>
      </c>
      <c r="AH143" s="39">
        <v>0</v>
      </c>
      <c r="AI143" s="39" t="s">
        <v>152</v>
      </c>
      <c r="AJ143" s="39" t="s">
        <v>152</v>
      </c>
      <c r="AK143" s="39" t="s">
        <v>152</v>
      </c>
      <c r="AL143" s="19">
        <v>545143000</v>
      </c>
      <c r="AM143" s="19">
        <v>166041000</v>
      </c>
      <c r="AN143" s="39">
        <v>-379102000</v>
      </c>
      <c r="AO143" s="39">
        <v>711184000</v>
      </c>
      <c r="AP143" s="39">
        <v>9445513000</v>
      </c>
      <c r="AQ143" s="39">
        <v>7195141000</v>
      </c>
      <c r="AR143" s="39">
        <v>-2250372000</v>
      </c>
      <c r="AS143" s="39">
        <v>16640654000</v>
      </c>
      <c r="AT143" s="39">
        <v>5.7714493643701514E-2</v>
      </c>
      <c r="AU143" s="39">
        <v>2.3076823650849929E-2</v>
      </c>
      <c r="AV143" s="39">
        <v>3.7803677729938649E-3</v>
      </c>
      <c r="AW143" s="39">
        <v>3.4776771372881554E-3</v>
      </c>
      <c r="AX143" s="39">
        <v>4.2737743360327062E-2</v>
      </c>
      <c r="AY143" s="39">
        <v>5.6681207927466497E-2</v>
      </c>
      <c r="AZ143" s="39">
        <v>35</v>
      </c>
      <c r="BA143" s="39">
        <v>2913525344.0071635</v>
      </c>
      <c r="BB143" s="39">
        <v>27</v>
      </c>
      <c r="BC143" s="39">
        <v>56559763.830491133</v>
      </c>
      <c r="BD143" s="39">
        <v>7</v>
      </c>
      <c r="BE143" s="39">
        <v>964003282.90331233</v>
      </c>
      <c r="BF143" s="39">
        <v>1</v>
      </c>
      <c r="BG143" s="39">
        <v>1892962297.27336</v>
      </c>
      <c r="BH143" s="39">
        <v>0.23220732725372534</v>
      </c>
      <c r="BI143" s="39">
        <v>4.5078007013718913E-3</v>
      </c>
      <c r="BJ143" s="39">
        <v>7.6830849008137081E-2</v>
      </c>
      <c r="BK143" s="39">
        <v>0.15086867754421637</v>
      </c>
      <c r="BL143" s="40">
        <v>171383843.76512727</v>
      </c>
      <c r="BM143" s="40">
        <v>1.3659254544336785E-2</v>
      </c>
    </row>
    <row r="144" spans="1:65" x14ac:dyDescent="0.35">
      <c r="A144" s="39">
        <v>143</v>
      </c>
      <c r="B144" s="32" t="s">
        <v>459</v>
      </c>
      <c r="C144" s="32" t="s">
        <v>476</v>
      </c>
      <c r="D144" s="32" t="s">
        <v>23</v>
      </c>
      <c r="E144" s="32" t="s">
        <v>13</v>
      </c>
      <c r="F144" s="39">
        <v>0</v>
      </c>
      <c r="G144" s="39">
        <v>0</v>
      </c>
      <c r="H144" s="39">
        <v>0</v>
      </c>
      <c r="I144" s="39" t="s">
        <v>152</v>
      </c>
      <c r="J144" s="39">
        <v>0</v>
      </c>
      <c r="K144" s="39" t="s">
        <v>152</v>
      </c>
      <c r="L144" s="39">
        <v>1182000000</v>
      </c>
      <c r="M144" s="39">
        <v>0</v>
      </c>
      <c r="N144" s="39">
        <v>0</v>
      </c>
      <c r="O144" s="39">
        <v>0</v>
      </c>
      <c r="P144" s="39">
        <v>0</v>
      </c>
      <c r="Q144" s="39">
        <v>0</v>
      </c>
      <c r="R144" s="19">
        <v>0</v>
      </c>
      <c r="S144" s="39">
        <v>0</v>
      </c>
      <c r="T144" s="39">
        <v>0</v>
      </c>
      <c r="U144" s="39">
        <v>0</v>
      </c>
      <c r="V144" s="39">
        <v>0</v>
      </c>
      <c r="W144" s="39">
        <v>0</v>
      </c>
      <c r="X144" s="39">
        <v>0</v>
      </c>
      <c r="Y144" s="39">
        <v>0</v>
      </c>
      <c r="Z144" s="39">
        <v>0</v>
      </c>
      <c r="AA144" s="39">
        <v>0</v>
      </c>
      <c r="AB144" s="39" t="s">
        <v>152</v>
      </c>
      <c r="AC144" s="39" t="s">
        <v>152</v>
      </c>
      <c r="AD144" s="39" t="s">
        <v>152</v>
      </c>
      <c r="AE144" s="39" t="s">
        <v>152</v>
      </c>
      <c r="AF144" s="39" t="s">
        <v>152</v>
      </c>
      <c r="AG144" s="39" t="s">
        <v>152</v>
      </c>
      <c r="AH144" s="39">
        <v>0</v>
      </c>
      <c r="AI144" s="39" t="s">
        <v>152</v>
      </c>
      <c r="AJ144" s="39" t="s">
        <v>152</v>
      </c>
      <c r="AK144" s="39" t="s">
        <v>152</v>
      </c>
      <c r="AL144" s="19" t="s">
        <v>152</v>
      </c>
      <c r="AM144" s="19" t="s">
        <v>152</v>
      </c>
      <c r="AN144" s="39" t="s">
        <v>152</v>
      </c>
      <c r="AO144" s="39" t="s">
        <v>152</v>
      </c>
      <c r="AP144" s="39">
        <v>170556000</v>
      </c>
      <c r="AQ144" s="39">
        <v>4890000</v>
      </c>
      <c r="AR144" s="39">
        <v>-165666000</v>
      </c>
      <c r="AS144" s="39">
        <v>175446000</v>
      </c>
      <c r="AT144" s="39" t="s">
        <v>152</v>
      </c>
      <c r="AU144" s="39" t="s">
        <v>152</v>
      </c>
      <c r="AV144" s="39" t="s">
        <v>152</v>
      </c>
      <c r="AW144" s="39" t="s">
        <v>152</v>
      </c>
      <c r="AX144" s="39" t="s">
        <v>152</v>
      </c>
      <c r="AY144" s="39" t="s">
        <v>152</v>
      </c>
      <c r="AZ144" s="39">
        <v>0</v>
      </c>
      <c r="BA144" s="39" t="s">
        <v>152</v>
      </c>
      <c r="BB144" s="39" t="s">
        <v>152</v>
      </c>
      <c r="BC144" s="39" t="s">
        <v>152</v>
      </c>
      <c r="BD144" s="39" t="s">
        <v>152</v>
      </c>
      <c r="BE144" s="39" t="s">
        <v>152</v>
      </c>
      <c r="BF144" s="39" t="s">
        <v>152</v>
      </c>
      <c r="BG144" s="39" t="s">
        <v>152</v>
      </c>
      <c r="BH144" s="39">
        <v>0</v>
      </c>
      <c r="BI144" s="39">
        <v>0</v>
      </c>
      <c r="BJ144" s="39">
        <v>0</v>
      </c>
      <c r="BK144" s="39">
        <v>0</v>
      </c>
      <c r="BL144" s="40">
        <v>0</v>
      </c>
      <c r="BM144" s="40">
        <v>0</v>
      </c>
    </row>
    <row r="145" spans="1:65" x14ac:dyDescent="0.35">
      <c r="A145" s="39">
        <v>144</v>
      </c>
      <c r="B145" s="32" t="s">
        <v>375</v>
      </c>
      <c r="C145" s="32" t="s">
        <v>179</v>
      </c>
      <c r="D145" s="32" t="s">
        <v>4</v>
      </c>
      <c r="E145" s="32" t="s">
        <v>13</v>
      </c>
      <c r="F145" s="39">
        <v>0</v>
      </c>
      <c r="G145" s="39">
        <v>0</v>
      </c>
      <c r="H145" s="39">
        <v>0</v>
      </c>
      <c r="I145" s="39" t="s">
        <v>152</v>
      </c>
      <c r="J145" s="39">
        <v>0</v>
      </c>
      <c r="K145" s="39" t="s">
        <v>152</v>
      </c>
      <c r="L145" s="39">
        <v>405509999999.99994</v>
      </c>
      <c r="M145" s="39">
        <v>11</v>
      </c>
      <c r="N145" s="39">
        <v>7470000000</v>
      </c>
      <c r="O145" s="39">
        <v>0</v>
      </c>
      <c r="P145" s="39">
        <v>0</v>
      </c>
      <c r="Q145" s="39">
        <v>11</v>
      </c>
      <c r="R145" s="19">
        <v>7470000000</v>
      </c>
      <c r="S145" s="39">
        <v>1.8421247318191909E-2</v>
      </c>
      <c r="T145" s="39">
        <v>0</v>
      </c>
      <c r="U145" s="39">
        <v>1.8421247318191909E-2</v>
      </c>
      <c r="V145" s="39">
        <v>5.5637070525759143E-3</v>
      </c>
      <c r="W145" s="39">
        <v>0</v>
      </c>
      <c r="X145" s="39">
        <v>3.4860441565593165E-3</v>
      </c>
      <c r="Y145" s="39">
        <v>439411764.70588237</v>
      </c>
      <c r="Z145" s="39">
        <v>1.0836027834230536E-3</v>
      </c>
      <c r="AA145" s="39">
        <v>2</v>
      </c>
      <c r="AB145" s="39">
        <v>0</v>
      </c>
      <c r="AC145" s="39">
        <v>0</v>
      </c>
      <c r="AD145" s="39">
        <v>0</v>
      </c>
      <c r="AE145" s="39">
        <v>0</v>
      </c>
      <c r="AF145" s="39">
        <v>0</v>
      </c>
      <c r="AG145" s="39">
        <v>0</v>
      </c>
      <c r="AH145" s="39">
        <v>0</v>
      </c>
      <c r="AI145" s="39">
        <v>0</v>
      </c>
      <c r="AJ145" s="39">
        <v>0</v>
      </c>
      <c r="AK145" s="39">
        <v>0</v>
      </c>
      <c r="AL145" s="19">
        <v>8749234000</v>
      </c>
      <c r="AM145" s="19">
        <v>4248228000</v>
      </c>
      <c r="AN145" s="39">
        <v>-4501006000</v>
      </c>
      <c r="AO145" s="39">
        <v>12997462000</v>
      </c>
      <c r="AP145" s="39">
        <v>85927067000</v>
      </c>
      <c r="AQ145" s="39">
        <v>102793716000</v>
      </c>
      <c r="AR145" s="39">
        <v>16866649000</v>
      </c>
      <c r="AS145" s="39">
        <v>188720783000</v>
      </c>
      <c r="AT145" s="39">
        <v>0.10182162973164206</v>
      </c>
      <c r="AU145" s="39">
        <v>4.1327701393731112E-2</v>
      </c>
      <c r="AV145" s="39">
        <v>3.4390500009336147E-2</v>
      </c>
      <c r="AW145" s="39">
        <v>4.9683995906416797E-2</v>
      </c>
      <c r="AX145" s="39">
        <v>6.8871386571133508E-2</v>
      </c>
      <c r="AY145" s="39">
        <v>3.2052136815368309E-2</v>
      </c>
      <c r="AZ145" s="39" t="s">
        <v>152</v>
      </c>
      <c r="BA145" s="39" t="s">
        <v>152</v>
      </c>
      <c r="BB145" s="39" t="s">
        <v>152</v>
      </c>
      <c r="BC145" s="39" t="s">
        <v>152</v>
      </c>
      <c r="BD145" s="39" t="s">
        <v>152</v>
      </c>
      <c r="BE145" s="39" t="s">
        <v>152</v>
      </c>
      <c r="BF145" s="39" t="s">
        <v>152</v>
      </c>
      <c r="BG145" s="39" t="s">
        <v>152</v>
      </c>
      <c r="BH145" s="39">
        <v>0</v>
      </c>
      <c r="BI145" s="39">
        <v>0</v>
      </c>
      <c r="BJ145" s="39">
        <v>0</v>
      </c>
      <c r="BK145" s="39">
        <v>0</v>
      </c>
      <c r="BL145" s="40">
        <v>0</v>
      </c>
      <c r="BM145" s="40">
        <v>0</v>
      </c>
    </row>
    <row r="146" spans="1:65" x14ac:dyDescent="0.35">
      <c r="A146" s="39">
        <v>145</v>
      </c>
      <c r="B146" s="32" t="s">
        <v>376</v>
      </c>
      <c r="C146" s="32" t="s">
        <v>85</v>
      </c>
      <c r="D146" s="32" t="s">
        <v>7</v>
      </c>
      <c r="E146" s="32" t="s">
        <v>13</v>
      </c>
      <c r="F146" s="39">
        <v>0</v>
      </c>
      <c r="G146" s="39">
        <v>0</v>
      </c>
      <c r="H146" s="39">
        <v>1</v>
      </c>
      <c r="I146" s="39">
        <v>2018</v>
      </c>
      <c r="J146" s="39">
        <v>0</v>
      </c>
      <c r="K146" s="39" t="s">
        <v>152</v>
      </c>
      <c r="L146" s="39">
        <v>76331518668.577118</v>
      </c>
      <c r="M146" s="39">
        <v>3</v>
      </c>
      <c r="N146" s="39">
        <v>1030000000</v>
      </c>
      <c r="O146" s="39">
        <v>9</v>
      </c>
      <c r="P146" s="39">
        <v>5590000000</v>
      </c>
      <c r="Q146" s="39">
        <v>12</v>
      </c>
      <c r="R146" s="19">
        <v>6620000000</v>
      </c>
      <c r="S146" s="39">
        <v>1.3493770567727655E-2</v>
      </c>
      <c r="T146" s="39">
        <v>7.3233182013201545E-2</v>
      </c>
      <c r="U146" s="39">
        <v>8.6726952580929204E-2</v>
      </c>
      <c r="V146" s="39">
        <v>7.6715103937793731E-4</v>
      </c>
      <c r="W146" s="39">
        <v>7.030208516739191E-3</v>
      </c>
      <c r="X146" s="39">
        <v>3.0893724653845616E-3</v>
      </c>
      <c r="Y146" s="39">
        <v>389411764.70588237</v>
      </c>
      <c r="Z146" s="39">
        <v>5.1015854459370126E-3</v>
      </c>
      <c r="AA146" s="39">
        <v>1</v>
      </c>
      <c r="AB146" s="39">
        <v>3</v>
      </c>
      <c r="AC146" s="39">
        <v>477100000</v>
      </c>
      <c r="AD146" s="39">
        <v>1</v>
      </c>
      <c r="AE146" s="39">
        <v>46000000</v>
      </c>
      <c r="AF146" s="39">
        <v>0</v>
      </c>
      <c r="AG146" s="39">
        <v>0</v>
      </c>
      <c r="AH146" s="39">
        <v>4</v>
      </c>
      <c r="AI146" s="39">
        <v>523100000</v>
      </c>
      <c r="AJ146" s="39">
        <v>6.8530013436682883E-3</v>
      </c>
      <c r="AK146" s="39">
        <v>1.3123356287708325E-2</v>
      </c>
      <c r="AL146" s="19">
        <v>3020370000</v>
      </c>
      <c r="AM146" s="19">
        <v>19460465000</v>
      </c>
      <c r="AN146" s="39">
        <v>16440095000</v>
      </c>
      <c r="AO146" s="39">
        <v>22480835000</v>
      </c>
      <c r="AP146" s="39">
        <v>31690640000</v>
      </c>
      <c r="AQ146" s="39">
        <v>42022781000</v>
      </c>
      <c r="AR146" s="39">
        <v>10332141000</v>
      </c>
      <c r="AS146" s="39">
        <v>73713421000</v>
      </c>
      <c r="AT146" s="39">
        <v>9.5307952127189607E-2</v>
      </c>
      <c r="AU146" s="39">
        <v>0.46309322079374043</v>
      </c>
      <c r="AV146" s="39">
        <v>1.2683511648499167E-2</v>
      </c>
      <c r="AW146" s="39">
        <v>2.031116064702097E-2</v>
      </c>
      <c r="AX146" s="39">
        <v>0.30497614538877527</v>
      </c>
      <c r="AY146" s="39">
        <v>0.29451575695237064</v>
      </c>
      <c r="AZ146" s="39">
        <v>10</v>
      </c>
      <c r="BA146" s="39">
        <v>5408010964.3148966</v>
      </c>
      <c r="BB146" s="39">
        <v>0</v>
      </c>
      <c r="BC146" s="39">
        <v>0</v>
      </c>
      <c r="BD146" s="39">
        <v>10</v>
      </c>
      <c r="BE146" s="39">
        <v>5408010964.3148966</v>
      </c>
      <c r="BF146" s="39">
        <v>0</v>
      </c>
      <c r="BG146" s="39">
        <v>0</v>
      </c>
      <c r="BH146" s="39">
        <v>7.0848989495360004E-2</v>
      </c>
      <c r="BI146" s="39">
        <v>0</v>
      </c>
      <c r="BJ146" s="39">
        <v>7.0848989495360004E-2</v>
      </c>
      <c r="BK146" s="39">
        <v>0</v>
      </c>
      <c r="BL146" s="40">
        <v>318118292.01852334</v>
      </c>
      <c r="BM146" s="40">
        <v>4.1675876173741183E-3</v>
      </c>
    </row>
    <row r="147" spans="1:65" x14ac:dyDescent="0.35">
      <c r="A147" s="39">
        <v>146</v>
      </c>
      <c r="B147" s="32" t="s">
        <v>377</v>
      </c>
      <c r="C147" s="32" t="s">
        <v>86</v>
      </c>
      <c r="D147" s="32" t="s">
        <v>1</v>
      </c>
      <c r="E147" s="32" t="s">
        <v>10</v>
      </c>
      <c r="F147" s="39">
        <v>4</v>
      </c>
      <c r="G147" s="39">
        <v>1</v>
      </c>
      <c r="H147" s="39">
        <v>1</v>
      </c>
      <c r="I147" s="39">
        <v>2013</v>
      </c>
      <c r="J147" s="39">
        <v>0</v>
      </c>
      <c r="K147" s="39" t="s">
        <v>152</v>
      </c>
      <c r="L147" s="39">
        <v>278221906022.84106</v>
      </c>
      <c r="M147" s="39">
        <v>29</v>
      </c>
      <c r="N147" s="39">
        <v>12980000000</v>
      </c>
      <c r="O147" s="39">
        <v>70</v>
      </c>
      <c r="P147" s="39">
        <v>51990000000</v>
      </c>
      <c r="Q147" s="39">
        <v>99</v>
      </c>
      <c r="R147" s="19">
        <v>64970000000</v>
      </c>
      <c r="S147" s="39">
        <v>4.6653407654156417E-2</v>
      </c>
      <c r="T147" s="39">
        <v>0.18686522834665578</v>
      </c>
      <c r="U147" s="39">
        <v>0.23351863600081219</v>
      </c>
      <c r="V147" s="39">
        <v>9.6675927098307055E-3</v>
      </c>
      <c r="W147" s="39">
        <v>6.5384712126166464E-2</v>
      </c>
      <c r="X147" s="39">
        <v>3.0319717383086853E-2</v>
      </c>
      <c r="Y147" s="39">
        <v>3821764705.8823528</v>
      </c>
      <c r="Z147" s="39">
        <v>1.3736390352988952E-2</v>
      </c>
      <c r="AA147" s="39">
        <v>1</v>
      </c>
      <c r="AB147" s="39">
        <v>7</v>
      </c>
      <c r="AC147" s="39">
        <v>1511810000</v>
      </c>
      <c r="AD147" s="39">
        <v>4</v>
      </c>
      <c r="AE147" s="39">
        <v>996000000</v>
      </c>
      <c r="AF147" s="39">
        <v>0</v>
      </c>
      <c r="AG147" s="39">
        <v>0</v>
      </c>
      <c r="AH147" s="39">
        <v>11</v>
      </c>
      <c r="AI147" s="39">
        <v>2507810000</v>
      </c>
      <c r="AJ147" s="39">
        <v>9.0137043335261936E-3</v>
      </c>
      <c r="AK147" s="39">
        <v>6.2915091056925665E-2</v>
      </c>
      <c r="AL147" s="19">
        <v>12423997000</v>
      </c>
      <c r="AM147" s="19">
        <v>2042893000</v>
      </c>
      <c r="AN147" s="39">
        <v>-10381104000</v>
      </c>
      <c r="AO147" s="39">
        <v>14466890000</v>
      </c>
      <c r="AP147" s="39">
        <v>50134812000</v>
      </c>
      <c r="AQ147" s="39">
        <v>23818817000</v>
      </c>
      <c r="AR147" s="39">
        <v>-26315995000</v>
      </c>
      <c r="AS147" s="39">
        <v>73953629000</v>
      </c>
      <c r="AT147" s="39">
        <v>0.24781177996638343</v>
      </c>
      <c r="AU147" s="39">
        <v>8.5768029537319171E-2</v>
      </c>
      <c r="AV147" s="39">
        <v>2.0065403286185314E-2</v>
      </c>
      <c r="AW147" s="39">
        <v>1.1512513141597985E-2</v>
      </c>
      <c r="AX147" s="39">
        <v>0.19562109656579529</v>
      </c>
      <c r="AY147" s="39">
        <v>5.1997666922791903E-2</v>
      </c>
      <c r="AZ147" s="39">
        <v>280</v>
      </c>
      <c r="BA147" s="39">
        <v>46113985133.683899</v>
      </c>
      <c r="BB147" s="39">
        <v>169</v>
      </c>
      <c r="BC147" s="39">
        <v>6115792498.4730616</v>
      </c>
      <c r="BD147" s="39">
        <v>85</v>
      </c>
      <c r="BE147" s="39">
        <v>36075387988.240799</v>
      </c>
      <c r="BF147" s="39">
        <v>26</v>
      </c>
      <c r="BG147" s="39">
        <v>3922804646.9700336</v>
      </c>
      <c r="BH147" s="39">
        <v>0.16574534260396484</v>
      </c>
      <c r="BI147" s="39">
        <v>2.1981707285015063E-2</v>
      </c>
      <c r="BJ147" s="39">
        <v>0.12966408182567454</v>
      </c>
      <c r="BK147" s="39">
        <v>1.4099553493275201E-2</v>
      </c>
      <c r="BL147" s="40">
        <v>2712587360.8049355</v>
      </c>
      <c r="BM147" s="40">
        <v>9.7497260355273434E-3</v>
      </c>
    </row>
    <row r="148" spans="1:65" x14ac:dyDescent="0.35">
      <c r="A148" s="39">
        <v>147</v>
      </c>
      <c r="B148" s="32" t="s">
        <v>378</v>
      </c>
      <c r="C148" s="32" t="s">
        <v>203</v>
      </c>
      <c r="D148" s="32" t="s">
        <v>23</v>
      </c>
      <c r="E148" s="32" t="s">
        <v>13</v>
      </c>
      <c r="F148" s="39">
        <v>0</v>
      </c>
      <c r="G148" s="39">
        <v>0</v>
      </c>
      <c r="H148" s="39">
        <v>0</v>
      </c>
      <c r="I148" s="39" t="s">
        <v>152</v>
      </c>
      <c r="J148" s="39">
        <v>2</v>
      </c>
      <c r="K148" s="39" t="s">
        <v>152</v>
      </c>
      <c r="L148" s="39">
        <v>268354900</v>
      </c>
      <c r="M148" s="39">
        <v>0</v>
      </c>
      <c r="N148" s="39">
        <v>0</v>
      </c>
      <c r="O148" s="39">
        <v>0</v>
      </c>
      <c r="P148" s="39">
        <v>0</v>
      </c>
      <c r="Q148" s="39">
        <v>0</v>
      </c>
      <c r="R148" s="19">
        <v>0</v>
      </c>
      <c r="S148" s="39">
        <v>0</v>
      </c>
      <c r="T148" s="39">
        <v>0</v>
      </c>
      <c r="U148" s="39">
        <v>0</v>
      </c>
      <c r="V148" s="39">
        <v>0</v>
      </c>
      <c r="W148" s="39">
        <v>0</v>
      </c>
      <c r="X148" s="39">
        <v>0</v>
      </c>
      <c r="Y148" s="39">
        <v>0</v>
      </c>
      <c r="Z148" s="39">
        <v>0</v>
      </c>
      <c r="AA148" s="39">
        <v>0</v>
      </c>
      <c r="AB148" s="39" t="s">
        <v>152</v>
      </c>
      <c r="AC148" s="39" t="s">
        <v>152</v>
      </c>
      <c r="AD148" s="39" t="s">
        <v>152</v>
      </c>
      <c r="AE148" s="39" t="s">
        <v>152</v>
      </c>
      <c r="AF148" s="39" t="s">
        <v>152</v>
      </c>
      <c r="AG148" s="39" t="s">
        <v>152</v>
      </c>
      <c r="AH148" s="39">
        <v>0</v>
      </c>
      <c r="AI148" s="39" t="s">
        <v>152</v>
      </c>
      <c r="AJ148" s="39" t="s">
        <v>152</v>
      </c>
      <c r="AK148" s="39" t="s">
        <v>152</v>
      </c>
      <c r="AL148" s="19">
        <v>18675000</v>
      </c>
      <c r="AM148" s="19">
        <v>59000</v>
      </c>
      <c r="AN148" s="39">
        <v>-18616000</v>
      </c>
      <c r="AO148" s="39">
        <v>18734000</v>
      </c>
      <c r="AP148" s="39">
        <v>110948000</v>
      </c>
      <c r="AQ148" s="39">
        <v>22999000</v>
      </c>
      <c r="AR148" s="39">
        <v>-87949000</v>
      </c>
      <c r="AS148" s="39">
        <v>133947000</v>
      </c>
      <c r="AT148" s="39">
        <v>0.16832209683815841</v>
      </c>
      <c r="AU148" s="39">
        <v>2.5653289273446672E-3</v>
      </c>
      <c r="AV148" s="39">
        <v>4.4404601812323307E-5</v>
      </c>
      <c r="AW148" s="39">
        <v>1.1116265335243645E-5</v>
      </c>
      <c r="AX148" s="39">
        <v>0.13986128842004675</v>
      </c>
      <c r="AY148" s="39">
        <v>6.9810538208916625E-2</v>
      </c>
      <c r="AZ148" s="39">
        <v>1</v>
      </c>
      <c r="BA148" s="39">
        <v>52148600.5662295</v>
      </c>
      <c r="BB148" s="39">
        <v>0</v>
      </c>
      <c r="BC148" s="39">
        <v>0</v>
      </c>
      <c r="BD148" s="39">
        <v>1</v>
      </c>
      <c r="BE148" s="39">
        <v>52148600.5662295</v>
      </c>
      <c r="BF148" s="39">
        <v>0</v>
      </c>
      <c r="BG148" s="39">
        <v>0</v>
      </c>
      <c r="BH148" s="39">
        <v>0.194326992226449</v>
      </c>
      <c r="BI148" s="39">
        <v>0</v>
      </c>
      <c r="BJ148" s="39">
        <v>0.194326992226449</v>
      </c>
      <c r="BK148" s="39">
        <v>0</v>
      </c>
      <c r="BL148" s="40">
        <v>3067564.7391899708</v>
      </c>
      <c r="BM148" s="40">
        <v>1.1430999542732296E-2</v>
      </c>
    </row>
    <row r="149" spans="1:65" x14ac:dyDescent="0.35">
      <c r="A149" s="39">
        <v>148</v>
      </c>
      <c r="B149" s="32" t="s">
        <v>379</v>
      </c>
      <c r="C149" s="32" t="s">
        <v>184</v>
      </c>
      <c r="D149" s="32" t="s">
        <v>7</v>
      </c>
      <c r="E149" s="32" t="s">
        <v>10</v>
      </c>
      <c r="F149" s="39">
        <v>0</v>
      </c>
      <c r="G149" s="39">
        <v>0</v>
      </c>
      <c r="H149" s="39">
        <v>0</v>
      </c>
      <c r="I149" s="39" t="s">
        <v>152</v>
      </c>
      <c r="J149" s="39">
        <v>0</v>
      </c>
      <c r="K149" s="39" t="s">
        <v>152</v>
      </c>
      <c r="L149" s="39" t="s">
        <v>152</v>
      </c>
      <c r="M149" s="39">
        <v>0</v>
      </c>
      <c r="N149" s="39">
        <v>0</v>
      </c>
      <c r="O149" s="39">
        <v>0</v>
      </c>
      <c r="P149" s="39">
        <v>0</v>
      </c>
      <c r="Q149" s="39">
        <v>0</v>
      </c>
      <c r="R149" s="19">
        <v>0</v>
      </c>
      <c r="S149" s="39">
        <v>0</v>
      </c>
      <c r="T149" s="39">
        <v>0</v>
      </c>
      <c r="U149" s="39">
        <v>0</v>
      </c>
      <c r="V149" s="39">
        <v>0</v>
      </c>
      <c r="W149" s="39">
        <v>0</v>
      </c>
      <c r="X149" s="39">
        <v>0</v>
      </c>
      <c r="Y149" s="39">
        <v>0</v>
      </c>
      <c r="Z149" s="39">
        <v>0</v>
      </c>
      <c r="AA149" s="39">
        <v>0</v>
      </c>
      <c r="AB149" s="39" t="s">
        <v>152</v>
      </c>
      <c r="AC149" s="39" t="s">
        <v>152</v>
      </c>
      <c r="AD149" s="39" t="s">
        <v>152</v>
      </c>
      <c r="AE149" s="39" t="s">
        <v>152</v>
      </c>
      <c r="AF149" s="39" t="s">
        <v>152</v>
      </c>
      <c r="AG149" s="39" t="s">
        <v>152</v>
      </c>
      <c r="AH149" s="39">
        <v>0</v>
      </c>
      <c r="AI149" s="39" t="s">
        <v>152</v>
      </c>
      <c r="AJ149" s="39" t="s">
        <v>152</v>
      </c>
      <c r="AK149" s="39" t="s">
        <v>152</v>
      </c>
      <c r="AL149" s="19">
        <v>447273</v>
      </c>
      <c r="AM149" s="19">
        <v>197</v>
      </c>
      <c r="AN149" s="39">
        <v>-447076</v>
      </c>
      <c r="AO149" s="39">
        <v>447470</v>
      </c>
      <c r="AP149" s="39">
        <v>6613454000</v>
      </c>
      <c r="AQ149" s="39">
        <v>1103808000</v>
      </c>
      <c r="AR149" s="39">
        <v>-5509646000</v>
      </c>
      <c r="AS149" s="39">
        <v>7717262000</v>
      </c>
      <c r="AT149" s="39">
        <v>6.763077205950174E-5</v>
      </c>
      <c r="AU149" s="39">
        <v>1.7847306777990375E-7</v>
      </c>
      <c r="AV149" s="39">
        <v>2.6468957662519089E-3</v>
      </c>
      <c r="AW149" s="39">
        <v>5.3351113557826939E-4</v>
      </c>
      <c r="AX149" s="39">
        <v>5.7982999670090246E-5</v>
      </c>
      <c r="AY149" s="39" t="s">
        <v>152</v>
      </c>
      <c r="AZ149" s="39">
        <v>30</v>
      </c>
      <c r="BA149" s="39">
        <v>104933428.34413904</v>
      </c>
      <c r="BB149" s="39">
        <v>28</v>
      </c>
      <c r="BC149" s="39">
        <v>97805103.913600281</v>
      </c>
      <c r="BD149" s="39">
        <v>1</v>
      </c>
      <c r="BE149" s="39">
        <v>0</v>
      </c>
      <c r="BF149" s="39">
        <v>1</v>
      </c>
      <c r="BG149" s="39">
        <v>7128324.4305387596</v>
      </c>
      <c r="BH149" s="39">
        <v>0</v>
      </c>
      <c r="BI149" s="39">
        <v>0</v>
      </c>
      <c r="BJ149" s="39">
        <v>0</v>
      </c>
      <c r="BK149" s="39">
        <v>0</v>
      </c>
      <c r="BL149" s="40">
        <v>6172554.6084787669</v>
      </c>
      <c r="BM149" s="40">
        <v>0</v>
      </c>
    </row>
    <row r="150" spans="1:65" x14ac:dyDescent="0.35">
      <c r="A150" s="39">
        <v>149</v>
      </c>
      <c r="B150" s="32" t="s">
        <v>380</v>
      </c>
      <c r="C150" s="32" t="s">
        <v>87</v>
      </c>
      <c r="D150" s="32" t="s">
        <v>12</v>
      </c>
      <c r="E150" s="32" t="s">
        <v>5</v>
      </c>
      <c r="F150" s="39">
        <v>0</v>
      </c>
      <c r="G150" s="39">
        <v>0</v>
      </c>
      <c r="H150" s="39">
        <v>1</v>
      </c>
      <c r="I150" s="39">
        <v>2017</v>
      </c>
      <c r="J150" s="39">
        <v>1</v>
      </c>
      <c r="K150" s="39">
        <v>2017</v>
      </c>
      <c r="L150" s="39">
        <v>66787899999.999992</v>
      </c>
      <c r="M150" s="39">
        <v>0</v>
      </c>
      <c r="N150" s="39">
        <v>0</v>
      </c>
      <c r="O150" s="39">
        <v>7</v>
      </c>
      <c r="P150" s="39">
        <v>2390000000</v>
      </c>
      <c r="Q150" s="39">
        <v>7</v>
      </c>
      <c r="R150" s="19">
        <v>2390000000</v>
      </c>
      <c r="S150" s="39">
        <v>0</v>
      </c>
      <c r="T150" s="39">
        <v>3.5784925113680775E-2</v>
      </c>
      <c r="U150" s="39">
        <v>3.5784925113680775E-2</v>
      </c>
      <c r="V150" s="39">
        <v>0</v>
      </c>
      <c r="W150" s="39">
        <v>3.0057599919511031E-3</v>
      </c>
      <c r="X150" s="39">
        <v>1.1153474610678402E-3</v>
      </c>
      <c r="Y150" s="39">
        <v>140588235.29411766</v>
      </c>
      <c r="Z150" s="39">
        <v>2.1049955949223988E-3</v>
      </c>
      <c r="AA150" s="39">
        <v>0</v>
      </c>
      <c r="AB150" s="39" t="s">
        <v>152</v>
      </c>
      <c r="AC150" s="39" t="s">
        <v>152</v>
      </c>
      <c r="AD150" s="39" t="s">
        <v>152</v>
      </c>
      <c r="AE150" s="39" t="s">
        <v>152</v>
      </c>
      <c r="AF150" s="39" t="s">
        <v>152</v>
      </c>
      <c r="AG150" s="39" t="s">
        <v>152</v>
      </c>
      <c r="AH150" s="39">
        <v>0</v>
      </c>
      <c r="AI150" s="39" t="s">
        <v>152</v>
      </c>
      <c r="AJ150" s="39" t="s">
        <v>152</v>
      </c>
      <c r="AK150" s="39" t="s">
        <v>152</v>
      </c>
      <c r="AL150" s="19">
        <v>4634116000</v>
      </c>
      <c r="AM150" s="19">
        <v>534157000</v>
      </c>
      <c r="AN150" s="39">
        <v>-4099959000</v>
      </c>
      <c r="AO150" s="39">
        <v>5168273000</v>
      </c>
      <c r="AP150" s="39">
        <v>21490941000</v>
      </c>
      <c r="AQ150" s="39">
        <v>11473935000</v>
      </c>
      <c r="AR150" s="39">
        <v>-10017006000</v>
      </c>
      <c r="AS150" s="39">
        <v>32964876000</v>
      </c>
      <c r="AT150" s="39">
        <v>0.21563113499776487</v>
      </c>
      <c r="AU150" s="39">
        <v>4.6553950323058306E-2</v>
      </c>
      <c r="AV150" s="39">
        <v>8.6012968028007109E-3</v>
      </c>
      <c r="AW150" s="39">
        <v>5.5457761598042875E-3</v>
      </c>
      <c r="AX150" s="39">
        <v>0.15678120554738323</v>
      </c>
      <c r="AY150" s="39">
        <v>7.7383373335589242E-2</v>
      </c>
      <c r="AZ150" s="39">
        <v>8</v>
      </c>
      <c r="BA150" s="39">
        <v>97687391.995888039</v>
      </c>
      <c r="BB150" s="39">
        <v>3</v>
      </c>
      <c r="BC150" s="39">
        <v>14798489.4873379</v>
      </c>
      <c r="BD150" s="39">
        <v>2</v>
      </c>
      <c r="BE150" s="39">
        <v>0</v>
      </c>
      <c r="BF150" s="39">
        <v>3</v>
      </c>
      <c r="BG150" s="39">
        <v>82888902.508550152</v>
      </c>
      <c r="BH150" s="39">
        <v>1.4626510490057039E-3</v>
      </c>
      <c r="BI150" s="39">
        <v>2.2157440924685314E-4</v>
      </c>
      <c r="BJ150" s="39">
        <v>0</v>
      </c>
      <c r="BK150" s="39">
        <v>1.241076639758851E-3</v>
      </c>
      <c r="BL150" s="40">
        <v>5746317.1762287086</v>
      </c>
      <c r="BM150" s="40">
        <v>8.6038297000335531E-5</v>
      </c>
    </row>
    <row r="151" spans="1:65" x14ac:dyDescent="0.35">
      <c r="A151" s="39">
        <v>150</v>
      </c>
      <c r="B151" s="32" t="s">
        <v>381</v>
      </c>
      <c r="C151" s="32" t="s">
        <v>88</v>
      </c>
      <c r="D151" s="32" t="s">
        <v>23</v>
      </c>
      <c r="E151" s="32" t="s">
        <v>10</v>
      </c>
      <c r="F151" s="39">
        <v>0</v>
      </c>
      <c r="G151" s="39">
        <v>0</v>
      </c>
      <c r="H151" s="39">
        <v>1</v>
      </c>
      <c r="I151" s="39">
        <v>2016</v>
      </c>
      <c r="J151" s="39">
        <v>0</v>
      </c>
      <c r="K151" s="39" t="s">
        <v>152</v>
      </c>
      <c r="L151" s="39">
        <v>24829107011.07011</v>
      </c>
      <c r="M151" s="39">
        <v>5</v>
      </c>
      <c r="N151" s="39">
        <v>2290000000</v>
      </c>
      <c r="O151" s="39">
        <v>11</v>
      </c>
      <c r="P151" s="39">
        <v>3350000000</v>
      </c>
      <c r="Q151" s="39">
        <v>16</v>
      </c>
      <c r="R151" s="19">
        <v>5640000000</v>
      </c>
      <c r="S151" s="39">
        <v>9.2230461569922692E-2</v>
      </c>
      <c r="T151" s="39">
        <v>0.13492229094290001</v>
      </c>
      <c r="U151" s="39">
        <v>0.22715275251282271</v>
      </c>
      <c r="V151" s="39">
        <v>1.7056076506558025E-3</v>
      </c>
      <c r="W151" s="39">
        <v>4.2130945493875291E-3</v>
      </c>
      <c r="X151" s="39">
        <v>2.632033339088962E-3</v>
      </c>
      <c r="Y151" s="39">
        <v>331764705.88235295</v>
      </c>
      <c r="Z151" s="39">
        <v>1.3361926618401337E-2</v>
      </c>
      <c r="AA151" s="39">
        <v>3</v>
      </c>
      <c r="AB151" s="39">
        <v>0</v>
      </c>
      <c r="AC151" s="39">
        <v>0</v>
      </c>
      <c r="AD151" s="39">
        <v>0</v>
      </c>
      <c r="AE151" s="39">
        <v>0</v>
      </c>
      <c r="AF151" s="39">
        <v>0</v>
      </c>
      <c r="AG151" s="39">
        <v>0</v>
      </c>
      <c r="AH151" s="39">
        <v>0</v>
      </c>
      <c r="AI151" s="39">
        <v>0</v>
      </c>
      <c r="AJ151" s="39">
        <v>0</v>
      </c>
      <c r="AK151" s="39">
        <v>0</v>
      </c>
      <c r="AL151" s="19">
        <v>801931000</v>
      </c>
      <c r="AM151" s="19">
        <v>3064927000</v>
      </c>
      <c r="AN151" s="39">
        <v>2262996000</v>
      </c>
      <c r="AO151" s="39">
        <v>3866858000</v>
      </c>
      <c r="AP151" s="39">
        <v>4289754000</v>
      </c>
      <c r="AQ151" s="39">
        <v>11801523000</v>
      </c>
      <c r="AR151" s="39">
        <v>7511769000</v>
      </c>
      <c r="AS151" s="39">
        <v>16091277000</v>
      </c>
      <c r="AT151" s="39">
        <v>0.18694102272531246</v>
      </c>
      <c r="AU151" s="39">
        <v>0.25970605658269702</v>
      </c>
      <c r="AV151" s="39">
        <v>1.7168837495296998E-3</v>
      </c>
      <c r="AW151" s="39">
        <v>5.7041115278047118E-3</v>
      </c>
      <c r="AX151" s="39">
        <v>0.24030771454621036</v>
      </c>
      <c r="AY151" s="39">
        <v>0.1557389074957852</v>
      </c>
      <c r="AZ151" s="39">
        <v>145</v>
      </c>
      <c r="BA151" s="39">
        <v>10985457319.344872</v>
      </c>
      <c r="BB151" s="39">
        <v>124</v>
      </c>
      <c r="BC151" s="39">
        <v>1238557865.0704238</v>
      </c>
      <c r="BD151" s="39">
        <v>16</v>
      </c>
      <c r="BE151" s="39">
        <v>5311957729.7807856</v>
      </c>
      <c r="BF151" s="39">
        <v>5</v>
      </c>
      <c r="BG151" s="39">
        <v>4434941724.4936609</v>
      </c>
      <c r="BH151" s="39">
        <v>0.44244270703924155</v>
      </c>
      <c r="BI151" s="39">
        <v>4.9883302871835469E-2</v>
      </c>
      <c r="BJ151" s="39">
        <v>0.21394074814742381</v>
      </c>
      <c r="BK151" s="39">
        <v>0.17861865601998222</v>
      </c>
      <c r="BL151" s="40">
        <v>646203371.72616887</v>
      </c>
      <c r="BM151" s="40">
        <v>2.6026041590543621E-2</v>
      </c>
    </row>
    <row r="152" spans="1:65" x14ac:dyDescent="0.35">
      <c r="A152" s="39">
        <v>151</v>
      </c>
      <c r="B152" s="32" t="s">
        <v>382</v>
      </c>
      <c r="C152" s="32" t="s">
        <v>154</v>
      </c>
      <c r="D152" s="32" t="s">
        <v>12</v>
      </c>
      <c r="E152" s="32" t="s">
        <v>5</v>
      </c>
      <c r="F152" s="39">
        <v>0</v>
      </c>
      <c r="G152" s="39">
        <v>0</v>
      </c>
      <c r="H152" s="39">
        <v>0</v>
      </c>
      <c r="I152" s="39" t="s">
        <v>152</v>
      </c>
      <c r="J152" s="39">
        <v>2</v>
      </c>
      <c r="K152" s="39" t="s">
        <v>152</v>
      </c>
      <c r="L152" s="39">
        <v>37906944074.612778</v>
      </c>
      <c r="M152" s="39">
        <v>0</v>
      </c>
      <c r="N152" s="39">
        <v>0</v>
      </c>
      <c r="O152" s="39">
        <v>0</v>
      </c>
      <c r="P152" s="39">
        <v>0</v>
      </c>
      <c r="Q152" s="39">
        <v>0</v>
      </c>
      <c r="R152" s="19">
        <v>0</v>
      </c>
      <c r="S152" s="39">
        <v>0</v>
      </c>
      <c r="T152" s="39">
        <v>0</v>
      </c>
      <c r="U152" s="39">
        <v>0</v>
      </c>
      <c r="V152" s="39">
        <v>0</v>
      </c>
      <c r="W152" s="39">
        <v>0</v>
      </c>
      <c r="X152" s="39">
        <v>0</v>
      </c>
      <c r="Y152" s="39">
        <v>0</v>
      </c>
      <c r="Z152" s="39">
        <v>0</v>
      </c>
      <c r="AA152" s="39">
        <v>0</v>
      </c>
      <c r="AB152" s="39" t="s">
        <v>152</v>
      </c>
      <c r="AC152" s="39" t="s">
        <v>152</v>
      </c>
      <c r="AD152" s="39" t="s">
        <v>152</v>
      </c>
      <c r="AE152" s="39" t="s">
        <v>152</v>
      </c>
      <c r="AF152" s="39" t="s">
        <v>152</v>
      </c>
      <c r="AG152" s="39" t="s">
        <v>152</v>
      </c>
      <c r="AH152" s="39">
        <v>0</v>
      </c>
      <c r="AI152" s="39" t="s">
        <v>152</v>
      </c>
      <c r="AJ152" s="39" t="s">
        <v>152</v>
      </c>
      <c r="AK152" s="39" t="s">
        <v>152</v>
      </c>
      <c r="AL152" s="19">
        <v>1923749000</v>
      </c>
      <c r="AM152" s="19">
        <v>10749000</v>
      </c>
      <c r="AN152" s="39">
        <v>-1913000000</v>
      </c>
      <c r="AO152" s="39">
        <v>1934498000</v>
      </c>
      <c r="AP152" s="39">
        <v>12187407000</v>
      </c>
      <c r="AQ152" s="39">
        <v>7652036000</v>
      </c>
      <c r="AR152" s="39">
        <v>-4535371000</v>
      </c>
      <c r="AS152" s="39">
        <v>19839443000</v>
      </c>
      <c r="AT152" s="39">
        <v>0.15784727629101089</v>
      </c>
      <c r="AU152" s="39">
        <v>1.4047241805971639E-3</v>
      </c>
      <c r="AV152" s="39">
        <v>4.8777531362414984E-3</v>
      </c>
      <c r="AW152" s="39">
        <v>3.6985113496602654E-3</v>
      </c>
      <c r="AX152" s="39">
        <v>9.7507677004843335E-2</v>
      </c>
      <c r="AY152" s="39">
        <v>5.1032813307036837E-2</v>
      </c>
      <c r="AZ152" s="39">
        <v>3</v>
      </c>
      <c r="BA152" s="39">
        <v>63904893.787608638</v>
      </c>
      <c r="BB152" s="39">
        <v>0</v>
      </c>
      <c r="BC152" s="39">
        <v>0</v>
      </c>
      <c r="BD152" s="39">
        <v>0</v>
      </c>
      <c r="BE152" s="39">
        <v>0</v>
      </c>
      <c r="BF152" s="39">
        <v>3</v>
      </c>
      <c r="BG152" s="39">
        <v>63904893.787608638</v>
      </c>
      <c r="BH152" s="39">
        <v>1.6858360743040571E-3</v>
      </c>
      <c r="BI152" s="39">
        <v>0</v>
      </c>
      <c r="BJ152" s="39">
        <v>0</v>
      </c>
      <c r="BK152" s="39">
        <v>1.6858360743040571E-3</v>
      </c>
      <c r="BL152" s="40">
        <v>3759111.3992710966</v>
      </c>
      <c r="BM152" s="40">
        <v>9.9166827900238645E-5</v>
      </c>
    </row>
    <row r="153" spans="1:65" x14ac:dyDescent="0.35">
      <c r="A153" s="39">
        <v>152</v>
      </c>
      <c r="B153" s="32" t="s">
        <v>383</v>
      </c>
      <c r="C153" s="32" t="s">
        <v>89</v>
      </c>
      <c r="D153" s="32" t="s">
        <v>12</v>
      </c>
      <c r="E153" s="32" t="s">
        <v>5</v>
      </c>
      <c r="F153" s="39">
        <v>3</v>
      </c>
      <c r="G153" s="39">
        <v>1</v>
      </c>
      <c r="H153" s="39">
        <v>1</v>
      </c>
      <c r="I153" s="39">
        <v>2019</v>
      </c>
      <c r="J153" s="39">
        <v>0</v>
      </c>
      <c r="K153" s="39" t="s">
        <v>152</v>
      </c>
      <c r="L153" s="39">
        <v>228470919605.66925</v>
      </c>
      <c r="M153" s="39">
        <v>8</v>
      </c>
      <c r="N153" s="39">
        <v>5790000000</v>
      </c>
      <c r="O153" s="39">
        <v>15</v>
      </c>
      <c r="P153" s="39">
        <v>21480000000</v>
      </c>
      <c r="Q153" s="39">
        <v>23</v>
      </c>
      <c r="R153" s="19">
        <v>27270000000</v>
      </c>
      <c r="S153" s="39">
        <v>2.534239372780258E-2</v>
      </c>
      <c r="T153" s="39">
        <v>9.4016341497961911E-2</v>
      </c>
      <c r="U153" s="39">
        <v>0.11935873522576448</v>
      </c>
      <c r="V153" s="39">
        <v>4.3124315708720946E-3</v>
      </c>
      <c r="W153" s="39">
        <v>2.7014110722640039E-2</v>
      </c>
      <c r="X153" s="39">
        <v>1.2726161198041841E-2</v>
      </c>
      <c r="Y153" s="39">
        <v>1604117647.0588236</v>
      </c>
      <c r="Z153" s="39">
        <v>7.0211020721037938E-3</v>
      </c>
      <c r="AA153" s="39">
        <v>3</v>
      </c>
      <c r="AB153" s="39">
        <v>0</v>
      </c>
      <c r="AC153" s="39">
        <v>0</v>
      </c>
      <c r="AD153" s="39">
        <v>0</v>
      </c>
      <c r="AE153" s="39">
        <v>0</v>
      </c>
      <c r="AF153" s="39">
        <v>0</v>
      </c>
      <c r="AG153" s="39">
        <v>0</v>
      </c>
      <c r="AH153" s="39">
        <v>0</v>
      </c>
      <c r="AI153" s="39">
        <v>0</v>
      </c>
      <c r="AJ153" s="39">
        <v>0</v>
      </c>
      <c r="AK153" s="39">
        <v>0</v>
      </c>
      <c r="AL153" s="19">
        <v>10255204000</v>
      </c>
      <c r="AM153" s="19">
        <v>13159187000</v>
      </c>
      <c r="AN153" s="39">
        <v>2903983000</v>
      </c>
      <c r="AO153" s="39">
        <v>23414391000</v>
      </c>
      <c r="AP153" s="39">
        <v>42364042000</v>
      </c>
      <c r="AQ153" s="39">
        <v>45135222000</v>
      </c>
      <c r="AR153" s="39">
        <v>2771180000</v>
      </c>
      <c r="AS153" s="39">
        <v>87499264000</v>
      </c>
      <c r="AT153" s="39">
        <v>0.24207331302334181</v>
      </c>
      <c r="AU153" s="39">
        <v>0.29155028859722903</v>
      </c>
      <c r="AV153" s="39">
        <v>1.6955316149642543E-2</v>
      </c>
      <c r="AW153" s="39">
        <v>2.1815518227624082E-2</v>
      </c>
      <c r="AX153" s="39">
        <v>0.26759529085867512</v>
      </c>
      <c r="AY153" s="39">
        <v>0.10248302515003752</v>
      </c>
      <c r="AZ153" s="39">
        <v>97</v>
      </c>
      <c r="BA153" s="39">
        <v>11259526051.707972</v>
      </c>
      <c r="BB153" s="39">
        <v>69</v>
      </c>
      <c r="BC153" s="39">
        <v>184206605.39112389</v>
      </c>
      <c r="BD153" s="39">
        <v>25</v>
      </c>
      <c r="BE153" s="39">
        <v>10913683461.076916</v>
      </c>
      <c r="BF153" s="39">
        <v>3</v>
      </c>
      <c r="BG153" s="39">
        <v>161635985.2399314</v>
      </c>
      <c r="BH153" s="39">
        <v>4.9282097131404808E-2</v>
      </c>
      <c r="BI153" s="39">
        <v>8.0625843196611795E-4</v>
      </c>
      <c r="BJ153" s="39">
        <v>4.7768370171194882E-2</v>
      </c>
      <c r="BK153" s="39">
        <v>7.0746852824380454E-4</v>
      </c>
      <c r="BL153" s="40">
        <v>662325061.86517477</v>
      </c>
      <c r="BM153" s="40">
        <v>2.898946890082636E-3</v>
      </c>
    </row>
    <row r="154" spans="1:65" x14ac:dyDescent="0.35">
      <c r="A154" s="39">
        <v>153</v>
      </c>
      <c r="B154" s="32" t="s">
        <v>384</v>
      </c>
      <c r="C154" s="32" t="s">
        <v>90</v>
      </c>
      <c r="D154" s="32" t="s">
        <v>23</v>
      </c>
      <c r="E154" s="32" t="s">
        <v>10</v>
      </c>
      <c r="F154" s="39">
        <v>0</v>
      </c>
      <c r="G154" s="39">
        <v>1</v>
      </c>
      <c r="H154" s="39">
        <v>1</v>
      </c>
      <c r="I154" s="39">
        <v>2017</v>
      </c>
      <c r="J154" s="39">
        <v>0</v>
      </c>
      <c r="K154" s="39" t="s">
        <v>152</v>
      </c>
      <c r="L154" s="39">
        <v>376823278560.84857</v>
      </c>
      <c r="M154" s="39">
        <v>6</v>
      </c>
      <c r="N154" s="39">
        <v>3820000000</v>
      </c>
      <c r="O154" s="39">
        <v>23</v>
      </c>
      <c r="P154" s="39">
        <v>13860000000</v>
      </c>
      <c r="Q154" s="39">
        <v>29</v>
      </c>
      <c r="R154" s="19">
        <v>17680000000</v>
      </c>
      <c r="S154" s="39">
        <v>1.0137377962925279E-2</v>
      </c>
      <c r="T154" s="39">
        <v>3.6781167163912137E-2</v>
      </c>
      <c r="U154" s="39">
        <v>4.6918545126837415E-2</v>
      </c>
      <c r="V154" s="39">
        <v>2.8451621072074955E-3</v>
      </c>
      <c r="W154" s="39">
        <v>1.7430892672988405E-2</v>
      </c>
      <c r="X154" s="39">
        <v>8.2507711764349019E-3</v>
      </c>
      <c r="Y154" s="39">
        <v>1040000000</v>
      </c>
      <c r="Z154" s="39">
        <v>2.7599144192257305E-3</v>
      </c>
      <c r="AA154" s="39">
        <v>1</v>
      </c>
      <c r="AB154" s="39">
        <v>3</v>
      </c>
      <c r="AC154" s="39">
        <v>1257600000</v>
      </c>
      <c r="AD154" s="39">
        <v>0</v>
      </c>
      <c r="AE154" s="39">
        <v>0</v>
      </c>
      <c r="AF154" s="39">
        <v>0</v>
      </c>
      <c r="AG154" s="39">
        <v>0</v>
      </c>
      <c r="AH154" s="39">
        <v>3</v>
      </c>
      <c r="AI154" s="39">
        <v>1257600000</v>
      </c>
      <c r="AJ154" s="39">
        <v>3.3373734361714217E-3</v>
      </c>
      <c r="AK154" s="39">
        <v>3.1550244441640202E-2</v>
      </c>
      <c r="AL154" s="19">
        <v>25749016000</v>
      </c>
      <c r="AM154" s="19">
        <v>9628984000</v>
      </c>
      <c r="AN154" s="39">
        <v>-16120032000</v>
      </c>
      <c r="AO154" s="39">
        <v>35378000000</v>
      </c>
      <c r="AP154" s="39">
        <v>112908749000</v>
      </c>
      <c r="AQ154" s="39">
        <v>70334023000</v>
      </c>
      <c r="AR154" s="39">
        <v>-42574726000</v>
      </c>
      <c r="AS154" s="39">
        <v>183242772000</v>
      </c>
      <c r="AT154" s="39">
        <v>0.22805155692584991</v>
      </c>
      <c r="AU154" s="39">
        <v>0.13690364334768679</v>
      </c>
      <c r="AV154" s="39">
        <v>4.5189350330538246E-2</v>
      </c>
      <c r="AW154" s="39">
        <v>3.3995028556160239E-2</v>
      </c>
      <c r="AX154" s="39">
        <v>0.19306627821587419</v>
      </c>
      <c r="AY154" s="39">
        <v>9.3884858003238356E-2</v>
      </c>
      <c r="AZ154" s="39">
        <v>92</v>
      </c>
      <c r="BA154" s="39">
        <v>31484642653.510399</v>
      </c>
      <c r="BB154" s="39">
        <v>55</v>
      </c>
      <c r="BC154" s="39">
        <v>10910181587.909098</v>
      </c>
      <c r="BD154" s="39">
        <v>32</v>
      </c>
      <c r="BE154" s="39">
        <v>17148159172.128071</v>
      </c>
      <c r="BF154" s="39">
        <v>5</v>
      </c>
      <c r="BG154" s="39">
        <v>3426301893.4732318</v>
      </c>
      <c r="BH154" s="39">
        <v>8.3552806964993093E-2</v>
      </c>
      <c r="BI154" s="39">
        <v>2.8953045654655188E-2</v>
      </c>
      <c r="BJ154" s="39">
        <v>4.5507165156090601E-2</v>
      </c>
      <c r="BK154" s="39">
        <v>9.0925961542473021E-3</v>
      </c>
      <c r="BL154" s="40">
        <v>1852037803.1476705</v>
      </c>
      <c r="BM154" s="40">
        <v>4.91487099794077E-3</v>
      </c>
    </row>
    <row r="155" spans="1:65" x14ac:dyDescent="0.35">
      <c r="A155" s="39">
        <v>154</v>
      </c>
      <c r="B155" s="32" t="s">
        <v>385</v>
      </c>
      <c r="C155" s="32" t="s">
        <v>91</v>
      </c>
      <c r="D155" s="32" t="s">
        <v>4</v>
      </c>
      <c r="E155" s="32" t="s">
        <v>13</v>
      </c>
      <c r="F155" s="39">
        <v>2</v>
      </c>
      <c r="G155" s="39">
        <v>0</v>
      </c>
      <c r="H155" s="39">
        <v>1</v>
      </c>
      <c r="I155" s="39">
        <v>2015</v>
      </c>
      <c r="J155" s="39">
        <v>0</v>
      </c>
      <c r="K155" s="39" t="s">
        <v>152</v>
      </c>
      <c r="L155" s="39">
        <v>595862086928.21094</v>
      </c>
      <c r="M155" s="39">
        <v>2</v>
      </c>
      <c r="N155" s="39">
        <v>660000000</v>
      </c>
      <c r="O155" s="39">
        <v>11</v>
      </c>
      <c r="P155" s="39">
        <v>2150000000</v>
      </c>
      <c r="Q155" s="39">
        <v>13</v>
      </c>
      <c r="R155" s="19">
        <v>2810000000</v>
      </c>
      <c r="S155" s="39">
        <v>1.1076388554983132E-3</v>
      </c>
      <c r="T155" s="39">
        <v>3.6082174838202629E-3</v>
      </c>
      <c r="U155" s="39">
        <v>4.7158563393185759E-3</v>
      </c>
      <c r="V155" s="39">
        <v>4.9157251066935794E-4</v>
      </c>
      <c r="W155" s="39">
        <v>2.7039263525919966E-3</v>
      </c>
      <c r="X155" s="39">
        <v>1.3113499437659543E-3</v>
      </c>
      <c r="Y155" s="39">
        <v>165294117.64705881</v>
      </c>
      <c r="Z155" s="39">
        <v>2.7740331407756329E-4</v>
      </c>
      <c r="AA155" s="39">
        <v>2</v>
      </c>
      <c r="AB155" s="39">
        <v>0</v>
      </c>
      <c r="AC155" s="39">
        <v>0</v>
      </c>
      <c r="AD155" s="39">
        <v>0</v>
      </c>
      <c r="AE155" s="39">
        <v>0</v>
      </c>
      <c r="AF155" s="39">
        <v>0</v>
      </c>
      <c r="AG155" s="39">
        <v>0</v>
      </c>
      <c r="AH155" s="39">
        <v>0</v>
      </c>
      <c r="AI155" s="39">
        <v>0</v>
      </c>
      <c r="AJ155" s="39">
        <v>0</v>
      </c>
      <c r="AK155" s="39">
        <v>0</v>
      </c>
      <c r="AL155" s="19">
        <v>30414556000</v>
      </c>
      <c r="AM155" s="19">
        <v>2701584000</v>
      </c>
      <c r="AN155" s="39">
        <v>-27712972000</v>
      </c>
      <c r="AO155" s="39">
        <v>33116140000</v>
      </c>
      <c r="AP155" s="39">
        <v>246653880000</v>
      </c>
      <c r="AQ155" s="39">
        <v>251864773000</v>
      </c>
      <c r="AR155" s="39">
        <v>5210893000</v>
      </c>
      <c r="AS155" s="39">
        <v>498518653000</v>
      </c>
      <c r="AT155" s="39">
        <v>0.12330864610765499</v>
      </c>
      <c r="AU155" s="39">
        <v>1.0726327337566973E-2</v>
      </c>
      <c r="AV155" s="39">
        <v>9.8718024001014676E-2</v>
      </c>
      <c r="AW155" s="39">
        <v>0.12173553829596546</v>
      </c>
      <c r="AX155" s="39">
        <v>6.6429089063594182E-2</v>
      </c>
      <c r="AY155" s="39">
        <v>5.5576853648669565E-2</v>
      </c>
      <c r="AZ155" s="39" t="s">
        <v>152</v>
      </c>
      <c r="BA155" s="39" t="s">
        <v>152</v>
      </c>
      <c r="BB155" s="39" t="s">
        <v>152</v>
      </c>
      <c r="BC155" s="39" t="s">
        <v>152</v>
      </c>
      <c r="BD155" s="39" t="s">
        <v>152</v>
      </c>
      <c r="BE155" s="39" t="s">
        <v>152</v>
      </c>
      <c r="BF155" s="39" t="s">
        <v>152</v>
      </c>
      <c r="BG155" s="39" t="s">
        <v>152</v>
      </c>
      <c r="BH155" s="39">
        <v>0</v>
      </c>
      <c r="BI155" s="39">
        <v>0</v>
      </c>
      <c r="BJ155" s="39">
        <v>0</v>
      </c>
      <c r="BK155" s="39">
        <v>0</v>
      </c>
      <c r="BL155" s="40">
        <v>0</v>
      </c>
      <c r="BM155" s="40">
        <v>0</v>
      </c>
    </row>
    <row r="156" spans="1:65" x14ac:dyDescent="0.35">
      <c r="A156" s="39">
        <v>155</v>
      </c>
      <c r="B156" s="32" t="s">
        <v>386</v>
      </c>
      <c r="C156" s="32" t="s">
        <v>92</v>
      </c>
      <c r="D156" s="32" t="s">
        <v>4</v>
      </c>
      <c r="E156" s="32" t="s">
        <v>13</v>
      </c>
      <c r="F156" s="39">
        <v>3</v>
      </c>
      <c r="G156" s="39">
        <v>0</v>
      </c>
      <c r="H156" s="39">
        <v>1</v>
      </c>
      <c r="I156" s="39">
        <v>2018</v>
      </c>
      <c r="J156" s="39">
        <v>0</v>
      </c>
      <c r="K156" s="39" t="s">
        <v>152</v>
      </c>
      <c r="L156" s="39">
        <v>239510770948.27414</v>
      </c>
      <c r="M156" s="39">
        <v>4</v>
      </c>
      <c r="N156" s="39">
        <v>4590000000</v>
      </c>
      <c r="O156" s="39">
        <v>8</v>
      </c>
      <c r="P156" s="39">
        <v>4630000000</v>
      </c>
      <c r="Q156" s="39">
        <v>12</v>
      </c>
      <c r="R156" s="19">
        <v>9220000000</v>
      </c>
      <c r="S156" s="39">
        <v>1.9164065072427485E-2</v>
      </c>
      <c r="T156" s="39">
        <v>1.9331072175455176E-2</v>
      </c>
      <c r="U156" s="39">
        <v>3.8495137247882658E-2</v>
      </c>
      <c r="V156" s="39">
        <v>3.4186633696550802E-3</v>
      </c>
      <c r="W156" s="39">
        <v>5.8228739593027641E-3</v>
      </c>
      <c r="X156" s="39">
        <v>4.3027211678014592E-3</v>
      </c>
      <c r="Y156" s="39">
        <v>542352941.17647064</v>
      </c>
      <c r="Z156" s="39">
        <v>2.264419838110745E-3</v>
      </c>
      <c r="AA156" s="39">
        <v>2</v>
      </c>
      <c r="AB156" s="39">
        <v>0</v>
      </c>
      <c r="AC156" s="39">
        <v>0</v>
      </c>
      <c r="AD156" s="39">
        <v>0</v>
      </c>
      <c r="AE156" s="39">
        <v>0</v>
      </c>
      <c r="AF156" s="39">
        <v>0</v>
      </c>
      <c r="AG156" s="39">
        <v>0</v>
      </c>
      <c r="AH156" s="39">
        <v>0</v>
      </c>
      <c r="AI156" s="39">
        <v>0</v>
      </c>
      <c r="AJ156" s="39">
        <v>0</v>
      </c>
      <c r="AK156" s="39">
        <v>0</v>
      </c>
      <c r="AL156" s="19">
        <v>3306270000</v>
      </c>
      <c r="AM156" s="19">
        <v>673894000</v>
      </c>
      <c r="AN156" s="39">
        <v>-2632376000</v>
      </c>
      <c r="AO156" s="39">
        <v>3980164000</v>
      </c>
      <c r="AP156" s="39">
        <v>89541380000</v>
      </c>
      <c r="AQ156" s="39">
        <v>67064074000</v>
      </c>
      <c r="AR156" s="39">
        <v>-22477306000</v>
      </c>
      <c r="AS156" s="39">
        <v>156605454000</v>
      </c>
      <c r="AT156" s="39">
        <v>3.6924492340859615E-2</v>
      </c>
      <c r="AU156" s="39">
        <v>1.0048509728174284E-2</v>
      </c>
      <c r="AV156" s="39">
        <v>3.5837052715019017E-2</v>
      </c>
      <c r="AW156" s="39">
        <v>3.2414541547302694E-2</v>
      </c>
      <c r="AX156" s="39">
        <v>2.5415232345611667E-2</v>
      </c>
      <c r="AY156" s="39">
        <v>1.6617891480377619E-2</v>
      </c>
      <c r="AZ156" s="39" t="s">
        <v>152</v>
      </c>
      <c r="BA156" s="39" t="s">
        <v>152</v>
      </c>
      <c r="BB156" s="39" t="s">
        <v>152</v>
      </c>
      <c r="BC156" s="39" t="s">
        <v>152</v>
      </c>
      <c r="BD156" s="39" t="s">
        <v>152</v>
      </c>
      <c r="BE156" s="39" t="s">
        <v>152</v>
      </c>
      <c r="BF156" s="39" t="s">
        <v>152</v>
      </c>
      <c r="BG156" s="39" t="s">
        <v>152</v>
      </c>
      <c r="BH156" s="39">
        <v>0</v>
      </c>
      <c r="BI156" s="39">
        <v>0</v>
      </c>
      <c r="BJ156" s="39">
        <v>0</v>
      </c>
      <c r="BK156" s="39">
        <v>0</v>
      </c>
      <c r="BL156" s="40">
        <v>0</v>
      </c>
      <c r="BM156" s="40">
        <v>0</v>
      </c>
    </row>
    <row r="157" spans="1:65" x14ac:dyDescent="0.35">
      <c r="A157" s="39">
        <v>156</v>
      </c>
      <c r="B157" s="32" t="s">
        <v>460</v>
      </c>
      <c r="C157" s="32" t="s">
        <v>477</v>
      </c>
      <c r="D157" s="32" t="s">
        <v>12</v>
      </c>
      <c r="E157" s="32" t="s">
        <v>13</v>
      </c>
      <c r="F157" s="39">
        <v>0</v>
      </c>
      <c r="G157" s="39">
        <v>0</v>
      </c>
      <c r="H157" s="39">
        <v>0</v>
      </c>
      <c r="I157" s="39" t="s">
        <v>152</v>
      </c>
      <c r="J157" s="39">
        <v>0</v>
      </c>
      <c r="K157" s="39" t="s">
        <v>152</v>
      </c>
      <c r="L157" s="39">
        <v>104914600000</v>
      </c>
      <c r="M157" s="39">
        <v>0</v>
      </c>
      <c r="N157" s="39">
        <v>0</v>
      </c>
      <c r="O157" s="39">
        <v>0</v>
      </c>
      <c r="P157" s="39">
        <v>0</v>
      </c>
      <c r="Q157" s="39">
        <v>0</v>
      </c>
      <c r="R157" s="19">
        <v>0</v>
      </c>
      <c r="S157" s="39">
        <v>0</v>
      </c>
      <c r="T157" s="39">
        <v>0</v>
      </c>
      <c r="U157" s="39">
        <v>0</v>
      </c>
      <c r="V157" s="39">
        <v>0</v>
      </c>
      <c r="W157" s="39">
        <v>0</v>
      </c>
      <c r="X157" s="39">
        <v>0</v>
      </c>
      <c r="Y157" s="39">
        <v>0</v>
      </c>
      <c r="Z157" s="39">
        <v>0</v>
      </c>
      <c r="AA157" s="39">
        <v>0</v>
      </c>
      <c r="AB157" s="39" t="s">
        <v>152</v>
      </c>
      <c r="AC157" s="39" t="s">
        <v>152</v>
      </c>
      <c r="AD157" s="39" t="s">
        <v>152</v>
      </c>
      <c r="AE157" s="39" t="s">
        <v>152</v>
      </c>
      <c r="AF157" s="39" t="s">
        <v>152</v>
      </c>
      <c r="AG157" s="39" t="s">
        <v>152</v>
      </c>
      <c r="AH157" s="39">
        <v>0</v>
      </c>
      <c r="AI157" s="39" t="s">
        <v>152</v>
      </c>
      <c r="AJ157" s="39" t="s">
        <v>152</v>
      </c>
      <c r="AK157" s="39" t="s">
        <v>152</v>
      </c>
      <c r="AL157" s="19" t="s">
        <v>152</v>
      </c>
      <c r="AM157" s="19" t="s">
        <v>152</v>
      </c>
      <c r="AN157" s="39" t="s">
        <v>152</v>
      </c>
      <c r="AO157" s="39" t="s">
        <v>152</v>
      </c>
      <c r="AP157" s="39" t="s">
        <v>152</v>
      </c>
      <c r="AQ157" s="39" t="s">
        <v>152</v>
      </c>
      <c r="AR157" s="39" t="s">
        <v>152</v>
      </c>
      <c r="AS157" s="39" t="s">
        <v>152</v>
      </c>
      <c r="AT157" s="39" t="s">
        <v>152</v>
      </c>
      <c r="AU157" s="39" t="s">
        <v>152</v>
      </c>
      <c r="AV157" s="39" t="s">
        <v>152</v>
      </c>
      <c r="AW157" s="39" t="s">
        <v>152</v>
      </c>
      <c r="AX157" s="39" t="s">
        <v>152</v>
      </c>
      <c r="AY157" s="39" t="s">
        <v>152</v>
      </c>
      <c r="AZ157" s="39">
        <v>0</v>
      </c>
      <c r="BA157" s="39" t="s">
        <v>152</v>
      </c>
      <c r="BB157" s="39" t="s">
        <v>152</v>
      </c>
      <c r="BC157" s="39" t="s">
        <v>152</v>
      </c>
      <c r="BD157" s="39" t="s">
        <v>152</v>
      </c>
      <c r="BE157" s="39" t="s">
        <v>152</v>
      </c>
      <c r="BF157" s="39" t="s">
        <v>152</v>
      </c>
      <c r="BG157" s="39" t="s">
        <v>152</v>
      </c>
      <c r="BH157" s="39">
        <v>0</v>
      </c>
      <c r="BI157" s="39">
        <v>0</v>
      </c>
      <c r="BJ157" s="39">
        <v>0</v>
      </c>
      <c r="BK157" s="39">
        <v>0</v>
      </c>
      <c r="BL157" s="40">
        <v>0</v>
      </c>
      <c r="BM157" s="40">
        <v>0</v>
      </c>
    </row>
    <row r="158" spans="1:65" x14ac:dyDescent="0.35">
      <c r="A158" s="39">
        <v>157</v>
      </c>
      <c r="B158" s="32" t="s">
        <v>387</v>
      </c>
      <c r="C158" s="32" t="s">
        <v>93</v>
      </c>
      <c r="D158" s="32" t="s">
        <v>7</v>
      </c>
      <c r="E158" s="32" t="s">
        <v>13</v>
      </c>
      <c r="F158" s="39">
        <v>0</v>
      </c>
      <c r="G158" s="39">
        <v>0</v>
      </c>
      <c r="H158" s="39">
        <v>1</v>
      </c>
      <c r="I158" s="39">
        <v>2019</v>
      </c>
      <c r="J158" s="39">
        <v>0</v>
      </c>
      <c r="K158" s="39" t="s">
        <v>152</v>
      </c>
      <c r="L158" s="39">
        <v>175837550996.18515</v>
      </c>
      <c r="M158" s="39">
        <v>10</v>
      </c>
      <c r="N158" s="39">
        <v>3970000000</v>
      </c>
      <c r="O158" s="39">
        <v>10</v>
      </c>
      <c r="P158" s="39">
        <v>3830000000</v>
      </c>
      <c r="Q158" s="39">
        <v>20</v>
      </c>
      <c r="R158" s="19">
        <v>7800000000</v>
      </c>
      <c r="S158" s="39">
        <v>2.2577657488451544E-2</v>
      </c>
      <c r="T158" s="39">
        <v>2.1781468055609425E-2</v>
      </c>
      <c r="U158" s="39">
        <v>4.4359125544060969E-2</v>
      </c>
      <c r="V158" s="39">
        <v>2.9568831323596224E-3</v>
      </c>
      <c r="W158" s="39">
        <v>4.8167618281057421E-3</v>
      </c>
      <c r="X158" s="39">
        <v>3.6400461072506919E-3</v>
      </c>
      <c r="Y158" s="39">
        <v>458823529.41176468</v>
      </c>
      <c r="Z158" s="39">
        <v>2.6093603261212331E-3</v>
      </c>
      <c r="AA158" s="39">
        <v>1</v>
      </c>
      <c r="AB158" s="39">
        <v>0</v>
      </c>
      <c r="AC158" s="39">
        <v>0</v>
      </c>
      <c r="AD158" s="39">
        <v>0</v>
      </c>
      <c r="AE158" s="39">
        <v>0</v>
      </c>
      <c r="AF158" s="39">
        <v>0</v>
      </c>
      <c r="AG158" s="39">
        <v>0</v>
      </c>
      <c r="AH158" s="39">
        <v>0</v>
      </c>
      <c r="AI158" s="39">
        <v>0</v>
      </c>
      <c r="AJ158" s="39">
        <v>0</v>
      </c>
      <c r="AK158" s="39">
        <v>0</v>
      </c>
      <c r="AL158" s="19">
        <v>3485373000</v>
      </c>
      <c r="AM158" s="19">
        <v>9018816000</v>
      </c>
      <c r="AN158" s="39">
        <v>5533443000</v>
      </c>
      <c r="AO158" s="39">
        <v>12504189000</v>
      </c>
      <c r="AP158" s="39">
        <v>29178065000</v>
      </c>
      <c r="AQ158" s="39">
        <v>72934956000</v>
      </c>
      <c r="AR158" s="39">
        <v>43756891000</v>
      </c>
      <c r="AS158" s="39">
        <v>102113021000</v>
      </c>
      <c r="AT158" s="39">
        <v>0.11945182108546266</v>
      </c>
      <c r="AU158" s="39">
        <v>0.12365560349415992</v>
      </c>
      <c r="AV158" s="39">
        <v>1.167790638838994E-2</v>
      </c>
      <c r="AW158" s="39">
        <v>3.5252155446337689E-2</v>
      </c>
      <c r="AX158" s="39">
        <v>0.12245440275437547</v>
      </c>
      <c r="AY158" s="39">
        <v>7.111216534329054E-2</v>
      </c>
      <c r="AZ158" s="39" t="s">
        <v>152</v>
      </c>
      <c r="BA158" s="39" t="s">
        <v>152</v>
      </c>
      <c r="BB158" s="39" t="s">
        <v>152</v>
      </c>
      <c r="BC158" s="39" t="s">
        <v>152</v>
      </c>
      <c r="BD158" s="39" t="s">
        <v>152</v>
      </c>
      <c r="BE158" s="39" t="s">
        <v>152</v>
      </c>
      <c r="BF158" s="39" t="s">
        <v>152</v>
      </c>
      <c r="BG158" s="39" t="s">
        <v>152</v>
      </c>
      <c r="BH158" s="39">
        <v>0</v>
      </c>
      <c r="BI158" s="39">
        <v>0</v>
      </c>
      <c r="BJ158" s="39">
        <v>0</v>
      </c>
      <c r="BK158" s="39">
        <v>0</v>
      </c>
      <c r="BL158" s="40">
        <v>0</v>
      </c>
      <c r="BM158" s="40">
        <v>0</v>
      </c>
    </row>
    <row r="159" spans="1:65" x14ac:dyDescent="0.35">
      <c r="A159" s="39">
        <v>158</v>
      </c>
      <c r="B159" s="32" t="s">
        <v>389</v>
      </c>
      <c r="C159" s="32" t="s">
        <v>94</v>
      </c>
      <c r="D159" s="32" t="s">
        <v>4</v>
      </c>
      <c r="E159" s="32" t="s">
        <v>5</v>
      </c>
      <c r="F159" s="39">
        <v>1</v>
      </c>
      <c r="G159" s="39">
        <v>0</v>
      </c>
      <c r="H159" s="39">
        <v>1</v>
      </c>
      <c r="I159" s="39">
        <v>2015</v>
      </c>
      <c r="J159" s="39">
        <v>0</v>
      </c>
      <c r="K159" s="39" t="s">
        <v>152</v>
      </c>
      <c r="L159" s="39">
        <v>249696854574.19949</v>
      </c>
      <c r="M159" s="39">
        <v>1</v>
      </c>
      <c r="N159" s="39">
        <v>1300000000</v>
      </c>
      <c r="O159" s="39">
        <v>2</v>
      </c>
      <c r="P159" s="39">
        <v>810000000</v>
      </c>
      <c r="Q159" s="39">
        <v>3</v>
      </c>
      <c r="R159" s="19">
        <v>2110000000</v>
      </c>
      <c r="S159" s="39">
        <v>5.2063130799819271E-3</v>
      </c>
      <c r="T159" s="39">
        <v>3.2439335344502779E-3</v>
      </c>
      <c r="U159" s="39">
        <v>8.4502466144322046E-3</v>
      </c>
      <c r="V159" s="39">
        <v>9.6824888465176558E-4</v>
      </c>
      <c r="W159" s="39">
        <v>1.0186885328369846E-3</v>
      </c>
      <c r="X159" s="39">
        <v>9.8467913926909736E-4</v>
      </c>
      <c r="Y159" s="39">
        <v>124117647.05882353</v>
      </c>
      <c r="Z159" s="39">
        <v>4.9707333026071797E-4</v>
      </c>
      <c r="AA159" s="39">
        <v>2</v>
      </c>
      <c r="AB159" s="39">
        <v>0</v>
      </c>
      <c r="AC159" s="39">
        <v>0</v>
      </c>
      <c r="AD159" s="39">
        <v>0</v>
      </c>
      <c r="AE159" s="39">
        <v>0</v>
      </c>
      <c r="AF159" s="39">
        <v>0</v>
      </c>
      <c r="AG159" s="39">
        <v>0</v>
      </c>
      <c r="AH159" s="39">
        <v>0</v>
      </c>
      <c r="AI159" s="39">
        <v>0</v>
      </c>
      <c r="AJ159" s="39">
        <v>0</v>
      </c>
      <c r="AK159" s="39">
        <v>0</v>
      </c>
      <c r="AL159" s="19">
        <v>5094577000</v>
      </c>
      <c r="AM159" s="19">
        <v>849940000</v>
      </c>
      <c r="AN159" s="39">
        <v>-4244637000</v>
      </c>
      <c r="AO159" s="39">
        <v>5944517000</v>
      </c>
      <c r="AP159" s="39">
        <v>96644319000</v>
      </c>
      <c r="AQ159" s="39">
        <v>77298748000</v>
      </c>
      <c r="AR159" s="39">
        <v>-19345571000</v>
      </c>
      <c r="AS159" s="39">
        <v>173943067000</v>
      </c>
      <c r="AT159" s="39">
        <v>5.2714707421136674E-2</v>
      </c>
      <c r="AU159" s="39">
        <v>1.0995520910636224E-2</v>
      </c>
      <c r="AV159" s="39">
        <v>3.867985455004283E-2</v>
      </c>
      <c r="AW159" s="39">
        <v>3.7361337138577068E-2</v>
      </c>
      <c r="AX159" s="39">
        <v>3.417507292774135E-2</v>
      </c>
      <c r="AY159" s="39">
        <v>2.3806935854826867E-2</v>
      </c>
      <c r="AZ159" s="39">
        <v>28</v>
      </c>
      <c r="BA159" s="39">
        <v>3053090379.3344493</v>
      </c>
      <c r="BB159" s="39">
        <v>0</v>
      </c>
      <c r="BC159" s="39">
        <v>0</v>
      </c>
      <c r="BD159" s="39">
        <v>28</v>
      </c>
      <c r="BE159" s="39">
        <v>3053090379.3344493</v>
      </c>
      <c r="BF159" s="39">
        <v>0</v>
      </c>
      <c r="BG159" s="39">
        <v>0</v>
      </c>
      <c r="BH159" s="39">
        <v>1.2227187981766098E-2</v>
      </c>
      <c r="BI159" s="39">
        <v>0</v>
      </c>
      <c r="BJ159" s="39">
        <v>1.2227187981766098E-2</v>
      </c>
      <c r="BK159" s="39">
        <v>0</v>
      </c>
      <c r="BL159" s="40">
        <v>179593551.72555584</v>
      </c>
      <c r="BM159" s="40">
        <v>7.1924635186859404E-4</v>
      </c>
    </row>
    <row r="160" spans="1:65" x14ac:dyDescent="0.35">
      <c r="A160" s="39">
        <v>159</v>
      </c>
      <c r="B160" s="32" t="s">
        <v>390</v>
      </c>
      <c r="C160" s="32" t="s">
        <v>138</v>
      </c>
      <c r="D160" s="32" t="s">
        <v>4</v>
      </c>
      <c r="E160" s="32" t="s">
        <v>5</v>
      </c>
      <c r="F160" s="39">
        <v>4</v>
      </c>
      <c r="G160" s="39">
        <v>0</v>
      </c>
      <c r="H160" s="39">
        <v>1</v>
      </c>
      <c r="I160" s="39" t="s">
        <v>152</v>
      </c>
      <c r="J160" s="39">
        <v>0</v>
      </c>
      <c r="K160" s="39" t="s">
        <v>152</v>
      </c>
      <c r="L160" s="39">
        <v>1687448525466.6135</v>
      </c>
      <c r="M160" s="39">
        <v>32</v>
      </c>
      <c r="N160" s="39">
        <v>20910000000</v>
      </c>
      <c r="O160" s="39">
        <v>51</v>
      </c>
      <c r="P160" s="39">
        <v>37190000000</v>
      </c>
      <c r="Q160" s="39">
        <v>83</v>
      </c>
      <c r="R160" s="19">
        <v>58100000000</v>
      </c>
      <c r="S160" s="39">
        <v>1.239148909399649E-2</v>
      </c>
      <c r="T160" s="39">
        <v>2.2039190789370132E-2</v>
      </c>
      <c r="U160" s="39">
        <v>3.4430679883366622E-2</v>
      </c>
      <c r="V160" s="39">
        <v>1.5573910906206476E-2</v>
      </c>
      <c r="W160" s="39">
        <v>4.6771637699021554E-2</v>
      </c>
      <c r="X160" s="39">
        <v>2.7113676773239129E-2</v>
      </c>
      <c r="Y160" s="39">
        <v>3417647058.8235292</v>
      </c>
      <c r="Z160" s="39">
        <v>2.0253341107862718E-3</v>
      </c>
      <c r="AA160" s="39">
        <v>1</v>
      </c>
      <c r="AB160" s="39">
        <v>2</v>
      </c>
      <c r="AC160" s="39">
        <v>800000000</v>
      </c>
      <c r="AD160" s="39">
        <v>1</v>
      </c>
      <c r="AE160" s="39">
        <v>300000000</v>
      </c>
      <c r="AF160" s="39">
        <v>0</v>
      </c>
      <c r="AG160" s="39">
        <v>0</v>
      </c>
      <c r="AH160" s="39">
        <v>3</v>
      </c>
      <c r="AI160" s="39">
        <v>1100000000</v>
      </c>
      <c r="AJ160" s="39">
        <v>6.5187173617389479E-4</v>
      </c>
      <c r="AK160" s="39">
        <v>2.7596428821409211E-2</v>
      </c>
      <c r="AL160" s="19">
        <v>54126998000</v>
      </c>
      <c r="AM160" s="19">
        <v>56791577000</v>
      </c>
      <c r="AN160" s="39">
        <v>2664579000</v>
      </c>
      <c r="AO160" s="39">
        <v>110918575000</v>
      </c>
      <c r="AP160" s="39">
        <v>243780553000</v>
      </c>
      <c r="AQ160" s="39">
        <v>422777167000</v>
      </c>
      <c r="AR160" s="39">
        <v>178996614000</v>
      </c>
      <c r="AS160" s="39">
        <v>666557720000</v>
      </c>
      <c r="AT160" s="39">
        <v>0.22203164827507796</v>
      </c>
      <c r="AU160" s="39">
        <v>0.13432981114611614</v>
      </c>
      <c r="AV160" s="39">
        <v>9.7568035345864529E-2</v>
      </c>
      <c r="AW160" s="39">
        <v>0.20434380477649519</v>
      </c>
      <c r="AX160" s="39">
        <v>0.16640505641431924</v>
      </c>
      <c r="AY160" s="39">
        <v>6.5731530962894871E-2</v>
      </c>
      <c r="AZ160" s="39">
        <v>146</v>
      </c>
      <c r="BA160" s="39">
        <v>182518866954.12195</v>
      </c>
      <c r="BB160" s="39">
        <v>0</v>
      </c>
      <c r="BC160" s="39">
        <v>0</v>
      </c>
      <c r="BD160" s="39">
        <v>146</v>
      </c>
      <c r="BE160" s="39">
        <v>182518866954.12195</v>
      </c>
      <c r="BF160" s="39">
        <v>0</v>
      </c>
      <c r="BG160" s="39">
        <v>0</v>
      </c>
      <c r="BH160" s="39">
        <v>0.10816262789625053</v>
      </c>
      <c r="BI160" s="39">
        <v>0</v>
      </c>
      <c r="BJ160" s="39">
        <v>0.10816262789625053</v>
      </c>
      <c r="BK160" s="39">
        <v>0</v>
      </c>
      <c r="BL160" s="40">
        <v>10736403938.477762</v>
      </c>
      <c r="BM160" s="40">
        <v>6.3625075233088545E-3</v>
      </c>
    </row>
    <row r="161" spans="1:65" x14ac:dyDescent="0.35">
      <c r="A161" s="39">
        <v>160</v>
      </c>
      <c r="B161" s="32" t="s">
        <v>391</v>
      </c>
      <c r="C161" s="32" t="s">
        <v>95</v>
      </c>
      <c r="D161" s="32" t="s">
        <v>9</v>
      </c>
      <c r="E161" s="32" t="s">
        <v>2</v>
      </c>
      <c r="F161" s="39">
        <v>0</v>
      </c>
      <c r="G161" s="39">
        <v>0</v>
      </c>
      <c r="H161" s="39">
        <v>1</v>
      </c>
      <c r="I161" s="39">
        <v>2018</v>
      </c>
      <c r="J161" s="39">
        <v>0</v>
      </c>
      <c r="K161" s="39" t="s">
        <v>152</v>
      </c>
      <c r="L161" s="39">
        <v>10355974217.373478</v>
      </c>
      <c r="M161" s="39">
        <v>1</v>
      </c>
      <c r="N161" s="39">
        <v>120000000</v>
      </c>
      <c r="O161" s="39">
        <v>6</v>
      </c>
      <c r="P161" s="39">
        <v>1050000000</v>
      </c>
      <c r="Q161" s="39">
        <v>7</v>
      </c>
      <c r="R161" s="19">
        <v>1170000000</v>
      </c>
      <c r="S161" s="39">
        <v>1.1587514364286903E-2</v>
      </c>
      <c r="T161" s="39">
        <v>0.10139075068751041</v>
      </c>
      <c r="U161" s="39">
        <v>0.11297826505179731</v>
      </c>
      <c r="V161" s="39">
        <v>8.9376820121701432E-5</v>
      </c>
      <c r="W161" s="39">
        <v>1.3205221721960913E-3</v>
      </c>
      <c r="X161" s="39">
        <v>5.4600691608760381E-4</v>
      </c>
      <c r="Y161" s="39">
        <v>68823529.411764711</v>
      </c>
      <c r="Z161" s="39">
        <v>6.6457802971645477E-3</v>
      </c>
      <c r="AA161" s="39">
        <v>2</v>
      </c>
      <c r="AB161" s="39">
        <v>1</v>
      </c>
      <c r="AC161" s="39">
        <v>100000000</v>
      </c>
      <c r="AD161" s="39">
        <v>1</v>
      </c>
      <c r="AE161" s="39">
        <v>100000000</v>
      </c>
      <c r="AF161" s="39">
        <v>0</v>
      </c>
      <c r="AG161" s="39">
        <v>0</v>
      </c>
      <c r="AH161" s="39">
        <v>2</v>
      </c>
      <c r="AI161" s="39">
        <v>200000000</v>
      </c>
      <c r="AJ161" s="39">
        <v>1.9312523940478173E-2</v>
      </c>
      <c r="AK161" s="39">
        <v>5.0175325129834924E-3</v>
      </c>
      <c r="AL161" s="19">
        <v>635332</v>
      </c>
      <c r="AM161" s="19">
        <v>6583</v>
      </c>
      <c r="AN161" s="39">
        <v>-628749</v>
      </c>
      <c r="AO161" s="39">
        <v>641915</v>
      </c>
      <c r="AP161" s="39">
        <v>3195163000</v>
      </c>
      <c r="AQ161" s="39">
        <v>1161751000</v>
      </c>
      <c r="AR161" s="39">
        <v>-2033412000</v>
      </c>
      <c r="AS161" s="39">
        <v>4356914000</v>
      </c>
      <c r="AT161" s="39">
        <v>1.9884181182618852E-4</v>
      </c>
      <c r="AU161" s="39">
        <v>5.6664465965598478E-6</v>
      </c>
      <c r="AV161" s="39">
        <v>1.2787967402789449E-3</v>
      </c>
      <c r="AW161" s="39">
        <v>5.6151712550478895E-4</v>
      </c>
      <c r="AX161" s="39">
        <v>1.4733249267715636E-4</v>
      </c>
      <c r="AY161" s="39">
        <v>6.1984994026260224E-5</v>
      </c>
      <c r="AZ161" s="39">
        <v>104</v>
      </c>
      <c r="BA161" s="39">
        <v>838191857.3194195</v>
      </c>
      <c r="BB161" s="39">
        <v>97</v>
      </c>
      <c r="BC161" s="39">
        <v>811643265.86835873</v>
      </c>
      <c r="BD161" s="39">
        <v>5</v>
      </c>
      <c r="BE161" s="39">
        <v>145250.687988369</v>
      </c>
      <c r="BF161" s="39">
        <v>2</v>
      </c>
      <c r="BG161" s="39">
        <v>26403340.763072379</v>
      </c>
      <c r="BH161" s="39">
        <v>8.0938001555975775E-2</v>
      </c>
      <c r="BI161" s="39">
        <v>7.8374400016052836E-2</v>
      </c>
      <c r="BJ161" s="39">
        <v>1.4025786945731509E-5</v>
      </c>
      <c r="BK161" s="39">
        <v>2.5495757529771929E-3</v>
      </c>
      <c r="BL161" s="40">
        <v>49305403.371730559</v>
      </c>
      <c r="BM161" s="40">
        <v>4.7610589150573982E-3</v>
      </c>
    </row>
    <row r="162" spans="1:65" x14ac:dyDescent="0.35">
      <c r="A162" s="39">
        <v>161</v>
      </c>
      <c r="B162" s="32" t="s">
        <v>392</v>
      </c>
      <c r="C162" s="32" t="s">
        <v>204</v>
      </c>
      <c r="D162" s="32" t="s">
        <v>12</v>
      </c>
      <c r="E162" s="32" t="s">
        <v>13</v>
      </c>
      <c r="F162" s="39">
        <v>0</v>
      </c>
      <c r="G162" s="39">
        <v>0</v>
      </c>
      <c r="H162" s="39">
        <v>0</v>
      </c>
      <c r="I162" s="39" t="s">
        <v>152</v>
      </c>
      <c r="J162" s="39">
        <v>2</v>
      </c>
      <c r="K162" s="39" t="s">
        <v>152</v>
      </c>
      <c r="L162" s="39">
        <v>1044711111.111111</v>
      </c>
      <c r="M162" s="39">
        <v>0</v>
      </c>
      <c r="N162" s="39">
        <v>0</v>
      </c>
      <c r="O162" s="39">
        <v>0</v>
      </c>
      <c r="P162" s="39">
        <v>0</v>
      </c>
      <c r="Q162" s="39">
        <v>0</v>
      </c>
      <c r="R162" s="19">
        <v>0</v>
      </c>
      <c r="S162" s="39">
        <v>0</v>
      </c>
      <c r="T162" s="39">
        <v>0</v>
      </c>
      <c r="U162" s="39">
        <v>0</v>
      </c>
      <c r="V162" s="39">
        <v>0</v>
      </c>
      <c r="W162" s="39">
        <v>0</v>
      </c>
      <c r="X162" s="39">
        <v>0</v>
      </c>
      <c r="Y162" s="39">
        <v>0</v>
      </c>
      <c r="Z162" s="39">
        <v>0</v>
      </c>
      <c r="AA162" s="39">
        <v>0</v>
      </c>
      <c r="AB162" s="39" t="s">
        <v>152</v>
      </c>
      <c r="AC162" s="39" t="s">
        <v>152</v>
      </c>
      <c r="AD162" s="39" t="s">
        <v>152</v>
      </c>
      <c r="AE162" s="39" t="s">
        <v>152</v>
      </c>
      <c r="AF162" s="39" t="s">
        <v>152</v>
      </c>
      <c r="AG162" s="39" t="s">
        <v>152</v>
      </c>
      <c r="AH162" s="39">
        <v>0</v>
      </c>
      <c r="AI162" s="39" t="s">
        <v>152</v>
      </c>
      <c r="AJ162" s="39" t="s">
        <v>152</v>
      </c>
      <c r="AK162" s="39" t="s">
        <v>152</v>
      </c>
      <c r="AL162" s="19">
        <v>9707000</v>
      </c>
      <c r="AM162" s="19">
        <v>363000</v>
      </c>
      <c r="AN162" s="39">
        <v>-9344000</v>
      </c>
      <c r="AO162" s="39">
        <v>10070000</v>
      </c>
      <c r="AP162" s="39">
        <v>335410000</v>
      </c>
      <c r="AQ162" s="39">
        <v>78935000</v>
      </c>
      <c r="AR162" s="39">
        <v>-256475000</v>
      </c>
      <c r="AS162" s="39">
        <v>414345000</v>
      </c>
      <c r="AT162" s="39">
        <v>2.8940699442473392E-2</v>
      </c>
      <c r="AU162" s="39">
        <v>4.5987204662063727E-3</v>
      </c>
      <c r="AV162" s="39">
        <v>1.342407929288618E-4</v>
      </c>
      <c r="AW162" s="39">
        <v>3.8152198105894038E-5</v>
      </c>
      <c r="AX162" s="39">
        <v>2.4303418648710617E-2</v>
      </c>
      <c r="AY162" s="39">
        <v>9.6390283331915256E-3</v>
      </c>
      <c r="AZ162" s="39">
        <v>0</v>
      </c>
      <c r="BA162" s="39" t="s">
        <v>152</v>
      </c>
      <c r="BB162" s="39" t="s">
        <v>152</v>
      </c>
      <c r="BC162" s="39" t="s">
        <v>152</v>
      </c>
      <c r="BD162" s="39" t="s">
        <v>152</v>
      </c>
      <c r="BE162" s="39" t="s">
        <v>152</v>
      </c>
      <c r="BF162" s="39" t="s">
        <v>152</v>
      </c>
      <c r="BG162" s="39" t="s">
        <v>152</v>
      </c>
      <c r="BH162" s="39">
        <v>0</v>
      </c>
      <c r="BI162" s="39">
        <v>0</v>
      </c>
      <c r="BJ162" s="39">
        <v>0</v>
      </c>
      <c r="BK162" s="39">
        <v>0</v>
      </c>
      <c r="BL162" s="40">
        <v>0</v>
      </c>
      <c r="BM162" s="40">
        <v>0</v>
      </c>
    </row>
    <row r="163" spans="1:65" x14ac:dyDescent="0.35">
      <c r="A163" s="39">
        <v>162</v>
      </c>
      <c r="B163" s="32" t="s">
        <v>393</v>
      </c>
      <c r="C163" s="32" t="s">
        <v>205</v>
      </c>
      <c r="D163" s="32" t="s">
        <v>12</v>
      </c>
      <c r="E163" s="32" t="s">
        <v>5</v>
      </c>
      <c r="F163" s="39">
        <v>0</v>
      </c>
      <c r="G163" s="39">
        <v>0</v>
      </c>
      <c r="H163" s="39">
        <v>0</v>
      </c>
      <c r="I163" s="39" t="s">
        <v>152</v>
      </c>
      <c r="J163" s="39">
        <v>2</v>
      </c>
      <c r="K163" s="39" t="s">
        <v>152</v>
      </c>
      <c r="L163" s="39">
        <v>2122450629.6296294</v>
      </c>
      <c r="M163" s="39">
        <v>0</v>
      </c>
      <c r="N163" s="39">
        <v>0</v>
      </c>
      <c r="O163" s="39">
        <v>0</v>
      </c>
      <c r="P163" s="39">
        <v>0</v>
      </c>
      <c r="Q163" s="39">
        <v>0</v>
      </c>
      <c r="R163" s="19">
        <v>0</v>
      </c>
      <c r="S163" s="39">
        <v>0</v>
      </c>
      <c r="T163" s="39">
        <v>0</v>
      </c>
      <c r="U163" s="39">
        <v>0</v>
      </c>
      <c r="V163" s="39">
        <v>0</v>
      </c>
      <c r="W163" s="39">
        <v>0</v>
      </c>
      <c r="X163" s="39">
        <v>0</v>
      </c>
      <c r="Y163" s="39">
        <v>0</v>
      </c>
      <c r="Z163" s="39">
        <v>0</v>
      </c>
      <c r="AA163" s="39">
        <v>0</v>
      </c>
      <c r="AB163" s="39" t="s">
        <v>152</v>
      </c>
      <c r="AC163" s="39" t="s">
        <v>152</v>
      </c>
      <c r="AD163" s="39" t="s">
        <v>152</v>
      </c>
      <c r="AE163" s="39" t="s">
        <v>152</v>
      </c>
      <c r="AF163" s="39" t="s">
        <v>152</v>
      </c>
      <c r="AG163" s="39" t="s">
        <v>152</v>
      </c>
      <c r="AH163" s="39">
        <v>0</v>
      </c>
      <c r="AI163" s="39" t="s">
        <v>152</v>
      </c>
      <c r="AJ163" s="39" t="s">
        <v>152</v>
      </c>
      <c r="AK163" s="39" t="s">
        <v>152</v>
      </c>
      <c r="AL163" s="19">
        <v>33795</v>
      </c>
      <c r="AM163" s="19">
        <v>144</v>
      </c>
      <c r="AN163" s="39">
        <v>-33651</v>
      </c>
      <c r="AO163" s="39">
        <v>33939</v>
      </c>
      <c r="AP163" s="39">
        <v>623793000</v>
      </c>
      <c r="AQ163" s="39">
        <v>97256000</v>
      </c>
      <c r="AR163" s="39">
        <v>-526537000</v>
      </c>
      <c r="AS163" s="39">
        <v>721049000</v>
      </c>
      <c r="AT163" s="39">
        <v>5.4176625899937962E-5</v>
      </c>
      <c r="AU163" s="39">
        <v>1.4806284445175618E-6</v>
      </c>
      <c r="AV163" s="39">
        <v>2.4966001891259503E-4</v>
      </c>
      <c r="AW163" s="39">
        <v>4.7007413428603681E-5</v>
      </c>
      <c r="AX163" s="39">
        <v>4.7068923193846745E-5</v>
      </c>
      <c r="AY163" s="39">
        <v>1.5990477953271593E-5</v>
      </c>
      <c r="AZ163" s="39">
        <v>15</v>
      </c>
      <c r="BA163" s="39">
        <v>71734350.612044483</v>
      </c>
      <c r="BB163" s="39">
        <v>13</v>
      </c>
      <c r="BC163" s="39">
        <v>71732153.988873303</v>
      </c>
      <c r="BD163" s="39">
        <v>2</v>
      </c>
      <c r="BE163" s="39">
        <v>2196.6231711774899</v>
      </c>
      <c r="BF163" s="39">
        <v>0</v>
      </c>
      <c r="BG163" s="39">
        <v>0</v>
      </c>
      <c r="BH163" s="39">
        <v>3.3797888917002618E-2</v>
      </c>
      <c r="BI163" s="39">
        <v>3.3796853970351558E-2</v>
      </c>
      <c r="BJ163" s="39">
        <v>1.0349466510609971E-6</v>
      </c>
      <c r="BK163" s="39">
        <v>0</v>
      </c>
      <c r="BL163" s="40">
        <v>4219667.6830614405</v>
      </c>
      <c r="BM163" s="40">
        <v>1.9881111127648603E-3</v>
      </c>
    </row>
    <row r="164" spans="1:65" x14ac:dyDescent="0.35">
      <c r="A164" s="39">
        <v>163</v>
      </c>
      <c r="B164" s="32" t="s">
        <v>394</v>
      </c>
      <c r="C164" s="32" t="s">
        <v>206</v>
      </c>
      <c r="D164" s="32" t="s">
        <v>12</v>
      </c>
      <c r="E164" s="32" t="s">
        <v>5</v>
      </c>
      <c r="F164" s="39">
        <v>0</v>
      </c>
      <c r="G164" s="39">
        <v>0</v>
      </c>
      <c r="H164" s="39">
        <v>0</v>
      </c>
      <c r="I164" s="39" t="s">
        <v>152</v>
      </c>
      <c r="J164" s="39">
        <v>2</v>
      </c>
      <c r="K164" s="39" t="s">
        <v>152</v>
      </c>
      <c r="L164" s="39">
        <v>824718518.51851845</v>
      </c>
      <c r="M164" s="39">
        <v>0</v>
      </c>
      <c r="N164" s="39">
        <v>0</v>
      </c>
      <c r="O164" s="39">
        <v>0</v>
      </c>
      <c r="P164" s="39">
        <v>0</v>
      </c>
      <c r="Q164" s="39">
        <v>0</v>
      </c>
      <c r="R164" s="19">
        <v>0</v>
      </c>
      <c r="S164" s="39">
        <v>0</v>
      </c>
      <c r="T164" s="39">
        <v>0</v>
      </c>
      <c r="U164" s="39">
        <v>0</v>
      </c>
      <c r="V164" s="39">
        <v>0</v>
      </c>
      <c r="W164" s="39">
        <v>0</v>
      </c>
      <c r="X164" s="39">
        <v>0</v>
      </c>
      <c r="Y164" s="39">
        <v>0</v>
      </c>
      <c r="Z164" s="39">
        <v>0</v>
      </c>
      <c r="AA164" s="39">
        <v>0</v>
      </c>
      <c r="AB164" s="39" t="s">
        <v>152</v>
      </c>
      <c r="AC164" s="39" t="s">
        <v>152</v>
      </c>
      <c r="AD164" s="39" t="s">
        <v>152</v>
      </c>
      <c r="AE164" s="39" t="s">
        <v>152</v>
      </c>
      <c r="AF164" s="39" t="s">
        <v>152</v>
      </c>
      <c r="AG164" s="39" t="s">
        <v>152</v>
      </c>
      <c r="AH164" s="39">
        <v>0</v>
      </c>
      <c r="AI164" s="39" t="s">
        <v>152</v>
      </c>
      <c r="AJ164" s="39" t="s">
        <v>152</v>
      </c>
      <c r="AK164" s="39" t="s">
        <v>152</v>
      </c>
      <c r="AL164" s="19">
        <v>21046000</v>
      </c>
      <c r="AM164" s="19">
        <v>2000</v>
      </c>
      <c r="AN164" s="39">
        <v>-21044000</v>
      </c>
      <c r="AO164" s="39">
        <v>21048000</v>
      </c>
      <c r="AP164" s="39">
        <v>335082000</v>
      </c>
      <c r="AQ164" s="39">
        <v>40335000</v>
      </c>
      <c r="AR164" s="39">
        <v>-294747000</v>
      </c>
      <c r="AS164" s="39">
        <v>375417000</v>
      </c>
      <c r="AT164" s="39">
        <v>6.280850657451012E-2</v>
      </c>
      <c r="AU164" s="39">
        <v>4.9584727903805629E-5</v>
      </c>
      <c r="AV164" s="39">
        <v>1.341095178324703E-4</v>
      </c>
      <c r="AW164" s="39">
        <v>1.9495393812646307E-5</v>
      </c>
      <c r="AX164" s="39">
        <v>5.6065654991649283E-2</v>
      </c>
      <c r="AY164" s="39">
        <v>2.5521434922801945E-2</v>
      </c>
      <c r="AZ164" s="39">
        <v>0</v>
      </c>
      <c r="BA164" s="39" t="s">
        <v>152</v>
      </c>
      <c r="BB164" s="39" t="s">
        <v>152</v>
      </c>
      <c r="BC164" s="39" t="s">
        <v>152</v>
      </c>
      <c r="BD164" s="39" t="s">
        <v>152</v>
      </c>
      <c r="BE164" s="39" t="s">
        <v>152</v>
      </c>
      <c r="BF164" s="39" t="s">
        <v>152</v>
      </c>
      <c r="BG164" s="39" t="s">
        <v>152</v>
      </c>
      <c r="BH164" s="39">
        <v>0</v>
      </c>
      <c r="BI164" s="39">
        <v>0</v>
      </c>
      <c r="BJ164" s="39">
        <v>0</v>
      </c>
      <c r="BK164" s="39">
        <v>0</v>
      </c>
      <c r="BL164" s="40">
        <v>0</v>
      </c>
      <c r="BM164" s="40">
        <v>0</v>
      </c>
    </row>
    <row r="165" spans="1:65" x14ac:dyDescent="0.35">
      <c r="A165" s="39">
        <v>164</v>
      </c>
      <c r="B165" s="32" t="s">
        <v>395</v>
      </c>
      <c r="C165" s="32" t="s">
        <v>96</v>
      </c>
      <c r="D165" s="32" t="s">
        <v>23</v>
      </c>
      <c r="E165" s="32" t="s">
        <v>10</v>
      </c>
      <c r="F165" s="39">
        <v>0</v>
      </c>
      <c r="G165" s="39">
        <v>0</v>
      </c>
      <c r="H165" s="39">
        <v>1</v>
      </c>
      <c r="I165" s="39">
        <v>2018</v>
      </c>
      <c r="J165" s="39">
        <v>0</v>
      </c>
      <c r="K165" s="39" t="s">
        <v>152</v>
      </c>
      <c r="L165" s="39">
        <v>852250190.9854852</v>
      </c>
      <c r="M165" s="39">
        <v>0</v>
      </c>
      <c r="N165" s="39">
        <v>0</v>
      </c>
      <c r="O165" s="39">
        <v>1</v>
      </c>
      <c r="P165" s="39">
        <v>110000000</v>
      </c>
      <c r="Q165" s="39">
        <v>1</v>
      </c>
      <c r="R165" s="19">
        <v>110000000</v>
      </c>
      <c r="S165" s="39">
        <v>0</v>
      </c>
      <c r="T165" s="39">
        <v>0.12907007961218916</v>
      </c>
      <c r="U165" s="39">
        <v>0.12907007961218916</v>
      </c>
      <c r="V165" s="39">
        <v>0</v>
      </c>
      <c r="W165" s="39">
        <v>1.383404180395905E-4</v>
      </c>
      <c r="X165" s="39">
        <v>5.1333983563791811E-5</v>
      </c>
      <c r="Y165" s="39">
        <v>6470588.2352941176</v>
      </c>
      <c r="Z165" s="39">
        <v>7.592357624246422E-3</v>
      </c>
      <c r="AA165" s="39">
        <v>1</v>
      </c>
      <c r="AB165" s="39">
        <v>0</v>
      </c>
      <c r="AC165" s="39">
        <v>0</v>
      </c>
      <c r="AD165" s="39">
        <v>0</v>
      </c>
      <c r="AE165" s="39">
        <v>0</v>
      </c>
      <c r="AF165" s="39">
        <v>0</v>
      </c>
      <c r="AG165" s="39">
        <v>0</v>
      </c>
      <c r="AH165" s="39">
        <v>0</v>
      </c>
      <c r="AI165" s="39">
        <v>0</v>
      </c>
      <c r="AJ165" s="39">
        <v>0</v>
      </c>
      <c r="AK165" s="39">
        <v>0</v>
      </c>
      <c r="AL165" s="19">
        <v>47731000</v>
      </c>
      <c r="AM165" s="19">
        <v>670000</v>
      </c>
      <c r="AN165" s="39">
        <v>-47061000</v>
      </c>
      <c r="AO165" s="39">
        <v>48401000</v>
      </c>
      <c r="AP165" s="39">
        <v>391086000</v>
      </c>
      <c r="AQ165" s="39">
        <v>49335000</v>
      </c>
      <c r="AR165" s="39">
        <v>-341751000</v>
      </c>
      <c r="AS165" s="39">
        <v>440421000</v>
      </c>
      <c r="AT165" s="39">
        <v>0.12204732462936541</v>
      </c>
      <c r="AU165" s="39">
        <v>1.358062227627445E-2</v>
      </c>
      <c r="AV165" s="39">
        <v>1.565239400834109E-4</v>
      </c>
      <c r="AW165" s="39">
        <v>2.3845425901745521E-5</v>
      </c>
      <c r="AX165" s="39">
        <v>0.1098971211636139</v>
      </c>
      <c r="AY165" s="39">
        <v>5.6792008393723344E-2</v>
      </c>
      <c r="AZ165" s="39">
        <v>123</v>
      </c>
      <c r="BA165" s="39">
        <v>478225047.55540532</v>
      </c>
      <c r="BB165" s="39">
        <v>117</v>
      </c>
      <c r="BC165" s="39">
        <v>478225047.55540532</v>
      </c>
      <c r="BD165" s="39">
        <v>6</v>
      </c>
      <c r="BE165" s="39">
        <v>0</v>
      </c>
      <c r="BF165" s="39">
        <v>0</v>
      </c>
      <c r="BG165" s="39">
        <v>0</v>
      </c>
      <c r="BH165" s="39">
        <v>0.56113222691381015</v>
      </c>
      <c r="BI165" s="39">
        <v>0.56113222691381015</v>
      </c>
      <c r="BJ165" s="39">
        <v>0</v>
      </c>
      <c r="BK165" s="39">
        <v>0</v>
      </c>
      <c r="BL165" s="40">
        <v>28130885.150317959</v>
      </c>
      <c r="BM165" s="40">
        <v>3.3007778053753538E-2</v>
      </c>
    </row>
    <row r="166" spans="1:65" x14ac:dyDescent="0.35">
      <c r="A166" s="39">
        <v>165</v>
      </c>
      <c r="B166" s="32" t="s">
        <v>469</v>
      </c>
      <c r="C166" s="32" t="s">
        <v>470</v>
      </c>
      <c r="D166" s="32" t="s">
        <v>4</v>
      </c>
      <c r="E166" s="32" t="s">
        <v>13</v>
      </c>
      <c r="F166" s="39">
        <v>0</v>
      </c>
      <c r="G166" s="39">
        <v>0</v>
      </c>
      <c r="H166" s="39">
        <v>0</v>
      </c>
      <c r="I166" s="39" t="s">
        <v>152</v>
      </c>
      <c r="J166" s="39">
        <v>0</v>
      </c>
      <c r="K166" s="39" t="s">
        <v>152</v>
      </c>
      <c r="L166" s="39">
        <v>1616369645.9963503</v>
      </c>
      <c r="M166" s="39">
        <v>0</v>
      </c>
      <c r="N166" s="39">
        <v>0</v>
      </c>
      <c r="O166" s="39">
        <v>0</v>
      </c>
      <c r="P166" s="39">
        <v>0</v>
      </c>
      <c r="Q166" s="39">
        <v>0</v>
      </c>
      <c r="R166" s="19">
        <v>0</v>
      </c>
      <c r="S166" s="39">
        <v>0</v>
      </c>
      <c r="T166" s="39">
        <v>0</v>
      </c>
      <c r="U166" s="39">
        <v>0</v>
      </c>
      <c r="V166" s="39">
        <v>0</v>
      </c>
      <c r="W166" s="39">
        <v>0</v>
      </c>
      <c r="X166" s="39">
        <v>0</v>
      </c>
      <c r="Y166" s="39">
        <v>0</v>
      </c>
      <c r="Z166" s="39">
        <v>0</v>
      </c>
      <c r="AA166" s="39">
        <v>0</v>
      </c>
      <c r="AB166" s="39" t="s">
        <v>152</v>
      </c>
      <c r="AC166" s="39" t="s">
        <v>152</v>
      </c>
      <c r="AD166" s="39" t="s">
        <v>152</v>
      </c>
      <c r="AE166" s="39" t="s">
        <v>152</v>
      </c>
      <c r="AF166" s="39" t="s">
        <v>152</v>
      </c>
      <c r="AG166" s="39" t="s">
        <v>152</v>
      </c>
      <c r="AH166" s="39">
        <v>0</v>
      </c>
      <c r="AI166" s="39" t="s">
        <v>152</v>
      </c>
      <c r="AJ166" s="39" t="s">
        <v>152</v>
      </c>
      <c r="AK166" s="39" t="s">
        <v>152</v>
      </c>
      <c r="AL166" s="19" t="s">
        <v>152</v>
      </c>
      <c r="AM166" s="19" t="s">
        <v>152</v>
      </c>
      <c r="AN166" s="39" t="s">
        <v>152</v>
      </c>
      <c r="AO166" s="39" t="s">
        <v>152</v>
      </c>
      <c r="AP166" s="39" t="s">
        <v>152</v>
      </c>
      <c r="AQ166" s="39" t="s">
        <v>152</v>
      </c>
      <c r="AR166" s="39" t="s">
        <v>152</v>
      </c>
      <c r="AS166" s="39" t="s">
        <v>152</v>
      </c>
      <c r="AT166" s="39" t="s">
        <v>152</v>
      </c>
      <c r="AU166" s="39" t="s">
        <v>152</v>
      </c>
      <c r="AV166" s="39" t="s">
        <v>152</v>
      </c>
      <c r="AW166" s="39" t="s">
        <v>152</v>
      </c>
      <c r="AX166" s="39" t="s">
        <v>152</v>
      </c>
      <c r="AY166" s="39" t="s">
        <v>152</v>
      </c>
      <c r="AZ166" s="39" t="s">
        <v>152</v>
      </c>
      <c r="BA166" s="39" t="s">
        <v>152</v>
      </c>
      <c r="BB166" s="39" t="s">
        <v>152</v>
      </c>
      <c r="BC166" s="39" t="s">
        <v>152</v>
      </c>
      <c r="BD166" s="39" t="s">
        <v>152</v>
      </c>
      <c r="BE166" s="39" t="s">
        <v>152</v>
      </c>
      <c r="BF166" s="39" t="s">
        <v>152</v>
      </c>
      <c r="BG166" s="39" t="s">
        <v>152</v>
      </c>
      <c r="BH166" s="39">
        <v>0</v>
      </c>
      <c r="BI166" s="39">
        <v>0</v>
      </c>
      <c r="BJ166" s="39">
        <v>0</v>
      </c>
      <c r="BK166" s="39">
        <v>0</v>
      </c>
      <c r="BL166" s="40">
        <v>0</v>
      </c>
      <c r="BM166" s="40">
        <v>0</v>
      </c>
    </row>
    <row r="167" spans="1:65" x14ac:dyDescent="0.35">
      <c r="A167" s="39">
        <v>166</v>
      </c>
      <c r="B167" s="32" t="s">
        <v>396</v>
      </c>
      <c r="C167" s="32" t="s">
        <v>207</v>
      </c>
      <c r="D167" s="32" t="s">
        <v>9</v>
      </c>
      <c r="E167" s="32" t="s">
        <v>10</v>
      </c>
      <c r="F167" s="39">
        <v>0</v>
      </c>
      <c r="G167" s="39">
        <v>0</v>
      </c>
      <c r="H167" s="39">
        <v>0</v>
      </c>
      <c r="I167" s="39" t="s">
        <v>152</v>
      </c>
      <c r="J167" s="39">
        <v>1</v>
      </c>
      <c r="K167" s="39">
        <v>2016</v>
      </c>
      <c r="L167" s="39">
        <v>427425039.68433946</v>
      </c>
      <c r="M167" s="39">
        <v>3</v>
      </c>
      <c r="N167" s="39">
        <v>950000000</v>
      </c>
      <c r="O167" s="39">
        <v>0</v>
      </c>
      <c r="P167" s="39">
        <v>0</v>
      </c>
      <c r="Q167" s="39">
        <v>3</v>
      </c>
      <c r="R167" s="19">
        <v>950000000</v>
      </c>
      <c r="S167" s="39">
        <v>2.2226119478203499</v>
      </c>
      <c r="T167" s="39">
        <v>0</v>
      </c>
      <c r="U167" s="39">
        <v>2.2226119478203499</v>
      </c>
      <c r="V167" s="39">
        <v>7.0756649263013641E-4</v>
      </c>
      <c r="W167" s="39">
        <v>0</v>
      </c>
      <c r="X167" s="39">
        <v>4.4333894896002015E-4</v>
      </c>
      <c r="Y167" s="39">
        <v>55882352.941176474</v>
      </c>
      <c r="Z167" s="39">
        <v>0.13074187928354999</v>
      </c>
      <c r="AA167" s="39">
        <v>0</v>
      </c>
      <c r="AB167" s="39" t="s">
        <v>152</v>
      </c>
      <c r="AC167" s="39" t="s">
        <v>152</v>
      </c>
      <c r="AD167" s="39" t="s">
        <v>152</v>
      </c>
      <c r="AE167" s="39" t="s">
        <v>152</v>
      </c>
      <c r="AF167" s="39" t="s">
        <v>152</v>
      </c>
      <c r="AG167" s="39" t="s">
        <v>152</v>
      </c>
      <c r="AH167" s="39">
        <v>0</v>
      </c>
      <c r="AI167" s="39" t="s">
        <v>152</v>
      </c>
      <c r="AJ167" s="39" t="s">
        <v>152</v>
      </c>
      <c r="AK167" s="39" t="s">
        <v>152</v>
      </c>
      <c r="AL167" s="19">
        <v>8980000</v>
      </c>
      <c r="AM167" s="19">
        <v>14000</v>
      </c>
      <c r="AN167" s="39">
        <v>-8966000</v>
      </c>
      <c r="AO167" s="39">
        <v>8994000</v>
      </c>
      <c r="AP167" s="39">
        <v>147896000</v>
      </c>
      <c r="AQ167" s="39">
        <v>9860000</v>
      </c>
      <c r="AR167" s="39">
        <v>-138036000</v>
      </c>
      <c r="AS167" s="39">
        <v>157756000</v>
      </c>
      <c r="AT167" s="39">
        <v>6.071834261913777E-2</v>
      </c>
      <c r="AU167" s="39">
        <v>1.4198782961460446E-3</v>
      </c>
      <c r="AV167" s="39">
        <v>5.9192261146080758E-5</v>
      </c>
      <c r="AW167" s="39">
        <v>4.7657018220575822E-6</v>
      </c>
      <c r="AX167" s="39">
        <v>5.7012094627145717E-2</v>
      </c>
      <c r="AY167" s="39">
        <v>2.1042286167048656E-2</v>
      </c>
      <c r="AZ167" s="39">
        <v>22</v>
      </c>
      <c r="BA167" s="39">
        <v>228583110.16083306</v>
      </c>
      <c r="BB167" s="39">
        <v>18</v>
      </c>
      <c r="BC167" s="39">
        <v>228583110.16083306</v>
      </c>
      <c r="BD167" s="39">
        <v>3</v>
      </c>
      <c r="BE167" s="39">
        <v>0</v>
      </c>
      <c r="BF167" s="39">
        <v>1</v>
      </c>
      <c r="BG167" s="39">
        <v>0</v>
      </c>
      <c r="BH167" s="39">
        <v>0.53479110706673971</v>
      </c>
      <c r="BI167" s="39">
        <v>0.53479110706673971</v>
      </c>
      <c r="BJ167" s="39">
        <v>0</v>
      </c>
      <c r="BK167" s="39">
        <v>0</v>
      </c>
      <c r="BL167" s="40">
        <v>13446065.303578416</v>
      </c>
      <c r="BM167" s="40">
        <v>3.1458300415690574E-2</v>
      </c>
    </row>
    <row r="168" spans="1:65" x14ac:dyDescent="0.35">
      <c r="A168" s="39">
        <v>167</v>
      </c>
      <c r="B168" s="32" t="s">
        <v>397</v>
      </c>
      <c r="C168" s="32" t="s">
        <v>97</v>
      </c>
      <c r="D168" s="32" t="s">
        <v>7</v>
      </c>
      <c r="E168" s="32" t="s">
        <v>13</v>
      </c>
      <c r="F168" s="39">
        <v>0</v>
      </c>
      <c r="G168" s="39">
        <v>0</v>
      </c>
      <c r="H168" s="39">
        <v>1</v>
      </c>
      <c r="I168" s="39">
        <v>2018</v>
      </c>
      <c r="J168" s="39">
        <v>0</v>
      </c>
      <c r="K168" s="39" t="s">
        <v>152</v>
      </c>
      <c r="L168" s="39">
        <v>792966838160</v>
      </c>
      <c r="M168" s="39">
        <v>29</v>
      </c>
      <c r="N168" s="39">
        <v>16650000000</v>
      </c>
      <c r="O168" s="39">
        <v>48</v>
      </c>
      <c r="P168" s="39">
        <v>26150000000</v>
      </c>
      <c r="Q168" s="39">
        <v>77</v>
      </c>
      <c r="R168" s="19">
        <v>42800000000</v>
      </c>
      <c r="S168" s="39">
        <v>2.0997094958768583E-2</v>
      </c>
      <c r="T168" s="39">
        <v>3.2977419409717629E-2</v>
      </c>
      <c r="U168" s="39">
        <v>5.3974514368486208E-2</v>
      </c>
      <c r="V168" s="39">
        <v>1.2401033791886075E-2</v>
      </c>
      <c r="W168" s="39">
        <v>3.2887290288502652E-2</v>
      </c>
      <c r="X168" s="39">
        <v>1.9973586332093538E-2</v>
      </c>
      <c r="Y168" s="39">
        <v>2517647058.8235292</v>
      </c>
      <c r="Z168" s="39">
        <v>3.1749714334403652E-3</v>
      </c>
      <c r="AA168" s="39">
        <v>1</v>
      </c>
      <c r="AB168" s="39">
        <v>0</v>
      </c>
      <c r="AC168" s="39">
        <v>0</v>
      </c>
      <c r="AD168" s="39">
        <v>0</v>
      </c>
      <c r="AE168" s="39">
        <v>0</v>
      </c>
      <c r="AF168" s="39">
        <v>0</v>
      </c>
      <c r="AG168" s="39">
        <v>0</v>
      </c>
      <c r="AH168" s="39">
        <v>0</v>
      </c>
      <c r="AI168" s="39">
        <v>0</v>
      </c>
      <c r="AJ168" s="39">
        <v>0</v>
      </c>
      <c r="AK168" s="39">
        <v>0</v>
      </c>
      <c r="AL168" s="19">
        <v>27066620000</v>
      </c>
      <c r="AM168" s="19">
        <v>9339878000</v>
      </c>
      <c r="AN168" s="39">
        <v>-17726742000</v>
      </c>
      <c r="AO168" s="39">
        <v>36406498000</v>
      </c>
      <c r="AP168" s="39">
        <v>144334893000</v>
      </c>
      <c r="AQ168" s="39">
        <v>251800458000</v>
      </c>
      <c r="AR168" s="39">
        <v>107465565000</v>
      </c>
      <c r="AS168" s="39">
        <v>396135351000</v>
      </c>
      <c r="AT168" s="39">
        <v>0.18752651862221562</v>
      </c>
      <c r="AU168" s="39">
        <v>3.7092378918548274E-2</v>
      </c>
      <c r="AV168" s="39">
        <v>5.7767003022039971E-2</v>
      </c>
      <c r="AW168" s="39">
        <v>0.12170445248331986</v>
      </c>
      <c r="AX168" s="39">
        <v>9.1904188576191981E-2</v>
      </c>
      <c r="AY168" s="39">
        <v>4.5911753490823937E-2</v>
      </c>
      <c r="AZ168" s="39" t="s">
        <v>152</v>
      </c>
      <c r="BA168" s="39" t="s">
        <v>152</v>
      </c>
      <c r="BB168" s="39" t="s">
        <v>152</v>
      </c>
      <c r="BC168" s="39" t="s">
        <v>152</v>
      </c>
      <c r="BD168" s="39" t="s">
        <v>152</v>
      </c>
      <c r="BE168" s="39" t="s">
        <v>152</v>
      </c>
      <c r="BF168" s="39" t="s">
        <v>152</v>
      </c>
      <c r="BG168" s="39" t="s">
        <v>152</v>
      </c>
      <c r="BH168" s="39">
        <v>0</v>
      </c>
      <c r="BI168" s="39">
        <v>0</v>
      </c>
      <c r="BJ168" s="39">
        <v>0</v>
      </c>
      <c r="BK168" s="39">
        <v>0</v>
      </c>
      <c r="BL168" s="40">
        <v>0</v>
      </c>
      <c r="BM168" s="40">
        <v>0</v>
      </c>
    </row>
    <row r="169" spans="1:65" x14ac:dyDescent="0.35">
      <c r="A169" s="39">
        <v>168</v>
      </c>
      <c r="B169" s="32" t="s">
        <v>398</v>
      </c>
      <c r="C169" s="32" t="s">
        <v>98</v>
      </c>
      <c r="D169" s="32" t="s">
        <v>9</v>
      </c>
      <c r="E169" s="32" t="s">
        <v>10</v>
      </c>
      <c r="F169" s="39">
        <v>0</v>
      </c>
      <c r="G169" s="39">
        <v>0</v>
      </c>
      <c r="H169" s="39">
        <v>1</v>
      </c>
      <c r="I169" s="39">
        <v>2018</v>
      </c>
      <c r="J169" s="39">
        <v>1</v>
      </c>
      <c r="K169" s="39">
        <v>2005</v>
      </c>
      <c r="L169" s="39">
        <v>23306213742.360191</v>
      </c>
      <c r="M169" s="39">
        <v>2</v>
      </c>
      <c r="N169" s="39">
        <v>490000000</v>
      </c>
      <c r="O169" s="39">
        <v>6</v>
      </c>
      <c r="P169" s="39">
        <v>4180000000</v>
      </c>
      <c r="Q169" s="39">
        <v>8</v>
      </c>
      <c r="R169" s="19">
        <v>4670000000</v>
      </c>
      <c r="S169" s="39">
        <v>2.1024436033099655E-2</v>
      </c>
      <c r="T169" s="39">
        <v>0.17935131146603381</v>
      </c>
      <c r="U169" s="39">
        <v>0.20037574749913345</v>
      </c>
      <c r="V169" s="39">
        <v>3.6495534883028088E-4</v>
      </c>
      <c r="W169" s="39">
        <v>5.2569358855044396E-3</v>
      </c>
      <c r="X169" s="39">
        <v>2.1793609385718886E-3</v>
      </c>
      <c r="Y169" s="39">
        <v>274705882.35294116</v>
      </c>
      <c r="Z169" s="39">
        <v>1.1786808676419614E-2</v>
      </c>
      <c r="AA169" s="39">
        <v>3</v>
      </c>
      <c r="AB169" s="39">
        <v>0</v>
      </c>
      <c r="AC169" s="39">
        <v>0</v>
      </c>
      <c r="AD169" s="39">
        <v>0</v>
      </c>
      <c r="AE169" s="39">
        <v>0</v>
      </c>
      <c r="AF169" s="39">
        <v>0</v>
      </c>
      <c r="AG169" s="39">
        <v>0</v>
      </c>
      <c r="AH169" s="39">
        <v>0</v>
      </c>
      <c r="AI169" s="39">
        <v>0</v>
      </c>
      <c r="AJ169" s="39">
        <v>0</v>
      </c>
      <c r="AK169" s="39">
        <v>0</v>
      </c>
      <c r="AL169" s="19">
        <v>871078000</v>
      </c>
      <c r="AM169" s="19">
        <v>276314000</v>
      </c>
      <c r="AN169" s="39">
        <v>-594764000</v>
      </c>
      <c r="AO169" s="39">
        <v>1147392000</v>
      </c>
      <c r="AP169" s="39">
        <v>8146866000</v>
      </c>
      <c r="AQ169" s="39">
        <v>4175809000</v>
      </c>
      <c r="AR169" s="39">
        <v>-3971057000</v>
      </c>
      <c r="AS169" s="39">
        <v>12322675000</v>
      </c>
      <c r="AT169" s="39">
        <v>0.10692185191213406</v>
      </c>
      <c r="AU169" s="39">
        <v>6.617017205528318E-2</v>
      </c>
      <c r="AV169" s="39">
        <v>3.2606116446295122E-3</v>
      </c>
      <c r="AW169" s="39">
        <v>2.0183225719943663E-3</v>
      </c>
      <c r="AX169" s="39">
        <v>9.3112250383946674E-2</v>
      </c>
      <c r="AY169" s="39">
        <v>4.9231162671204656E-2</v>
      </c>
      <c r="AZ169" s="39">
        <v>83</v>
      </c>
      <c r="BA169" s="39">
        <v>4271792281.2145119</v>
      </c>
      <c r="BB169" s="39">
        <v>67</v>
      </c>
      <c r="BC169" s="39">
        <v>2574765569.3663158</v>
      </c>
      <c r="BD169" s="39">
        <v>8</v>
      </c>
      <c r="BE169" s="39">
        <v>1365681223.5220661</v>
      </c>
      <c r="BF169" s="39">
        <v>8</v>
      </c>
      <c r="BG169" s="39">
        <v>331345488.32612902</v>
      </c>
      <c r="BH169" s="39">
        <v>0.18328984400629258</v>
      </c>
      <c r="BI169" s="39">
        <v>0.11047549798646841</v>
      </c>
      <c r="BJ169" s="39">
        <v>5.8597301072540721E-2</v>
      </c>
      <c r="BK169" s="39">
        <v>1.4217044947283404E-2</v>
      </c>
      <c r="BL169" s="40">
        <v>251281898.89497128</v>
      </c>
      <c r="BM169" s="40">
        <v>1.0781755529781917E-2</v>
      </c>
    </row>
    <row r="170" spans="1:65" x14ac:dyDescent="0.35">
      <c r="A170" s="39">
        <v>169</v>
      </c>
      <c r="B170" s="32" t="s">
        <v>399</v>
      </c>
      <c r="C170" s="32" t="s">
        <v>99</v>
      </c>
      <c r="D170" s="32" t="s">
        <v>4</v>
      </c>
      <c r="E170" s="32" t="s">
        <v>5</v>
      </c>
      <c r="F170" s="39">
        <v>2</v>
      </c>
      <c r="G170" s="39">
        <v>0</v>
      </c>
      <c r="H170" s="39">
        <v>1</v>
      </c>
      <c r="I170" s="39">
        <v>2015</v>
      </c>
      <c r="J170" s="39">
        <v>0</v>
      </c>
      <c r="K170" s="39" t="s">
        <v>152</v>
      </c>
      <c r="L170" s="39">
        <v>51475016532.129341</v>
      </c>
      <c r="M170" s="39">
        <v>3</v>
      </c>
      <c r="N170" s="39">
        <v>930000000</v>
      </c>
      <c r="O170" s="39">
        <v>24</v>
      </c>
      <c r="P170" s="39">
        <v>9730000000</v>
      </c>
      <c r="Q170" s="39">
        <v>27</v>
      </c>
      <c r="R170" s="19">
        <v>10660000000</v>
      </c>
      <c r="S170" s="39">
        <v>1.8067017024064842E-2</v>
      </c>
      <c r="T170" s="39">
        <v>0.18902373725177518</v>
      </c>
      <c r="U170" s="39">
        <v>0.20709075427584001</v>
      </c>
      <c r="V170" s="39">
        <v>6.9267035594318611E-4</v>
      </c>
      <c r="W170" s="39">
        <v>1.2236838795683779E-2</v>
      </c>
      <c r="X170" s="39">
        <v>4.9747296799092788E-3</v>
      </c>
      <c r="Y170" s="39">
        <v>627058823.52941179</v>
      </c>
      <c r="Z170" s="39">
        <v>1.2181809075049413E-2</v>
      </c>
      <c r="AA170" s="39">
        <v>2</v>
      </c>
      <c r="AB170" s="39">
        <v>0</v>
      </c>
      <c r="AC170" s="39">
        <v>0</v>
      </c>
      <c r="AD170" s="39">
        <v>0</v>
      </c>
      <c r="AE170" s="39">
        <v>0</v>
      </c>
      <c r="AF170" s="39">
        <v>0</v>
      </c>
      <c r="AG170" s="39">
        <v>0</v>
      </c>
      <c r="AH170" s="39">
        <v>0</v>
      </c>
      <c r="AI170" s="39">
        <v>0</v>
      </c>
      <c r="AJ170" s="39">
        <v>0</v>
      </c>
      <c r="AK170" s="39">
        <v>0</v>
      </c>
      <c r="AL170" s="19">
        <v>2506052000</v>
      </c>
      <c r="AM170" s="19">
        <v>318351000</v>
      </c>
      <c r="AN170" s="39">
        <v>-2187701000</v>
      </c>
      <c r="AO170" s="39">
        <v>2824403000</v>
      </c>
      <c r="AP170" s="39">
        <v>26548364000</v>
      </c>
      <c r="AQ170" s="39">
        <v>19557555000</v>
      </c>
      <c r="AR170" s="39">
        <v>-6990809000</v>
      </c>
      <c r="AS170" s="39">
        <v>46105919000</v>
      </c>
      <c r="AT170" s="39">
        <v>9.439572246335029E-2</v>
      </c>
      <c r="AU170" s="39">
        <v>1.6277648202957885E-2</v>
      </c>
      <c r="AV170" s="39">
        <v>1.0625423912000385E-2</v>
      </c>
      <c r="AW170" s="39">
        <v>9.4528879815914176E-3</v>
      </c>
      <c r="AX170" s="39">
        <v>6.1259011017652638E-2</v>
      </c>
      <c r="AY170" s="39">
        <v>5.4869394713784742E-2</v>
      </c>
      <c r="AZ170" s="39">
        <v>66</v>
      </c>
      <c r="BA170" s="39">
        <v>4251444743.7936091</v>
      </c>
      <c r="BB170" s="39">
        <v>38</v>
      </c>
      <c r="BC170" s="39">
        <v>1195786657.3237548</v>
      </c>
      <c r="BD170" s="39">
        <v>24</v>
      </c>
      <c r="BE170" s="39">
        <v>2571020557.8682885</v>
      </c>
      <c r="BF170" s="39">
        <v>4</v>
      </c>
      <c r="BG170" s="39">
        <v>484637528.60156596</v>
      </c>
      <c r="BH170" s="39">
        <v>8.2592392003215193E-2</v>
      </c>
      <c r="BI170" s="39">
        <v>2.3230427844105235E-2</v>
      </c>
      <c r="BJ170" s="39">
        <v>4.9946959342179631E-2</v>
      </c>
      <c r="BK170" s="39">
        <v>9.4150048169303266E-3</v>
      </c>
      <c r="BL170" s="40">
        <v>250084984.92903584</v>
      </c>
      <c r="BM170" s="40">
        <v>4.8583760001891293E-3</v>
      </c>
    </row>
    <row r="171" spans="1:65" x14ac:dyDescent="0.35">
      <c r="A171" s="39">
        <v>170</v>
      </c>
      <c r="B171" s="32" t="s">
        <v>400</v>
      </c>
      <c r="C171" s="32" t="s">
        <v>100</v>
      </c>
      <c r="D171" s="32" t="s">
        <v>9</v>
      </c>
      <c r="E171" s="32" t="s">
        <v>13</v>
      </c>
      <c r="F171" s="39">
        <v>0</v>
      </c>
      <c r="G171" s="39">
        <v>0</v>
      </c>
      <c r="H171" s="39">
        <v>1</v>
      </c>
      <c r="I171" s="39">
        <v>2018</v>
      </c>
      <c r="J171" s="39">
        <v>0</v>
      </c>
      <c r="K171" s="39" t="s">
        <v>152</v>
      </c>
      <c r="L171" s="39">
        <v>1581380268.6428902</v>
      </c>
      <c r="M171" s="39">
        <v>0</v>
      </c>
      <c r="N171" s="39">
        <v>0</v>
      </c>
      <c r="O171" s="39">
        <v>0</v>
      </c>
      <c r="P171" s="39">
        <v>0</v>
      </c>
      <c r="Q171" s="39">
        <v>0</v>
      </c>
      <c r="R171" s="19">
        <v>0</v>
      </c>
      <c r="S171" s="39">
        <v>0</v>
      </c>
      <c r="T171" s="39">
        <v>0</v>
      </c>
      <c r="U171" s="39">
        <v>0</v>
      </c>
      <c r="V171" s="39">
        <v>0</v>
      </c>
      <c r="W171" s="39">
        <v>0</v>
      </c>
      <c r="X171" s="39">
        <v>0</v>
      </c>
      <c r="Y171" s="39">
        <v>0</v>
      </c>
      <c r="Z171" s="39">
        <v>0</v>
      </c>
      <c r="AA171" s="39">
        <v>0</v>
      </c>
      <c r="AB171" s="39" t="s">
        <v>152</v>
      </c>
      <c r="AC171" s="39" t="s">
        <v>152</v>
      </c>
      <c r="AD171" s="39" t="s">
        <v>152</v>
      </c>
      <c r="AE171" s="39" t="s">
        <v>152</v>
      </c>
      <c r="AF171" s="39" t="s">
        <v>152</v>
      </c>
      <c r="AG171" s="39" t="s">
        <v>152</v>
      </c>
      <c r="AH171" s="39">
        <v>0</v>
      </c>
      <c r="AI171" s="39" t="s">
        <v>152</v>
      </c>
      <c r="AJ171" s="39" t="s">
        <v>152</v>
      </c>
      <c r="AK171" s="39" t="s">
        <v>152</v>
      </c>
      <c r="AL171" s="19">
        <v>69050000</v>
      </c>
      <c r="AM171" s="19">
        <v>2769000</v>
      </c>
      <c r="AN171" s="39">
        <v>-66281000</v>
      </c>
      <c r="AO171" s="39">
        <v>71819000</v>
      </c>
      <c r="AP171" s="39">
        <v>1474528000</v>
      </c>
      <c r="AQ171" s="39">
        <v>844891000</v>
      </c>
      <c r="AR171" s="39">
        <v>-629637000</v>
      </c>
      <c r="AS171" s="39">
        <v>2319419000</v>
      </c>
      <c r="AT171" s="39">
        <v>4.6828544456259905E-2</v>
      </c>
      <c r="AU171" s="39">
        <v>3.2773458351432316E-3</v>
      </c>
      <c r="AV171" s="39">
        <v>5.9014879674371286E-4</v>
      </c>
      <c r="AW171" s="39">
        <v>4.0836699575456925E-4</v>
      </c>
      <c r="AX171" s="39">
        <v>3.0964219918867612E-2</v>
      </c>
      <c r="AY171" s="39">
        <v>4.5415388963739672E-2</v>
      </c>
      <c r="AZ171" s="39">
        <v>101</v>
      </c>
      <c r="BA171" s="39">
        <v>260039333.35075414</v>
      </c>
      <c r="BB171" s="39">
        <v>97</v>
      </c>
      <c r="BC171" s="39">
        <v>219442020.71796975</v>
      </c>
      <c r="BD171" s="39">
        <v>3</v>
      </c>
      <c r="BE171" s="39">
        <v>0</v>
      </c>
      <c r="BF171" s="39">
        <v>1</v>
      </c>
      <c r="BG171" s="39">
        <v>40597312.632784396</v>
      </c>
      <c r="BH171" s="39">
        <v>0.16443820534950448</v>
      </c>
      <c r="BI171" s="39">
        <v>0.13876613049326245</v>
      </c>
      <c r="BJ171" s="39">
        <v>0</v>
      </c>
      <c r="BK171" s="39">
        <v>2.5672074856242021E-2</v>
      </c>
      <c r="BL171" s="40">
        <v>15296431.373573773</v>
      </c>
      <c r="BM171" s="40">
        <v>9.6728356087943806E-3</v>
      </c>
    </row>
    <row r="172" spans="1:65" x14ac:dyDescent="0.35">
      <c r="A172" s="39">
        <v>171</v>
      </c>
      <c r="B172" s="32" t="s">
        <v>401</v>
      </c>
      <c r="C172" s="32" t="s">
        <v>101</v>
      </c>
      <c r="D172" s="32" t="s">
        <v>9</v>
      </c>
      <c r="E172" s="32" t="s">
        <v>2</v>
      </c>
      <c r="F172" s="39">
        <v>0</v>
      </c>
      <c r="G172" s="39">
        <v>0</v>
      </c>
      <c r="H172" s="39">
        <v>1</v>
      </c>
      <c r="I172" s="39">
        <v>2018</v>
      </c>
      <c r="J172" s="39">
        <v>0</v>
      </c>
      <c r="K172" s="39" t="s">
        <v>152</v>
      </c>
      <c r="L172" s="39">
        <v>4121733705.2916489</v>
      </c>
      <c r="M172" s="39">
        <v>5</v>
      </c>
      <c r="N172" s="39">
        <v>4050000000</v>
      </c>
      <c r="O172" s="39">
        <v>4</v>
      </c>
      <c r="P172" s="39">
        <v>1940000000</v>
      </c>
      <c r="Q172" s="39">
        <v>9</v>
      </c>
      <c r="R172" s="19">
        <v>5990000000</v>
      </c>
      <c r="S172" s="39">
        <v>0.98259623002826357</v>
      </c>
      <c r="T172" s="39">
        <v>0.47067572500119292</v>
      </c>
      <c r="U172" s="39">
        <v>1.4532719550294564</v>
      </c>
      <c r="V172" s="39">
        <v>3.0164676791074236E-3</v>
      </c>
      <c r="W172" s="39">
        <v>2.4398219181527782E-3</v>
      </c>
      <c r="X172" s="39">
        <v>2.7953687413373902E-3</v>
      </c>
      <c r="Y172" s="39">
        <v>352352941.17647058</v>
      </c>
      <c r="Z172" s="39">
        <v>8.5486585589968023E-2</v>
      </c>
      <c r="AA172" s="39">
        <v>0</v>
      </c>
      <c r="AB172" s="39" t="s">
        <v>152</v>
      </c>
      <c r="AC172" s="39" t="s">
        <v>152</v>
      </c>
      <c r="AD172" s="39" t="s">
        <v>152</v>
      </c>
      <c r="AE172" s="39" t="s">
        <v>152</v>
      </c>
      <c r="AF172" s="39" t="s">
        <v>152</v>
      </c>
      <c r="AG172" s="39" t="s">
        <v>152</v>
      </c>
      <c r="AH172" s="39">
        <v>0</v>
      </c>
      <c r="AI172" s="39" t="s">
        <v>152</v>
      </c>
      <c r="AJ172" s="39" t="s">
        <v>152</v>
      </c>
      <c r="AK172" s="39" t="s">
        <v>152</v>
      </c>
      <c r="AL172" s="19">
        <v>313687000</v>
      </c>
      <c r="AM172" s="19">
        <v>197455000</v>
      </c>
      <c r="AN172" s="39">
        <v>-116232000</v>
      </c>
      <c r="AO172" s="39">
        <v>511142000</v>
      </c>
      <c r="AP172" s="39">
        <v>1184904000</v>
      </c>
      <c r="AQ172" s="39">
        <v>760200000</v>
      </c>
      <c r="AR172" s="39">
        <v>-424704000</v>
      </c>
      <c r="AS172" s="39">
        <v>1945104000</v>
      </c>
      <c r="AT172" s="39">
        <v>0.26473621491698907</v>
      </c>
      <c r="AU172" s="39">
        <v>0.25974085766903449</v>
      </c>
      <c r="AV172" s="39">
        <v>4.7423288663003512E-4</v>
      </c>
      <c r="AW172" s="39">
        <v>3.6743271045924683E-4</v>
      </c>
      <c r="AX172" s="39">
        <v>0.26278389227516885</v>
      </c>
      <c r="AY172" s="39">
        <v>0.12401140795286585</v>
      </c>
      <c r="AZ172" s="39">
        <v>166</v>
      </c>
      <c r="BA172" s="39">
        <v>3394795029.1822715</v>
      </c>
      <c r="BB172" s="39">
        <v>150</v>
      </c>
      <c r="BC172" s="39">
        <v>497214732.22004497</v>
      </c>
      <c r="BD172" s="39">
        <v>12</v>
      </c>
      <c r="BE172" s="39">
        <v>2773640094.1698499</v>
      </c>
      <c r="BF172" s="39">
        <v>4</v>
      </c>
      <c r="BG172" s="39">
        <v>123940202.79237621</v>
      </c>
      <c r="BH172" s="39">
        <v>0.82363278947979968</v>
      </c>
      <c r="BI172" s="39">
        <v>0.12063242503553796</v>
      </c>
      <c r="BJ172" s="39">
        <v>0.67293044444111905</v>
      </c>
      <c r="BK172" s="39">
        <v>3.0069920003142549E-2</v>
      </c>
      <c r="BL172" s="40">
        <v>199693825.24601597</v>
      </c>
      <c r="BM172" s="40">
        <v>4.8448987616458807E-2</v>
      </c>
    </row>
    <row r="173" spans="1:65" x14ac:dyDescent="0.35">
      <c r="A173" s="39">
        <v>172</v>
      </c>
      <c r="B173" s="32" t="s">
        <v>402</v>
      </c>
      <c r="C173" s="32" t="s">
        <v>102</v>
      </c>
      <c r="D173" s="32" t="s">
        <v>23</v>
      </c>
      <c r="E173" s="32" t="s">
        <v>13</v>
      </c>
      <c r="F173" s="39">
        <v>0</v>
      </c>
      <c r="G173" s="39">
        <v>0</v>
      </c>
      <c r="H173" s="39">
        <v>1</v>
      </c>
      <c r="I173" s="39">
        <v>2018</v>
      </c>
      <c r="J173" s="39">
        <v>0</v>
      </c>
      <c r="K173" s="39" t="s">
        <v>152</v>
      </c>
      <c r="L173" s="39">
        <v>374386306993.1095</v>
      </c>
      <c r="M173" s="39">
        <v>20</v>
      </c>
      <c r="N173" s="39">
        <v>11970000000</v>
      </c>
      <c r="O173" s="39">
        <v>84</v>
      </c>
      <c r="P173" s="39">
        <v>38730000000</v>
      </c>
      <c r="Q173" s="39">
        <v>104</v>
      </c>
      <c r="R173" s="19">
        <v>50700000000</v>
      </c>
      <c r="S173" s="39">
        <v>3.1972323176393057E-2</v>
      </c>
      <c r="T173" s="39">
        <v>0.10344929629253993</v>
      </c>
      <c r="U173" s="39">
        <v>0.135421619468933</v>
      </c>
      <c r="V173" s="39">
        <v>8.9153378071397185E-3</v>
      </c>
      <c r="W173" s="39">
        <v>4.8708403551575824E-2</v>
      </c>
      <c r="X173" s="39">
        <v>2.3660299697129496E-2</v>
      </c>
      <c r="Y173" s="39">
        <v>2982352941.1764708</v>
      </c>
      <c r="Z173" s="39">
        <v>7.9659776158195889E-3</v>
      </c>
      <c r="AA173" s="39">
        <v>1</v>
      </c>
      <c r="AB173" s="39">
        <v>2</v>
      </c>
      <c r="AC173" s="39">
        <v>134000000</v>
      </c>
      <c r="AD173" s="39">
        <v>0</v>
      </c>
      <c r="AE173" s="39">
        <v>0</v>
      </c>
      <c r="AF173" s="39">
        <v>0</v>
      </c>
      <c r="AG173" s="39">
        <v>0</v>
      </c>
      <c r="AH173" s="39">
        <v>2</v>
      </c>
      <c r="AI173" s="39">
        <v>134000000</v>
      </c>
      <c r="AJ173" s="39">
        <v>3.5791907315260398E-4</v>
      </c>
      <c r="AK173" s="39">
        <v>3.36174678369894E-3</v>
      </c>
      <c r="AL173" s="19">
        <v>49037427000</v>
      </c>
      <c r="AM173" s="19">
        <v>51626378000</v>
      </c>
      <c r="AN173" s="39">
        <v>2588951000</v>
      </c>
      <c r="AO173" s="39">
        <v>100663805000</v>
      </c>
      <c r="AP173" s="39">
        <v>359008256000</v>
      </c>
      <c r="AQ173" s="39">
        <v>390386234000</v>
      </c>
      <c r="AR173" s="39">
        <v>31377978000</v>
      </c>
      <c r="AS173" s="39">
        <v>749394490000</v>
      </c>
      <c r="AT173" s="39">
        <v>0.13659136295740229</v>
      </c>
      <c r="AU173" s="39">
        <v>0.13224436085008059</v>
      </c>
      <c r="AV173" s="39">
        <v>0.14368549820651683</v>
      </c>
      <c r="AW173" s="39">
        <v>0.18868807167139937</v>
      </c>
      <c r="AX173" s="39">
        <v>0.13432685500529901</v>
      </c>
      <c r="AY173" s="39">
        <v>0.26887683422100345</v>
      </c>
      <c r="AZ173" s="39" t="s">
        <v>152</v>
      </c>
      <c r="BA173" s="39" t="s">
        <v>152</v>
      </c>
      <c r="BB173" s="39" t="s">
        <v>152</v>
      </c>
      <c r="BC173" s="39" t="s">
        <v>152</v>
      </c>
      <c r="BD173" s="39" t="s">
        <v>152</v>
      </c>
      <c r="BE173" s="39" t="s">
        <v>152</v>
      </c>
      <c r="BF173" s="39" t="s">
        <v>152</v>
      </c>
      <c r="BG173" s="39" t="s">
        <v>152</v>
      </c>
      <c r="BH173" s="39">
        <v>0</v>
      </c>
      <c r="BI173" s="39">
        <v>0</v>
      </c>
      <c r="BJ173" s="39">
        <v>0</v>
      </c>
      <c r="BK173" s="39">
        <v>0</v>
      </c>
      <c r="BL173" s="40">
        <v>0</v>
      </c>
      <c r="BM173" s="40">
        <v>0</v>
      </c>
    </row>
    <row r="174" spans="1:65" x14ac:dyDescent="0.35">
      <c r="A174" s="39">
        <v>173</v>
      </c>
      <c r="B174" s="32" t="s">
        <v>462</v>
      </c>
      <c r="C174" s="32" t="s">
        <v>449</v>
      </c>
      <c r="D174" s="32" t="s">
        <v>12</v>
      </c>
      <c r="E174" s="32" t="s">
        <v>13</v>
      </c>
      <c r="F174" s="39">
        <v>0</v>
      </c>
      <c r="G174" s="39">
        <v>0</v>
      </c>
      <c r="H174" s="39">
        <v>0</v>
      </c>
      <c r="I174" s="39" t="s">
        <v>152</v>
      </c>
      <c r="J174" s="39">
        <v>0</v>
      </c>
      <c r="K174" s="39" t="s">
        <v>152</v>
      </c>
      <c r="L174" s="39">
        <v>1185474860.3351955</v>
      </c>
      <c r="M174" s="39">
        <v>0</v>
      </c>
      <c r="N174" s="39">
        <v>0</v>
      </c>
      <c r="O174" s="39">
        <v>0</v>
      </c>
      <c r="P174" s="39">
        <v>0</v>
      </c>
      <c r="Q174" s="39">
        <v>0</v>
      </c>
      <c r="R174" s="19">
        <v>0</v>
      </c>
      <c r="S174" s="39">
        <v>0</v>
      </c>
      <c r="T174" s="39">
        <v>0</v>
      </c>
      <c r="U174" s="39">
        <v>0</v>
      </c>
      <c r="V174" s="39">
        <v>0</v>
      </c>
      <c r="W174" s="39">
        <v>0</v>
      </c>
      <c r="X174" s="39">
        <v>0</v>
      </c>
      <c r="Y174" s="39">
        <v>0</v>
      </c>
      <c r="Z174" s="39">
        <v>0</v>
      </c>
      <c r="AA174" s="39">
        <v>0</v>
      </c>
      <c r="AB174" s="39" t="s">
        <v>152</v>
      </c>
      <c r="AC174" s="39" t="s">
        <v>152</v>
      </c>
      <c r="AD174" s="39" t="s">
        <v>152</v>
      </c>
      <c r="AE174" s="39" t="s">
        <v>152</v>
      </c>
      <c r="AF174" s="39" t="s">
        <v>152</v>
      </c>
      <c r="AG174" s="39" t="s">
        <v>152</v>
      </c>
      <c r="AH174" s="39">
        <v>0</v>
      </c>
      <c r="AI174" s="39" t="s">
        <v>152</v>
      </c>
      <c r="AJ174" s="39" t="s">
        <v>152</v>
      </c>
      <c r="AK174" s="39" t="s">
        <v>152</v>
      </c>
      <c r="AL174" s="19">
        <v>6583000</v>
      </c>
      <c r="AM174" s="19">
        <v>7000</v>
      </c>
      <c r="AN174" s="39">
        <v>-6576000</v>
      </c>
      <c r="AO174" s="39">
        <v>6590000</v>
      </c>
      <c r="AP174" s="39">
        <v>138306000</v>
      </c>
      <c r="AQ174" s="39">
        <v>18520000</v>
      </c>
      <c r="AR174" s="39">
        <v>-119786000</v>
      </c>
      <c r="AS174" s="39">
        <v>156826000</v>
      </c>
      <c r="AT174" s="39">
        <v>4.7597356586120632E-2</v>
      </c>
      <c r="AU174" s="39">
        <v>3.7796976241900648E-4</v>
      </c>
      <c r="AV174" s="39">
        <v>5.5354065492439589E-5</v>
      </c>
      <c r="AW174" s="39">
        <v>8.9513993655686027E-6</v>
      </c>
      <c r="AX174" s="39">
        <v>4.2021093441138586E-2</v>
      </c>
      <c r="AY174" s="39">
        <v>5.5589538171536288E-3</v>
      </c>
      <c r="AZ174" s="39">
        <v>1</v>
      </c>
      <c r="BA174" s="39">
        <v>105275</v>
      </c>
      <c r="BB174" s="39">
        <v>0</v>
      </c>
      <c r="BC174" s="39">
        <v>0</v>
      </c>
      <c r="BD174" s="39">
        <v>1</v>
      </c>
      <c r="BE174" s="39">
        <v>105275</v>
      </c>
      <c r="BF174" s="39">
        <v>0</v>
      </c>
      <c r="BG174" s="39">
        <v>0</v>
      </c>
      <c r="BH174" s="39">
        <v>8.8804076343072569E-5</v>
      </c>
      <c r="BI174" s="39">
        <v>0</v>
      </c>
      <c r="BJ174" s="39">
        <v>8.8804076343072569E-5</v>
      </c>
      <c r="BK174" s="39">
        <v>0</v>
      </c>
      <c r="BL174" s="40">
        <v>6192.6470588235297</v>
      </c>
      <c r="BM174" s="40">
        <v>5.223769196651328E-6</v>
      </c>
    </row>
    <row r="175" spans="1:65" x14ac:dyDescent="0.35">
      <c r="A175" s="39">
        <v>174</v>
      </c>
      <c r="B175" s="32" t="s">
        <v>403</v>
      </c>
      <c r="C175" s="32" t="s">
        <v>140</v>
      </c>
      <c r="D175" s="32" t="s">
        <v>4</v>
      </c>
      <c r="E175" s="32" t="s">
        <v>13</v>
      </c>
      <c r="F175" s="39">
        <v>0</v>
      </c>
      <c r="G175" s="39">
        <v>0</v>
      </c>
      <c r="H175" s="39">
        <v>1</v>
      </c>
      <c r="I175" s="39">
        <v>2015</v>
      </c>
      <c r="J175" s="39">
        <v>0</v>
      </c>
      <c r="K175" s="39" t="s">
        <v>152</v>
      </c>
      <c r="L175" s="39">
        <v>105119160234.11748</v>
      </c>
      <c r="M175" s="39">
        <v>0</v>
      </c>
      <c r="N175" s="39">
        <v>0</v>
      </c>
      <c r="O175" s="39">
        <v>0</v>
      </c>
      <c r="P175" s="39">
        <v>0</v>
      </c>
      <c r="Q175" s="39">
        <v>0</v>
      </c>
      <c r="R175" s="19">
        <v>0</v>
      </c>
      <c r="S175" s="39">
        <v>0</v>
      </c>
      <c r="T175" s="39">
        <v>0</v>
      </c>
      <c r="U175" s="39">
        <v>0</v>
      </c>
      <c r="V175" s="39">
        <v>0</v>
      </c>
      <c r="W175" s="39">
        <v>0</v>
      </c>
      <c r="X175" s="39">
        <v>0</v>
      </c>
      <c r="Y175" s="39">
        <v>0</v>
      </c>
      <c r="Z175" s="39">
        <v>0</v>
      </c>
      <c r="AA175" s="39">
        <v>0</v>
      </c>
      <c r="AB175" s="39" t="s">
        <v>152</v>
      </c>
      <c r="AC175" s="39" t="s">
        <v>152</v>
      </c>
      <c r="AD175" s="39" t="s">
        <v>152</v>
      </c>
      <c r="AE175" s="39" t="s">
        <v>152</v>
      </c>
      <c r="AF175" s="39" t="s">
        <v>152</v>
      </c>
      <c r="AG175" s="39" t="s">
        <v>152</v>
      </c>
      <c r="AH175" s="39">
        <v>0</v>
      </c>
      <c r="AI175" s="39" t="s">
        <v>152</v>
      </c>
      <c r="AJ175" s="39" t="s">
        <v>152</v>
      </c>
      <c r="AK175" s="39" t="s">
        <v>152</v>
      </c>
      <c r="AL175" s="19">
        <v>5784117000</v>
      </c>
      <c r="AM175" s="19">
        <v>1898518000</v>
      </c>
      <c r="AN175" s="39">
        <v>-3885599000</v>
      </c>
      <c r="AO175" s="39">
        <v>7682635000</v>
      </c>
      <c r="AP175" s="39">
        <v>90908109000</v>
      </c>
      <c r="AQ175" s="39">
        <v>89909085000</v>
      </c>
      <c r="AR175" s="39">
        <v>-999024000</v>
      </c>
      <c r="AS175" s="39">
        <v>180817194000</v>
      </c>
      <c r="AT175" s="39">
        <v>6.3625974224147591E-2</v>
      </c>
      <c r="AU175" s="39">
        <v>2.1115975098623237E-2</v>
      </c>
      <c r="AV175" s="39">
        <v>3.6384057230921557E-2</v>
      </c>
      <c r="AW175" s="39">
        <v>4.3456378316838747E-2</v>
      </c>
      <c r="AX175" s="39">
        <v>4.2488409592286891E-2</v>
      </c>
      <c r="AY175" s="39">
        <v>7.3085011171032208E-2</v>
      </c>
      <c r="AZ175" s="39" t="s">
        <v>152</v>
      </c>
      <c r="BA175" s="39" t="s">
        <v>152</v>
      </c>
      <c r="BB175" s="39" t="s">
        <v>152</v>
      </c>
      <c r="BC175" s="39" t="s">
        <v>152</v>
      </c>
      <c r="BD175" s="39" t="s">
        <v>152</v>
      </c>
      <c r="BE175" s="39" t="s">
        <v>152</v>
      </c>
      <c r="BF175" s="39" t="s">
        <v>152</v>
      </c>
      <c r="BG175" s="39" t="s">
        <v>152</v>
      </c>
      <c r="BH175" s="39">
        <v>0</v>
      </c>
      <c r="BI175" s="39">
        <v>0</v>
      </c>
      <c r="BJ175" s="39">
        <v>0</v>
      </c>
      <c r="BK175" s="39">
        <v>0</v>
      </c>
      <c r="BL175" s="40">
        <v>0</v>
      </c>
      <c r="BM175" s="40">
        <v>0</v>
      </c>
    </row>
    <row r="176" spans="1:65" x14ac:dyDescent="0.35">
      <c r="A176" s="39">
        <v>175</v>
      </c>
      <c r="B176" s="32" t="s">
        <v>404</v>
      </c>
      <c r="C176" s="32" t="s">
        <v>103</v>
      </c>
      <c r="D176" s="32" t="s">
        <v>4</v>
      </c>
      <c r="E176" s="32" t="s">
        <v>13</v>
      </c>
      <c r="F176" s="39">
        <v>0</v>
      </c>
      <c r="G176" s="39">
        <v>0</v>
      </c>
      <c r="H176" s="39">
        <v>1</v>
      </c>
      <c r="I176" s="39">
        <v>2017</v>
      </c>
      <c r="J176" s="39">
        <v>0</v>
      </c>
      <c r="K176" s="39" t="s">
        <v>152</v>
      </c>
      <c r="L176" s="39">
        <v>54178877605.999916</v>
      </c>
      <c r="M176" s="39">
        <v>0</v>
      </c>
      <c r="N176" s="39">
        <v>0</v>
      </c>
      <c r="O176" s="39">
        <v>3</v>
      </c>
      <c r="P176" s="39">
        <v>2180000000</v>
      </c>
      <c r="Q176" s="39">
        <v>3</v>
      </c>
      <c r="R176" s="19">
        <v>2180000000</v>
      </c>
      <c r="S176" s="39">
        <v>0</v>
      </c>
      <c r="T176" s="39">
        <v>4.0237083090820268E-2</v>
      </c>
      <c r="U176" s="39">
        <v>4.0237083090820268E-2</v>
      </c>
      <c r="V176" s="39">
        <v>0</v>
      </c>
      <c r="W176" s="39">
        <v>2.7416555575118847E-3</v>
      </c>
      <c r="X176" s="39">
        <v>1.017346219718783E-3</v>
      </c>
      <c r="Y176" s="39">
        <v>128235294.11764705</v>
      </c>
      <c r="Z176" s="39">
        <v>2.3668872406364862E-3</v>
      </c>
      <c r="AA176" s="39">
        <v>0</v>
      </c>
      <c r="AB176" s="39" t="s">
        <v>152</v>
      </c>
      <c r="AC176" s="39" t="s">
        <v>152</v>
      </c>
      <c r="AD176" s="39" t="s">
        <v>152</v>
      </c>
      <c r="AE176" s="39" t="s">
        <v>152</v>
      </c>
      <c r="AF176" s="39" t="s">
        <v>152</v>
      </c>
      <c r="AG176" s="39" t="s">
        <v>152</v>
      </c>
      <c r="AH176" s="39">
        <v>0</v>
      </c>
      <c r="AI176" s="39" t="s">
        <v>152</v>
      </c>
      <c r="AJ176" s="39" t="s">
        <v>152</v>
      </c>
      <c r="AK176" s="39" t="s">
        <v>152</v>
      </c>
      <c r="AL176" s="19">
        <v>2335422000</v>
      </c>
      <c r="AM176" s="19">
        <v>297361000</v>
      </c>
      <c r="AN176" s="39">
        <v>-2038061000</v>
      </c>
      <c r="AO176" s="39">
        <v>2632783000</v>
      </c>
      <c r="AP176" s="39">
        <v>38162054000</v>
      </c>
      <c r="AQ176" s="39">
        <v>37574594000</v>
      </c>
      <c r="AR176" s="39">
        <v>-587460000</v>
      </c>
      <c r="AS176" s="39">
        <v>75736648000</v>
      </c>
      <c r="AT176" s="39">
        <v>6.1197492147566271E-2</v>
      </c>
      <c r="AU176" s="39">
        <v>7.9138845785000373E-3</v>
      </c>
      <c r="AV176" s="39">
        <v>1.5273558894350326E-2</v>
      </c>
      <c r="AW176" s="39">
        <v>1.8161187737208307E-2</v>
      </c>
      <c r="AX176" s="39">
        <v>3.4762338570885787E-2</v>
      </c>
      <c r="AY176" s="39">
        <v>4.8594269876650942E-2</v>
      </c>
      <c r="AZ176" s="39" t="s">
        <v>152</v>
      </c>
      <c r="BA176" s="39" t="s">
        <v>152</v>
      </c>
      <c r="BB176" s="39" t="s">
        <v>152</v>
      </c>
      <c r="BC176" s="39" t="s">
        <v>152</v>
      </c>
      <c r="BD176" s="39" t="s">
        <v>152</v>
      </c>
      <c r="BE176" s="39" t="s">
        <v>152</v>
      </c>
      <c r="BF176" s="39" t="s">
        <v>152</v>
      </c>
      <c r="BG176" s="39" t="s">
        <v>152</v>
      </c>
      <c r="BH176" s="39">
        <v>0</v>
      </c>
      <c r="BI176" s="39">
        <v>0</v>
      </c>
      <c r="BJ176" s="39">
        <v>0</v>
      </c>
      <c r="BK176" s="39">
        <v>0</v>
      </c>
      <c r="BL176" s="40">
        <v>0</v>
      </c>
      <c r="BM176" s="40">
        <v>0</v>
      </c>
    </row>
    <row r="177" spans="1:65" x14ac:dyDescent="0.35">
      <c r="A177" s="39">
        <v>176</v>
      </c>
      <c r="B177" s="32" t="s">
        <v>405</v>
      </c>
      <c r="C177" s="32" t="s">
        <v>104</v>
      </c>
      <c r="D177" s="32" t="s">
        <v>23</v>
      </c>
      <c r="E177" s="32" t="s">
        <v>10</v>
      </c>
      <c r="F177" s="39">
        <v>0</v>
      </c>
      <c r="G177" s="39">
        <v>0</v>
      </c>
      <c r="H177" s="39">
        <v>1</v>
      </c>
      <c r="I177" s="39">
        <v>2019</v>
      </c>
      <c r="J177" s="39">
        <v>1</v>
      </c>
      <c r="K177" s="39">
        <v>2019</v>
      </c>
      <c r="L177" s="39">
        <v>1570215577.3607066</v>
      </c>
      <c r="M177" s="39">
        <v>0</v>
      </c>
      <c r="N177" s="39">
        <v>0</v>
      </c>
      <c r="O177" s="39">
        <v>1</v>
      </c>
      <c r="P177" s="39">
        <v>200000000</v>
      </c>
      <c r="Q177" s="39">
        <v>1</v>
      </c>
      <c r="R177" s="19">
        <v>200000000</v>
      </c>
      <c r="S177" s="39">
        <v>0</v>
      </c>
      <c r="T177" s="39">
        <v>0.12737104565996574</v>
      </c>
      <c r="U177" s="39">
        <v>0.12737104565996574</v>
      </c>
      <c r="V177" s="39">
        <v>0</v>
      </c>
      <c r="W177" s="39">
        <v>2.5152803279925549E-4</v>
      </c>
      <c r="X177" s="39">
        <v>9.3334515570530561E-5</v>
      </c>
      <c r="Y177" s="39">
        <v>11764705.882352941</v>
      </c>
      <c r="Z177" s="39">
        <v>7.4924144505862187E-3</v>
      </c>
      <c r="AA177" s="39">
        <v>0</v>
      </c>
      <c r="AB177" s="39" t="s">
        <v>152</v>
      </c>
      <c r="AC177" s="39" t="s">
        <v>152</v>
      </c>
      <c r="AD177" s="39" t="s">
        <v>152</v>
      </c>
      <c r="AE177" s="39" t="s">
        <v>152</v>
      </c>
      <c r="AF177" s="39" t="s">
        <v>152</v>
      </c>
      <c r="AG177" s="39" t="s">
        <v>152</v>
      </c>
      <c r="AH177" s="39">
        <v>0</v>
      </c>
      <c r="AI177" s="39" t="s">
        <v>152</v>
      </c>
      <c r="AJ177" s="39" t="s">
        <v>152</v>
      </c>
      <c r="AK177" s="39" t="s">
        <v>152</v>
      </c>
      <c r="AL177" s="19">
        <v>98567000</v>
      </c>
      <c r="AM177" s="19">
        <v>461733000</v>
      </c>
      <c r="AN177" s="39">
        <v>363166000</v>
      </c>
      <c r="AO177" s="39">
        <v>560300000</v>
      </c>
      <c r="AP177" s="39">
        <v>421615000</v>
      </c>
      <c r="AQ177" s="39">
        <v>705780000</v>
      </c>
      <c r="AR177" s="39">
        <v>284165000</v>
      </c>
      <c r="AS177" s="39">
        <v>1127395000</v>
      </c>
      <c r="AT177" s="39">
        <v>0.23378437674181421</v>
      </c>
      <c r="AU177" s="39">
        <v>0.65421661140865428</v>
      </c>
      <c r="AV177" s="39">
        <v>1.6874252977162898E-4</v>
      </c>
      <c r="AW177" s="39">
        <v>3.4112951642716028E-4</v>
      </c>
      <c r="AX177" s="39">
        <v>0.49698641558637391</v>
      </c>
      <c r="AY177" s="39">
        <v>0.35682998441639396</v>
      </c>
      <c r="AZ177" s="39">
        <v>0</v>
      </c>
      <c r="BA177" s="39" t="s">
        <v>152</v>
      </c>
      <c r="BB177" s="39" t="s">
        <v>152</v>
      </c>
      <c r="BC177" s="39" t="s">
        <v>152</v>
      </c>
      <c r="BD177" s="39" t="s">
        <v>152</v>
      </c>
      <c r="BE177" s="39" t="s">
        <v>152</v>
      </c>
      <c r="BF177" s="39" t="s">
        <v>152</v>
      </c>
      <c r="BG177" s="39" t="s">
        <v>152</v>
      </c>
      <c r="BH177" s="39">
        <v>0</v>
      </c>
      <c r="BI177" s="39">
        <v>0</v>
      </c>
      <c r="BJ177" s="39">
        <v>0</v>
      </c>
      <c r="BK177" s="39">
        <v>0</v>
      </c>
      <c r="BL177" s="40">
        <v>0</v>
      </c>
      <c r="BM177" s="40">
        <v>0</v>
      </c>
    </row>
    <row r="178" spans="1:65" x14ac:dyDescent="0.35">
      <c r="A178" s="39">
        <v>177</v>
      </c>
      <c r="B178" s="32" t="s">
        <v>406</v>
      </c>
      <c r="C178" s="32" t="s">
        <v>105</v>
      </c>
      <c r="D178" s="32" t="s">
        <v>9</v>
      </c>
      <c r="E178" s="32" t="s">
        <v>2</v>
      </c>
      <c r="F178" s="39">
        <v>0</v>
      </c>
      <c r="G178" s="39">
        <v>0</v>
      </c>
      <c r="H178" s="39">
        <v>1</v>
      </c>
      <c r="I178" s="39">
        <v>2015</v>
      </c>
      <c r="J178" s="39">
        <v>0</v>
      </c>
      <c r="K178" s="39" t="s">
        <v>152</v>
      </c>
      <c r="L178" s="39">
        <v>4942319040.6982193</v>
      </c>
      <c r="M178" s="39">
        <v>0</v>
      </c>
      <c r="N178" s="39">
        <v>0</v>
      </c>
      <c r="O178" s="39">
        <v>0</v>
      </c>
      <c r="P178" s="39">
        <v>0</v>
      </c>
      <c r="Q178" s="39">
        <v>0</v>
      </c>
      <c r="R178" s="19">
        <v>0</v>
      </c>
      <c r="S178" s="39">
        <v>0</v>
      </c>
      <c r="T178" s="39">
        <v>0</v>
      </c>
      <c r="U178" s="39">
        <v>0</v>
      </c>
      <c r="V178" s="39">
        <v>0</v>
      </c>
      <c r="W178" s="39">
        <v>0</v>
      </c>
      <c r="X178" s="39">
        <v>0</v>
      </c>
      <c r="Y178" s="39">
        <v>0</v>
      </c>
      <c r="Z178" s="39">
        <v>0</v>
      </c>
      <c r="AA178" s="39">
        <v>0</v>
      </c>
      <c r="AB178" s="39" t="s">
        <v>152</v>
      </c>
      <c r="AC178" s="39" t="s">
        <v>152</v>
      </c>
      <c r="AD178" s="39" t="s">
        <v>152</v>
      </c>
      <c r="AE178" s="39" t="s">
        <v>152</v>
      </c>
      <c r="AF178" s="39" t="s">
        <v>152</v>
      </c>
      <c r="AG178" s="39" t="s">
        <v>152</v>
      </c>
      <c r="AH178" s="39">
        <v>0</v>
      </c>
      <c r="AI178" s="39" t="s">
        <v>152</v>
      </c>
      <c r="AJ178" s="39" t="s">
        <v>152</v>
      </c>
      <c r="AK178" s="39" t="s">
        <v>152</v>
      </c>
      <c r="AL178" s="19">
        <v>732058000</v>
      </c>
      <c r="AM178" s="19">
        <v>18638000</v>
      </c>
      <c r="AN178" s="39">
        <v>-713420000</v>
      </c>
      <c r="AO178" s="39">
        <v>750696000</v>
      </c>
      <c r="AP178" s="39">
        <v>3893775000</v>
      </c>
      <c r="AQ178" s="39">
        <v>417976000</v>
      </c>
      <c r="AR178" s="39">
        <v>-3475799000</v>
      </c>
      <c r="AS178" s="39">
        <v>4311751000</v>
      </c>
      <c r="AT178" s="39">
        <v>0.1880072680111203</v>
      </c>
      <c r="AU178" s="39">
        <v>4.4591076999636339E-2</v>
      </c>
      <c r="AV178" s="39">
        <v>1.5584014891821319E-3</v>
      </c>
      <c r="AW178" s="39">
        <v>2.0202322360814812E-4</v>
      </c>
      <c r="AX178" s="39">
        <v>0.17410467348415992</v>
      </c>
      <c r="AY178" s="39">
        <v>0.15189144889641654</v>
      </c>
      <c r="AZ178" s="39">
        <v>50</v>
      </c>
      <c r="BA178" s="39">
        <v>57178560.804101512</v>
      </c>
      <c r="BB178" s="39">
        <v>46</v>
      </c>
      <c r="BC178" s="39">
        <v>57178560.804101512</v>
      </c>
      <c r="BD178" s="39">
        <v>0</v>
      </c>
      <c r="BE178" s="39">
        <v>0</v>
      </c>
      <c r="BF178" s="39">
        <v>4</v>
      </c>
      <c r="BG178" s="39">
        <v>0</v>
      </c>
      <c r="BH178" s="39">
        <v>1.1569176399430435E-2</v>
      </c>
      <c r="BI178" s="39">
        <v>1.1569176399430435E-2</v>
      </c>
      <c r="BJ178" s="39">
        <v>0</v>
      </c>
      <c r="BK178" s="39">
        <v>0</v>
      </c>
      <c r="BL178" s="40">
        <v>3363444.7531824419</v>
      </c>
      <c r="BM178" s="40">
        <v>6.8053978820179037E-4</v>
      </c>
    </row>
    <row r="179" spans="1:65" x14ac:dyDescent="0.35">
      <c r="A179" s="39">
        <v>178</v>
      </c>
      <c r="B179" s="32" t="s">
        <v>407</v>
      </c>
      <c r="C179" s="32" t="s">
        <v>106</v>
      </c>
      <c r="D179" s="32" t="s">
        <v>9</v>
      </c>
      <c r="E179" s="32" t="s">
        <v>5</v>
      </c>
      <c r="F179" s="39">
        <v>3</v>
      </c>
      <c r="G179" s="39">
        <v>0</v>
      </c>
      <c r="H179" s="39">
        <v>1</v>
      </c>
      <c r="I179" s="39">
        <v>2015</v>
      </c>
      <c r="J179" s="39">
        <v>0</v>
      </c>
      <c r="K179" s="39" t="s">
        <v>152</v>
      </c>
      <c r="L179" s="39">
        <v>351431649241.43854</v>
      </c>
      <c r="M179" s="39">
        <v>12</v>
      </c>
      <c r="N179" s="39">
        <v>9470000000</v>
      </c>
      <c r="O179" s="39">
        <v>9</v>
      </c>
      <c r="P179" s="39">
        <v>4910000000</v>
      </c>
      <c r="Q179" s="39">
        <v>21</v>
      </c>
      <c r="R179" s="19">
        <v>14380000000</v>
      </c>
      <c r="S179" s="39">
        <v>2.6946918470322448E-2</v>
      </c>
      <c r="T179" s="39">
        <v>1.3971422353672991E-2</v>
      </c>
      <c r="U179" s="39">
        <v>4.0918340823995439E-2</v>
      </c>
      <c r="V179" s="39">
        <v>7.053320721270938E-3</v>
      </c>
      <c r="W179" s="39">
        <v>6.1750132052217216E-3</v>
      </c>
      <c r="X179" s="39">
        <v>6.7107516695211469E-3</v>
      </c>
      <c r="Y179" s="39">
        <v>845882352.94117641</v>
      </c>
      <c r="Z179" s="39">
        <v>2.4069612249409079E-3</v>
      </c>
      <c r="AA179" s="39">
        <v>3</v>
      </c>
      <c r="AB179" s="39">
        <v>0</v>
      </c>
      <c r="AC179" s="39">
        <v>0</v>
      </c>
      <c r="AD179" s="39">
        <v>0</v>
      </c>
      <c r="AE179" s="39">
        <v>0</v>
      </c>
      <c r="AF179" s="39">
        <v>0</v>
      </c>
      <c r="AG179" s="39">
        <v>0</v>
      </c>
      <c r="AH179" s="39">
        <v>0</v>
      </c>
      <c r="AI179" s="39">
        <v>0</v>
      </c>
      <c r="AJ179" s="39">
        <v>0</v>
      </c>
      <c r="AK179" s="39">
        <v>0</v>
      </c>
      <c r="AL179" s="19">
        <v>16289345000</v>
      </c>
      <c r="AM179" s="19">
        <v>9659694000</v>
      </c>
      <c r="AN179" s="39">
        <v>-6629651000</v>
      </c>
      <c r="AO179" s="39">
        <v>25949039000</v>
      </c>
      <c r="AP179" s="39">
        <v>88216179000</v>
      </c>
      <c r="AQ179" s="39">
        <v>90419473000</v>
      </c>
      <c r="AR179" s="39">
        <v>2203294000</v>
      </c>
      <c r="AS179" s="39">
        <v>178635652000</v>
      </c>
      <c r="AT179" s="39">
        <v>0.1846525794321697</v>
      </c>
      <c r="AU179" s="39">
        <v>0.10683200951635717</v>
      </c>
      <c r="AV179" s="39">
        <v>3.5306668907052287E-2</v>
      </c>
      <c r="AW179" s="39">
        <v>4.3703067669937763E-2</v>
      </c>
      <c r="AX179" s="39">
        <v>0.1452623746126557</v>
      </c>
      <c r="AY179" s="39">
        <v>7.3838082187562576E-2</v>
      </c>
      <c r="AZ179" s="39">
        <v>105</v>
      </c>
      <c r="BA179" s="39">
        <v>17600242592.929501</v>
      </c>
      <c r="BB179" s="39">
        <v>23</v>
      </c>
      <c r="BC179" s="39">
        <v>14242439.259523757</v>
      </c>
      <c r="BD179" s="39">
        <v>70</v>
      </c>
      <c r="BE179" s="39">
        <v>6556835451.6622343</v>
      </c>
      <c r="BF179" s="39">
        <v>12</v>
      </c>
      <c r="BG179" s="39">
        <v>11029164702.007742</v>
      </c>
      <c r="BH179" s="39">
        <v>5.0081552503650241E-2</v>
      </c>
      <c r="BI179" s="39">
        <v>4.0526911250782078E-5</v>
      </c>
      <c r="BJ179" s="39">
        <v>1.8657498451875618E-2</v>
      </c>
      <c r="BK179" s="39">
        <v>3.1383527140523844E-2</v>
      </c>
      <c r="BL179" s="40">
        <v>1035308387.8193824</v>
      </c>
      <c r="BM179" s="40">
        <v>2.9459736766853086E-3</v>
      </c>
    </row>
    <row r="180" spans="1:65" x14ac:dyDescent="0.35">
      <c r="A180" s="39">
        <v>179</v>
      </c>
      <c r="B180" s="32" t="s">
        <v>409</v>
      </c>
      <c r="C180" s="32" t="s">
        <v>107</v>
      </c>
      <c r="D180" s="32" t="s">
        <v>9</v>
      </c>
      <c r="E180" s="32" t="s">
        <v>2</v>
      </c>
      <c r="F180" s="39">
        <v>0</v>
      </c>
      <c r="G180" s="39">
        <v>0</v>
      </c>
      <c r="H180" s="39">
        <v>1</v>
      </c>
      <c r="I180" s="39">
        <v>2018</v>
      </c>
      <c r="J180" s="39">
        <v>0</v>
      </c>
      <c r="K180" s="39" t="s">
        <v>152</v>
      </c>
      <c r="L180" s="39" t="s">
        <v>152</v>
      </c>
      <c r="M180" s="39">
        <v>5</v>
      </c>
      <c r="N180" s="39">
        <v>2110000000</v>
      </c>
      <c r="O180" s="39">
        <v>4</v>
      </c>
      <c r="P180" s="39">
        <v>2790000000</v>
      </c>
      <c r="Q180" s="39">
        <v>9</v>
      </c>
      <c r="R180" s="19">
        <v>4900000000</v>
      </c>
      <c r="S180" s="39">
        <v>0</v>
      </c>
      <c r="T180" s="39">
        <v>0</v>
      </c>
      <c r="U180" s="39">
        <v>0</v>
      </c>
      <c r="V180" s="39">
        <v>1.5715424204732502E-3</v>
      </c>
      <c r="W180" s="39">
        <v>3.5088160575496141E-3</v>
      </c>
      <c r="X180" s="39">
        <v>2.2866956314779988E-3</v>
      </c>
      <c r="Y180" s="39">
        <v>288235294.11764705</v>
      </c>
      <c r="Z180" s="39">
        <v>0</v>
      </c>
      <c r="AA180" s="39">
        <v>0</v>
      </c>
      <c r="AB180" s="39" t="s">
        <v>152</v>
      </c>
      <c r="AC180" s="39" t="s">
        <v>152</v>
      </c>
      <c r="AD180" s="39" t="s">
        <v>152</v>
      </c>
      <c r="AE180" s="39" t="s">
        <v>152</v>
      </c>
      <c r="AF180" s="39" t="s">
        <v>152</v>
      </c>
      <c r="AG180" s="39" t="s">
        <v>152</v>
      </c>
      <c r="AH180" s="39">
        <v>0</v>
      </c>
      <c r="AI180" s="39" t="s">
        <v>152</v>
      </c>
      <c r="AJ180" s="39" t="s">
        <v>152</v>
      </c>
      <c r="AK180" s="39" t="s">
        <v>152</v>
      </c>
      <c r="AL180" s="19">
        <v>122630000</v>
      </c>
      <c r="AM180" s="19">
        <v>1510938000</v>
      </c>
      <c r="AN180" s="39">
        <v>1388308000</v>
      </c>
      <c r="AO180" s="39">
        <v>1633568000</v>
      </c>
      <c r="AP180" s="39">
        <v>610004000</v>
      </c>
      <c r="AQ180" s="39">
        <v>1640256000</v>
      </c>
      <c r="AR180" s="39">
        <v>1030252000</v>
      </c>
      <c r="AS180" s="39">
        <v>2250260000</v>
      </c>
      <c r="AT180" s="39">
        <v>0.20103146864610724</v>
      </c>
      <c r="AU180" s="39">
        <v>0.92115986772796443</v>
      </c>
      <c r="AV180" s="39">
        <v>2.4414126188777147E-4</v>
      </c>
      <c r="AW180" s="39">
        <v>7.9279624825972432E-4</v>
      </c>
      <c r="AX180" s="39">
        <v>0.72594633509016737</v>
      </c>
      <c r="AY180" s="39" t="s">
        <v>152</v>
      </c>
      <c r="AZ180" s="39">
        <v>120</v>
      </c>
      <c r="BA180" s="39">
        <v>4487661719.8055677</v>
      </c>
      <c r="BB180" s="39">
        <v>102</v>
      </c>
      <c r="BC180" s="39">
        <v>239328309.42801467</v>
      </c>
      <c r="BD180" s="39">
        <v>15</v>
      </c>
      <c r="BE180" s="39">
        <v>4198778654.9963436</v>
      </c>
      <c r="BF180" s="39">
        <v>3</v>
      </c>
      <c r="BG180" s="39">
        <v>49554755.381209098</v>
      </c>
      <c r="BH180" s="39">
        <v>0</v>
      </c>
      <c r="BI180" s="39">
        <v>0</v>
      </c>
      <c r="BJ180" s="39">
        <v>0</v>
      </c>
      <c r="BK180" s="39">
        <v>0</v>
      </c>
      <c r="BL180" s="40">
        <v>263980101.1650334</v>
      </c>
      <c r="BM180" s="40">
        <v>0</v>
      </c>
    </row>
    <row r="181" spans="1:65" x14ac:dyDescent="0.35">
      <c r="A181" s="39">
        <v>180</v>
      </c>
      <c r="B181" s="32" t="s">
        <v>410</v>
      </c>
      <c r="C181" s="32" t="s">
        <v>166</v>
      </c>
      <c r="D181" s="32" t="s">
        <v>4</v>
      </c>
      <c r="E181" s="32" t="s">
        <v>13</v>
      </c>
      <c r="F181" s="39">
        <v>3</v>
      </c>
      <c r="G181" s="39">
        <v>0</v>
      </c>
      <c r="H181" s="39">
        <v>0</v>
      </c>
      <c r="I181" s="39" t="s">
        <v>152</v>
      </c>
      <c r="J181" s="39">
        <v>0</v>
      </c>
      <c r="K181" s="39" t="s">
        <v>152</v>
      </c>
      <c r="L181" s="39">
        <v>1393046093137.2527</v>
      </c>
      <c r="M181" s="39">
        <v>17</v>
      </c>
      <c r="N181" s="39">
        <v>8510000000</v>
      </c>
      <c r="O181" s="39">
        <v>0</v>
      </c>
      <c r="P181" s="39">
        <v>0</v>
      </c>
      <c r="Q181" s="39">
        <v>17</v>
      </c>
      <c r="R181" s="19">
        <v>8510000000</v>
      </c>
      <c r="S181" s="39">
        <v>6.1089148750525478E-3</v>
      </c>
      <c r="T181" s="39">
        <v>0</v>
      </c>
      <c r="U181" s="39">
        <v>6.1089148750525478E-3</v>
      </c>
      <c r="V181" s="39">
        <v>6.3383061602973268E-3</v>
      </c>
      <c r="W181" s="39">
        <v>0</v>
      </c>
      <c r="X181" s="39">
        <v>3.9713836375260755E-3</v>
      </c>
      <c r="Y181" s="39">
        <v>500588235.29411763</v>
      </c>
      <c r="Z181" s="39">
        <v>3.5934793382662046E-4</v>
      </c>
      <c r="AA181" s="39">
        <v>2</v>
      </c>
      <c r="AB181" s="39">
        <v>0</v>
      </c>
      <c r="AC181" s="39">
        <v>0</v>
      </c>
      <c r="AD181" s="39">
        <v>0</v>
      </c>
      <c r="AE181" s="39">
        <v>0</v>
      </c>
      <c r="AF181" s="39">
        <v>0</v>
      </c>
      <c r="AG181" s="39">
        <v>0</v>
      </c>
      <c r="AH181" s="39">
        <v>0</v>
      </c>
      <c r="AI181" s="39">
        <v>0</v>
      </c>
      <c r="AJ181" s="39">
        <v>0</v>
      </c>
      <c r="AK181" s="39">
        <v>0</v>
      </c>
      <c r="AL181" s="19">
        <v>32639038000</v>
      </c>
      <c r="AM181" s="19">
        <v>7613577000</v>
      </c>
      <c r="AN181" s="39">
        <v>-25025461000</v>
      </c>
      <c r="AO181" s="39">
        <v>40252615000</v>
      </c>
      <c r="AP181" s="39">
        <v>375485170000</v>
      </c>
      <c r="AQ181" s="39">
        <v>337215114000</v>
      </c>
      <c r="AR181" s="39">
        <v>-38270056000</v>
      </c>
      <c r="AS181" s="39">
        <v>712700284000</v>
      </c>
      <c r="AT181" s="39">
        <v>8.692497229650907E-2</v>
      </c>
      <c r="AU181" s="39">
        <v>2.257780474216823E-2</v>
      </c>
      <c r="AV181" s="39">
        <v>0.1502800362357368</v>
      </c>
      <c r="AW181" s="39">
        <v>0.16298850742547216</v>
      </c>
      <c r="AX181" s="39">
        <v>5.6479021972720304E-2</v>
      </c>
      <c r="AY181" s="39">
        <v>2.8895393482169601E-2</v>
      </c>
      <c r="AZ181" s="39" t="s">
        <v>152</v>
      </c>
      <c r="BA181" s="39" t="s">
        <v>152</v>
      </c>
      <c r="BB181" s="39" t="s">
        <v>152</v>
      </c>
      <c r="BC181" s="39" t="s">
        <v>152</v>
      </c>
      <c r="BD181" s="39" t="s">
        <v>152</v>
      </c>
      <c r="BE181" s="39" t="s">
        <v>152</v>
      </c>
      <c r="BF181" s="39" t="s">
        <v>152</v>
      </c>
      <c r="BG181" s="39" t="s">
        <v>152</v>
      </c>
      <c r="BH181" s="39">
        <v>0</v>
      </c>
      <c r="BI181" s="39">
        <v>0</v>
      </c>
      <c r="BJ181" s="39">
        <v>0</v>
      </c>
      <c r="BK181" s="39">
        <v>0</v>
      </c>
      <c r="BL181" s="40">
        <v>0</v>
      </c>
      <c r="BM181" s="40">
        <v>0</v>
      </c>
    </row>
    <row r="182" spans="1:65" x14ac:dyDescent="0.35">
      <c r="A182" s="39">
        <v>181</v>
      </c>
      <c r="B182" s="32" t="s">
        <v>411</v>
      </c>
      <c r="C182" s="32" t="s">
        <v>108</v>
      </c>
      <c r="D182" s="32" t="s">
        <v>1</v>
      </c>
      <c r="E182" s="32" t="s">
        <v>10</v>
      </c>
      <c r="F182" s="39">
        <v>2</v>
      </c>
      <c r="G182" s="39">
        <v>1</v>
      </c>
      <c r="H182" s="39">
        <v>1</v>
      </c>
      <c r="I182" s="39">
        <v>2017</v>
      </c>
      <c r="J182" s="39">
        <v>0</v>
      </c>
      <c r="K182" s="39" t="s">
        <v>152</v>
      </c>
      <c r="L182" s="39">
        <v>83975584254.403229</v>
      </c>
      <c r="M182" s="39">
        <v>21</v>
      </c>
      <c r="N182" s="39">
        <v>5960000000</v>
      </c>
      <c r="O182" s="39">
        <v>21</v>
      </c>
      <c r="P182" s="39">
        <v>8860000000</v>
      </c>
      <c r="Q182" s="39">
        <v>42</v>
      </c>
      <c r="R182" s="19">
        <v>14820000000</v>
      </c>
      <c r="S182" s="39">
        <v>7.0973010225737002E-2</v>
      </c>
      <c r="T182" s="39">
        <v>0.1055068574832265</v>
      </c>
      <c r="U182" s="39">
        <v>0.17647986770896351</v>
      </c>
      <c r="V182" s="39">
        <v>4.4390487327111714E-3</v>
      </c>
      <c r="W182" s="39">
        <v>1.1142691853007017E-2</v>
      </c>
      <c r="X182" s="39">
        <v>6.9160876037763141E-3</v>
      </c>
      <c r="Y182" s="39">
        <v>871764705.88235295</v>
      </c>
      <c r="Z182" s="39">
        <v>1.0381168688762559E-2</v>
      </c>
      <c r="AA182" s="39">
        <v>1</v>
      </c>
      <c r="AB182" s="39">
        <v>3</v>
      </c>
      <c r="AC182" s="39">
        <v>460000000</v>
      </c>
      <c r="AD182" s="39">
        <v>2</v>
      </c>
      <c r="AE182" s="39">
        <v>102000000</v>
      </c>
      <c r="AF182" s="39">
        <v>0</v>
      </c>
      <c r="AG182" s="39">
        <v>0</v>
      </c>
      <c r="AH182" s="39">
        <v>5</v>
      </c>
      <c r="AI182" s="39">
        <v>562000000</v>
      </c>
      <c r="AJ182" s="39">
        <v>6.6924214340376171E-3</v>
      </c>
      <c r="AK182" s="39">
        <v>1.4099266361483615E-2</v>
      </c>
      <c r="AL182" s="19">
        <v>4032819000</v>
      </c>
      <c r="AM182" s="19">
        <v>256587000</v>
      </c>
      <c r="AN182" s="39">
        <v>-3776232000</v>
      </c>
      <c r="AO182" s="39">
        <v>4289406000</v>
      </c>
      <c r="AP182" s="39">
        <v>19474314000</v>
      </c>
      <c r="AQ182" s="39">
        <v>11974156000</v>
      </c>
      <c r="AR182" s="39">
        <v>-7500158000</v>
      </c>
      <c r="AS182" s="39">
        <v>31448470000</v>
      </c>
      <c r="AT182" s="39">
        <v>0.20708400819664302</v>
      </c>
      <c r="AU182" s="39">
        <v>2.1428399630003151E-2</v>
      </c>
      <c r="AV182" s="39">
        <v>7.7941842911828348E-3</v>
      </c>
      <c r="AW182" s="39">
        <v>5.7875514266533187E-3</v>
      </c>
      <c r="AX182" s="39">
        <v>0.13639474352806352</v>
      </c>
      <c r="AY182" s="39">
        <v>5.1079204010123773E-2</v>
      </c>
      <c r="AZ182" s="39">
        <v>174</v>
      </c>
      <c r="BA182" s="39">
        <v>15644917570.613316</v>
      </c>
      <c r="BB182" s="39">
        <v>117</v>
      </c>
      <c r="BC182" s="39">
        <v>6130186630.0136003</v>
      </c>
      <c r="BD182" s="39">
        <v>47</v>
      </c>
      <c r="BE182" s="39">
        <v>8665415491.7066727</v>
      </c>
      <c r="BF182" s="39">
        <v>10</v>
      </c>
      <c r="BG182" s="39">
        <v>849315448.89303958</v>
      </c>
      <c r="BH182" s="39">
        <v>0.18630317025502541</v>
      </c>
      <c r="BI182" s="39">
        <v>7.2999630600273743E-2</v>
      </c>
      <c r="BJ182" s="39">
        <v>0.10318970172871771</v>
      </c>
      <c r="BK182" s="39">
        <v>1.0113837926033912E-2</v>
      </c>
      <c r="BL182" s="40">
        <v>920289268.85960674</v>
      </c>
      <c r="BM182" s="40">
        <v>1.0959010015001493E-2</v>
      </c>
    </row>
    <row r="183" spans="1:65" x14ac:dyDescent="0.35">
      <c r="A183" s="39">
        <v>182</v>
      </c>
      <c r="B183" s="32" t="s">
        <v>461</v>
      </c>
      <c r="C183" s="32" t="s">
        <v>445</v>
      </c>
      <c r="D183" s="32" t="s">
        <v>12</v>
      </c>
      <c r="E183" s="32" t="s">
        <v>13</v>
      </c>
      <c r="F183" s="39">
        <v>0</v>
      </c>
      <c r="G183" s="39">
        <v>0</v>
      </c>
      <c r="H183" s="39">
        <v>0</v>
      </c>
      <c r="I183" s="39" t="s">
        <v>152</v>
      </c>
      <c r="J183" s="39">
        <v>0</v>
      </c>
      <c r="K183" s="39" t="s">
        <v>152</v>
      </c>
      <c r="L183" s="39" t="s">
        <v>152</v>
      </c>
      <c r="M183" s="39">
        <v>0</v>
      </c>
      <c r="N183" s="39">
        <v>0</v>
      </c>
      <c r="O183" s="39">
        <v>0</v>
      </c>
      <c r="P183" s="39">
        <v>0</v>
      </c>
      <c r="Q183" s="39">
        <v>0</v>
      </c>
      <c r="R183" s="19">
        <v>0</v>
      </c>
      <c r="S183" s="39">
        <v>0</v>
      </c>
      <c r="T183" s="39">
        <v>0</v>
      </c>
      <c r="U183" s="39">
        <v>0</v>
      </c>
      <c r="V183" s="39">
        <v>0</v>
      </c>
      <c r="W183" s="39">
        <v>0</v>
      </c>
      <c r="X183" s="39">
        <v>0</v>
      </c>
      <c r="Y183" s="39">
        <v>0</v>
      </c>
      <c r="Z183" s="39">
        <v>0</v>
      </c>
      <c r="AA183" s="39">
        <v>0</v>
      </c>
      <c r="AB183" s="39" t="s">
        <v>152</v>
      </c>
      <c r="AC183" s="39" t="s">
        <v>152</v>
      </c>
      <c r="AD183" s="39" t="s">
        <v>152</v>
      </c>
      <c r="AE183" s="39" t="s">
        <v>152</v>
      </c>
      <c r="AF183" s="39" t="s">
        <v>152</v>
      </c>
      <c r="AG183" s="39" t="s">
        <v>152</v>
      </c>
      <c r="AH183" s="39">
        <v>0</v>
      </c>
      <c r="AI183" s="39" t="s">
        <v>152</v>
      </c>
      <c r="AJ183" s="39" t="s">
        <v>152</v>
      </c>
      <c r="AK183" s="39" t="s">
        <v>152</v>
      </c>
      <c r="AL183" s="19" t="s">
        <v>152</v>
      </c>
      <c r="AM183" s="19" t="s">
        <v>152</v>
      </c>
      <c r="AN183" s="39" t="s">
        <v>152</v>
      </c>
      <c r="AO183" s="39" t="s">
        <v>152</v>
      </c>
      <c r="AP183" s="39" t="s">
        <v>152</v>
      </c>
      <c r="AQ183" s="39" t="s">
        <v>152</v>
      </c>
      <c r="AR183" s="39" t="s">
        <v>152</v>
      </c>
      <c r="AS183" s="39" t="s">
        <v>152</v>
      </c>
      <c r="AT183" s="39" t="s">
        <v>152</v>
      </c>
      <c r="AU183" s="39" t="s">
        <v>152</v>
      </c>
      <c r="AV183" s="39" t="s">
        <v>152</v>
      </c>
      <c r="AW183" s="39" t="s">
        <v>152</v>
      </c>
      <c r="AX183" s="39" t="s">
        <v>152</v>
      </c>
      <c r="AY183" s="39" t="s">
        <v>152</v>
      </c>
      <c r="AZ183" s="39">
        <v>0</v>
      </c>
      <c r="BA183" s="39" t="s">
        <v>152</v>
      </c>
      <c r="BB183" s="39" t="s">
        <v>152</v>
      </c>
      <c r="BC183" s="39" t="s">
        <v>152</v>
      </c>
      <c r="BD183" s="39" t="s">
        <v>152</v>
      </c>
      <c r="BE183" s="39" t="s">
        <v>152</v>
      </c>
      <c r="BF183" s="39" t="s">
        <v>152</v>
      </c>
      <c r="BG183" s="39" t="s">
        <v>152</v>
      </c>
      <c r="BH183" s="39">
        <v>0</v>
      </c>
      <c r="BI183" s="39">
        <v>0</v>
      </c>
      <c r="BJ183" s="39">
        <v>0</v>
      </c>
      <c r="BK183" s="39">
        <v>0</v>
      </c>
      <c r="BL183" s="40">
        <v>0</v>
      </c>
      <c r="BM183" s="40">
        <v>0</v>
      </c>
    </row>
    <row r="184" spans="1:65" x14ac:dyDescent="0.35">
      <c r="A184" s="39">
        <v>183</v>
      </c>
      <c r="B184" s="32" t="s">
        <v>412</v>
      </c>
      <c r="C184" s="32" t="s">
        <v>109</v>
      </c>
      <c r="D184" s="32" t="s">
        <v>9</v>
      </c>
      <c r="E184" s="32" t="s">
        <v>2</v>
      </c>
      <c r="F184" s="39">
        <v>0</v>
      </c>
      <c r="G184" s="39">
        <v>0</v>
      </c>
      <c r="H184" s="39">
        <v>1</v>
      </c>
      <c r="I184" s="39">
        <v>2018</v>
      </c>
      <c r="J184" s="39">
        <v>0</v>
      </c>
      <c r="K184" s="39" t="s">
        <v>152</v>
      </c>
      <c r="L184" s="39">
        <v>32250448249.459461</v>
      </c>
      <c r="M184" s="39">
        <v>18</v>
      </c>
      <c r="N184" s="39">
        <v>5390000000</v>
      </c>
      <c r="O184" s="39">
        <v>1</v>
      </c>
      <c r="P184" s="39">
        <v>1450000000</v>
      </c>
      <c r="Q184" s="39">
        <v>19</v>
      </c>
      <c r="R184" s="19">
        <v>6840000000</v>
      </c>
      <c r="S184" s="39">
        <v>0.16712945997860168</v>
      </c>
      <c r="T184" s="39">
        <v>4.4960615393130322E-2</v>
      </c>
      <c r="U184" s="39">
        <v>0.21209007537173202</v>
      </c>
      <c r="V184" s="39">
        <v>4.0145088371330894E-3</v>
      </c>
      <c r="W184" s="39">
        <v>1.8235782377946021E-3</v>
      </c>
      <c r="X184" s="39">
        <v>3.1920404325121452E-3</v>
      </c>
      <c r="Y184" s="39">
        <v>402352941.17647058</v>
      </c>
      <c r="Z184" s="39">
        <v>1.2475886786572471E-2</v>
      </c>
      <c r="AA184" s="39">
        <v>2</v>
      </c>
      <c r="AB184" s="39">
        <v>0</v>
      </c>
      <c r="AC184" s="39">
        <v>0</v>
      </c>
      <c r="AD184" s="39">
        <v>0</v>
      </c>
      <c r="AE184" s="39">
        <v>0</v>
      </c>
      <c r="AF184" s="39">
        <v>0</v>
      </c>
      <c r="AG184" s="39">
        <v>0</v>
      </c>
      <c r="AH184" s="39">
        <v>0</v>
      </c>
      <c r="AI184" s="39">
        <v>0</v>
      </c>
      <c r="AJ184" s="39">
        <v>0</v>
      </c>
      <c r="AK184" s="39">
        <v>0</v>
      </c>
      <c r="AL184" s="19">
        <v>2292123000</v>
      </c>
      <c r="AM184" s="19">
        <v>740420000</v>
      </c>
      <c r="AN184" s="39">
        <v>-1551703000</v>
      </c>
      <c r="AO184" s="39">
        <v>3032543000</v>
      </c>
      <c r="AP184" s="39">
        <v>8154317000</v>
      </c>
      <c r="AQ184" s="39">
        <v>4193398000</v>
      </c>
      <c r="AR184" s="39">
        <v>-3960919000</v>
      </c>
      <c r="AS184" s="39">
        <v>12347715000</v>
      </c>
      <c r="AT184" s="39">
        <v>0.28109319272233346</v>
      </c>
      <c r="AU184" s="39">
        <v>0.17656802430868712</v>
      </c>
      <c r="AV184" s="39">
        <v>3.2635937505539419E-3</v>
      </c>
      <c r="AW184" s="39">
        <v>2.0268239847071627E-3</v>
      </c>
      <c r="AX184" s="39">
        <v>0.24559548062131334</v>
      </c>
      <c r="AY184" s="39">
        <v>9.4031034128365248E-2</v>
      </c>
      <c r="AZ184" s="39">
        <v>285</v>
      </c>
      <c r="BA184" s="39">
        <v>20177493061.799458</v>
      </c>
      <c r="BB184" s="39">
        <v>210</v>
      </c>
      <c r="BC184" s="39">
        <v>3907103924.7161674</v>
      </c>
      <c r="BD184" s="39">
        <v>46</v>
      </c>
      <c r="BE184" s="39">
        <v>12873324230.182573</v>
      </c>
      <c r="BF184" s="39">
        <v>29</v>
      </c>
      <c r="BG184" s="39">
        <v>3397064906.9007163</v>
      </c>
      <c r="BH184" s="39">
        <v>0.62565000355111799</v>
      </c>
      <c r="BI184" s="39">
        <v>0.12114882542079561</v>
      </c>
      <c r="BJ184" s="39">
        <v>0.39916729623745117</v>
      </c>
      <c r="BK184" s="39">
        <v>0.10533388189287116</v>
      </c>
      <c r="BL184" s="40">
        <v>1186911356.5764387</v>
      </c>
      <c r="BM184" s="40">
        <v>3.6802941385359882E-2</v>
      </c>
    </row>
    <row r="185" spans="1:65" x14ac:dyDescent="0.35">
      <c r="A185" s="39">
        <v>184</v>
      </c>
      <c r="B185" s="32" t="s">
        <v>413</v>
      </c>
      <c r="C185" s="32" t="s">
        <v>110</v>
      </c>
      <c r="D185" s="32" t="s">
        <v>12</v>
      </c>
      <c r="E185" s="32" t="s">
        <v>5</v>
      </c>
      <c r="F185" s="39">
        <v>0</v>
      </c>
      <c r="G185" s="39">
        <v>0</v>
      </c>
      <c r="H185" s="39">
        <v>1</v>
      </c>
      <c r="I185" s="39">
        <v>2018</v>
      </c>
      <c r="J185" s="39">
        <v>0</v>
      </c>
      <c r="K185" s="39" t="s">
        <v>152</v>
      </c>
      <c r="L185" s="39">
        <v>4221373022.257978</v>
      </c>
      <c r="M185" s="39">
        <v>0</v>
      </c>
      <c r="N185" s="39">
        <v>0</v>
      </c>
      <c r="O185" s="39">
        <v>0</v>
      </c>
      <c r="P185" s="39">
        <v>0</v>
      </c>
      <c r="Q185" s="39">
        <v>0</v>
      </c>
      <c r="R185" s="19">
        <v>0</v>
      </c>
      <c r="S185" s="39">
        <v>0</v>
      </c>
      <c r="T185" s="39">
        <v>0</v>
      </c>
      <c r="U185" s="39">
        <v>0</v>
      </c>
      <c r="V185" s="39">
        <v>0</v>
      </c>
      <c r="W185" s="39">
        <v>0</v>
      </c>
      <c r="X185" s="39">
        <v>0</v>
      </c>
      <c r="Y185" s="39">
        <v>0</v>
      </c>
      <c r="Z185" s="39">
        <v>0</v>
      </c>
      <c r="AA185" s="39">
        <v>0</v>
      </c>
      <c r="AB185" s="39" t="s">
        <v>152</v>
      </c>
      <c r="AC185" s="39" t="s">
        <v>152</v>
      </c>
      <c r="AD185" s="39" t="s">
        <v>152</v>
      </c>
      <c r="AE185" s="39" t="s">
        <v>152</v>
      </c>
      <c r="AF185" s="39" t="s">
        <v>152</v>
      </c>
      <c r="AG185" s="39" t="s">
        <v>152</v>
      </c>
      <c r="AH185" s="39">
        <v>0</v>
      </c>
      <c r="AI185" s="39" t="s">
        <v>152</v>
      </c>
      <c r="AJ185" s="39" t="s">
        <v>152</v>
      </c>
      <c r="AK185" s="39" t="s">
        <v>152</v>
      </c>
      <c r="AL185" s="19">
        <v>127267000</v>
      </c>
      <c r="AM185" s="19">
        <v>24583000</v>
      </c>
      <c r="AN185" s="39">
        <v>-102684000</v>
      </c>
      <c r="AO185" s="39">
        <v>151850000</v>
      </c>
      <c r="AP185" s="39">
        <v>1711450000</v>
      </c>
      <c r="AQ185" s="39">
        <v>1460966000</v>
      </c>
      <c r="AR185" s="39">
        <v>-250484000</v>
      </c>
      <c r="AS185" s="39">
        <v>3172416000</v>
      </c>
      <c r="AT185" s="39">
        <v>7.43620906249087E-2</v>
      </c>
      <c r="AU185" s="39">
        <v>1.6826538057696072E-2</v>
      </c>
      <c r="AV185" s="39">
        <v>6.8497184060731817E-4</v>
      </c>
      <c r="AW185" s="39">
        <v>7.0613877567588012E-4</v>
      </c>
      <c r="AX185" s="39">
        <v>4.7865727571667779E-2</v>
      </c>
      <c r="AY185" s="39">
        <v>3.5971708541117427E-2</v>
      </c>
      <c r="AZ185" s="39">
        <v>63</v>
      </c>
      <c r="BA185" s="39">
        <v>1010006165.5037841</v>
      </c>
      <c r="BB185" s="39">
        <v>53</v>
      </c>
      <c r="BC185" s="39">
        <v>478905440.44215947</v>
      </c>
      <c r="BD185" s="39">
        <v>8</v>
      </c>
      <c r="BE185" s="39">
        <v>482517631.5506351</v>
      </c>
      <c r="BF185" s="39">
        <v>2</v>
      </c>
      <c r="BG185" s="39">
        <v>48583093.510989398</v>
      </c>
      <c r="BH185" s="39">
        <v>0.23926010806871079</v>
      </c>
      <c r="BI185" s="39">
        <v>0.11344779007139172</v>
      </c>
      <c r="BJ185" s="39">
        <v>0.11430348112011678</v>
      </c>
      <c r="BK185" s="39">
        <v>1.1508836877202265E-2</v>
      </c>
      <c r="BL185" s="40">
        <v>59412127.382575534</v>
      </c>
      <c r="BM185" s="40">
        <v>1.4074124004041811E-2</v>
      </c>
    </row>
    <row r="186" spans="1:65" x14ac:dyDescent="0.35">
      <c r="A186" s="39">
        <v>185</v>
      </c>
      <c r="B186" s="32" t="s">
        <v>415</v>
      </c>
      <c r="C186" s="32" t="s">
        <v>180</v>
      </c>
      <c r="D186" s="32" t="s">
        <v>4</v>
      </c>
      <c r="E186" s="32" t="s">
        <v>13</v>
      </c>
      <c r="F186" s="39">
        <v>0</v>
      </c>
      <c r="G186" s="39">
        <v>0</v>
      </c>
      <c r="H186" s="39">
        <v>0</v>
      </c>
      <c r="I186" s="39" t="s">
        <v>152</v>
      </c>
      <c r="J186" s="39">
        <v>0</v>
      </c>
      <c r="K186" s="39" t="s">
        <v>152</v>
      </c>
      <c r="L186" s="39">
        <v>533879529188.45374</v>
      </c>
      <c r="M186" s="39">
        <v>16</v>
      </c>
      <c r="N186" s="39">
        <v>15340000000</v>
      </c>
      <c r="O186" s="39">
        <v>0</v>
      </c>
      <c r="P186" s="39">
        <v>0</v>
      </c>
      <c r="Q186" s="39">
        <v>16</v>
      </c>
      <c r="R186" s="19">
        <v>15340000000</v>
      </c>
      <c r="S186" s="39">
        <v>2.8733073963930062E-2</v>
      </c>
      <c r="T186" s="39">
        <v>0</v>
      </c>
      <c r="U186" s="39">
        <v>2.8733073963930062E-2</v>
      </c>
      <c r="V186" s="39">
        <v>1.1425336838890833E-2</v>
      </c>
      <c r="W186" s="39">
        <v>0</v>
      </c>
      <c r="X186" s="39">
        <v>7.1587573442596936E-3</v>
      </c>
      <c r="Y186" s="39">
        <v>902352941.17647064</v>
      </c>
      <c r="Z186" s="39">
        <v>1.6901808214076508E-3</v>
      </c>
      <c r="AA186" s="39">
        <v>2</v>
      </c>
      <c r="AB186" s="39">
        <v>0</v>
      </c>
      <c r="AC186" s="39">
        <v>0</v>
      </c>
      <c r="AD186" s="39">
        <v>0</v>
      </c>
      <c r="AE186" s="39">
        <v>0</v>
      </c>
      <c r="AF186" s="39">
        <v>0</v>
      </c>
      <c r="AG186" s="39">
        <v>0</v>
      </c>
      <c r="AH186" s="39">
        <v>0</v>
      </c>
      <c r="AI186" s="39">
        <v>0</v>
      </c>
      <c r="AJ186" s="39">
        <v>0</v>
      </c>
      <c r="AK186" s="39">
        <v>0</v>
      </c>
      <c r="AL186" s="19">
        <v>9665818000</v>
      </c>
      <c r="AM186" s="19">
        <v>7538779000</v>
      </c>
      <c r="AN186" s="39">
        <v>-2127039000</v>
      </c>
      <c r="AO186" s="39">
        <v>17204597000</v>
      </c>
      <c r="AP186" s="39">
        <v>158959381000</v>
      </c>
      <c r="AQ186" s="39">
        <v>160567911000</v>
      </c>
      <c r="AR186" s="39">
        <v>1608530000</v>
      </c>
      <c r="AS186" s="39">
        <v>319527292000</v>
      </c>
      <c r="AT186" s="39">
        <v>6.0806842220906737E-2</v>
      </c>
      <c r="AU186" s="39">
        <v>4.6950719811008811E-2</v>
      </c>
      <c r="AV186" s="39">
        <v>6.3620146533857225E-2</v>
      </c>
      <c r="AW186" s="39">
        <v>7.7608396147736292E-2</v>
      </c>
      <c r="AX186" s="39">
        <v>5.3843904513796587E-2</v>
      </c>
      <c r="AY186" s="39">
        <v>3.2225616565880653E-2</v>
      </c>
      <c r="AZ186" s="39" t="s">
        <v>152</v>
      </c>
      <c r="BA186" s="39" t="s">
        <v>152</v>
      </c>
      <c r="BB186" s="39" t="s">
        <v>152</v>
      </c>
      <c r="BC186" s="39" t="s">
        <v>152</v>
      </c>
      <c r="BD186" s="39" t="s">
        <v>152</v>
      </c>
      <c r="BE186" s="39" t="s">
        <v>152</v>
      </c>
      <c r="BF186" s="39" t="s">
        <v>152</v>
      </c>
      <c r="BG186" s="39" t="s">
        <v>152</v>
      </c>
      <c r="BH186" s="39">
        <v>0</v>
      </c>
      <c r="BI186" s="39">
        <v>0</v>
      </c>
      <c r="BJ186" s="39">
        <v>0</v>
      </c>
      <c r="BK186" s="39">
        <v>0</v>
      </c>
      <c r="BL186" s="40">
        <v>0</v>
      </c>
      <c r="BM186" s="40">
        <v>0</v>
      </c>
    </row>
    <row r="187" spans="1:65" x14ac:dyDescent="0.35">
      <c r="A187" s="39">
        <v>186</v>
      </c>
      <c r="B187" s="32" t="s">
        <v>416</v>
      </c>
      <c r="C187" s="32" t="s">
        <v>171</v>
      </c>
      <c r="D187" s="32" t="s">
        <v>4</v>
      </c>
      <c r="E187" s="32" t="s">
        <v>13</v>
      </c>
      <c r="F187" s="39">
        <v>0</v>
      </c>
      <c r="G187" s="39">
        <v>1</v>
      </c>
      <c r="H187" s="39">
        <v>0</v>
      </c>
      <c r="I187" s="39" t="s">
        <v>152</v>
      </c>
      <c r="J187" s="39">
        <v>0</v>
      </c>
      <c r="K187" s="39" t="s">
        <v>152</v>
      </c>
      <c r="L187" s="39">
        <v>731767398052.87915</v>
      </c>
      <c r="M187" s="39">
        <v>18</v>
      </c>
      <c r="N187" s="39">
        <v>61210000000</v>
      </c>
      <c r="O187" s="39">
        <v>0</v>
      </c>
      <c r="P187" s="39">
        <v>0</v>
      </c>
      <c r="Q187" s="39">
        <v>18</v>
      </c>
      <c r="R187" s="19">
        <v>61210000000</v>
      </c>
      <c r="S187" s="39">
        <v>8.3646798371819278E-2</v>
      </c>
      <c r="T187" s="39">
        <v>0</v>
      </c>
      <c r="U187" s="39">
        <v>8.3646798371819278E-2</v>
      </c>
      <c r="V187" s="39">
        <v>4.5589626330411206E-2</v>
      </c>
      <c r="W187" s="39">
        <v>0</v>
      </c>
      <c r="X187" s="39">
        <v>2.856502849036088E-2</v>
      </c>
      <c r="Y187" s="39">
        <v>3600588235.2941175</v>
      </c>
      <c r="Z187" s="39">
        <v>4.9203999042246628E-3</v>
      </c>
      <c r="AA187" s="39">
        <v>2</v>
      </c>
      <c r="AB187" s="39">
        <v>0</v>
      </c>
      <c r="AC187" s="39">
        <v>0</v>
      </c>
      <c r="AD187" s="39">
        <v>0</v>
      </c>
      <c r="AE187" s="39">
        <v>0</v>
      </c>
      <c r="AF187" s="39">
        <v>0</v>
      </c>
      <c r="AG187" s="39">
        <v>0</v>
      </c>
      <c r="AH187" s="39">
        <v>0</v>
      </c>
      <c r="AI187" s="39">
        <v>0</v>
      </c>
      <c r="AJ187" s="39">
        <v>0</v>
      </c>
      <c r="AK187" s="39">
        <v>0</v>
      </c>
      <c r="AL187" s="19">
        <v>15152336000</v>
      </c>
      <c r="AM187" s="19">
        <v>21559003000</v>
      </c>
      <c r="AN187" s="39">
        <v>6406667000</v>
      </c>
      <c r="AO187" s="39">
        <v>36711339000</v>
      </c>
      <c r="AP187" s="39">
        <v>277207598000</v>
      </c>
      <c r="AQ187" s="39">
        <v>314145207000</v>
      </c>
      <c r="AR187" s="39">
        <v>36937609000</v>
      </c>
      <c r="AS187" s="39">
        <v>591352805000</v>
      </c>
      <c r="AT187" s="39">
        <v>5.4660608545080355E-2</v>
      </c>
      <c r="AU187" s="39">
        <v>6.8627508934108933E-2</v>
      </c>
      <c r="AV187" s="39">
        <v>0.11094650654847847</v>
      </c>
      <c r="AW187" s="39">
        <v>0.1518379701207461</v>
      </c>
      <c r="AX187" s="39">
        <v>6.208026526567334E-2</v>
      </c>
      <c r="AY187" s="39">
        <v>5.016804396818339E-2</v>
      </c>
      <c r="AZ187" s="39" t="s">
        <v>152</v>
      </c>
      <c r="BA187" s="39" t="s">
        <v>152</v>
      </c>
      <c r="BB187" s="39" t="s">
        <v>152</v>
      </c>
      <c r="BC187" s="39" t="s">
        <v>152</v>
      </c>
      <c r="BD187" s="39" t="s">
        <v>152</v>
      </c>
      <c r="BE187" s="39" t="s">
        <v>152</v>
      </c>
      <c r="BF187" s="39" t="s">
        <v>152</v>
      </c>
      <c r="BG187" s="39" t="s">
        <v>152</v>
      </c>
      <c r="BH187" s="39">
        <v>0</v>
      </c>
      <c r="BI187" s="39">
        <v>0</v>
      </c>
      <c r="BJ187" s="39">
        <v>0</v>
      </c>
      <c r="BK187" s="39">
        <v>0</v>
      </c>
      <c r="BL187" s="40">
        <v>0</v>
      </c>
      <c r="BM187" s="40">
        <v>0</v>
      </c>
    </row>
    <row r="188" spans="1:65" x14ac:dyDescent="0.35">
      <c r="A188" s="39">
        <v>187</v>
      </c>
      <c r="B188" s="32" t="s">
        <v>417</v>
      </c>
      <c r="C188" s="32" t="s">
        <v>182</v>
      </c>
      <c r="D188" s="32" t="s">
        <v>7</v>
      </c>
      <c r="E188" s="32" t="s">
        <v>2</v>
      </c>
      <c r="F188" s="39">
        <v>0</v>
      </c>
      <c r="G188" s="39">
        <v>0</v>
      </c>
      <c r="H188" s="39">
        <v>0</v>
      </c>
      <c r="I188" s="39" t="s">
        <v>152</v>
      </c>
      <c r="J188" s="39">
        <v>0</v>
      </c>
      <c r="K188" s="39" t="s">
        <v>152</v>
      </c>
      <c r="L188" s="39" t="s">
        <v>152</v>
      </c>
      <c r="M188" s="39">
        <v>4</v>
      </c>
      <c r="N188" s="39">
        <v>4060000000</v>
      </c>
      <c r="O188" s="39">
        <v>0</v>
      </c>
      <c r="P188" s="39">
        <v>0</v>
      </c>
      <c r="Q188" s="39">
        <v>4</v>
      </c>
      <c r="R188" s="19">
        <v>4060000000</v>
      </c>
      <c r="S188" s="39">
        <v>0</v>
      </c>
      <c r="T188" s="39">
        <v>0</v>
      </c>
      <c r="U188" s="39">
        <v>0</v>
      </c>
      <c r="V188" s="39">
        <v>3.0239157474508988E-3</v>
      </c>
      <c r="W188" s="39">
        <v>0</v>
      </c>
      <c r="X188" s="39">
        <v>1.8946906660817703E-3</v>
      </c>
      <c r="Y188" s="39">
        <v>238823529.41176471</v>
      </c>
      <c r="Z188" s="39">
        <v>0</v>
      </c>
      <c r="AA188" s="39">
        <v>0</v>
      </c>
      <c r="AB188" s="39" t="s">
        <v>152</v>
      </c>
      <c r="AC188" s="39" t="s">
        <v>152</v>
      </c>
      <c r="AD188" s="39" t="s">
        <v>152</v>
      </c>
      <c r="AE188" s="39" t="s">
        <v>152</v>
      </c>
      <c r="AF188" s="39" t="s">
        <v>152</v>
      </c>
      <c r="AG188" s="39" t="s">
        <v>152</v>
      </c>
      <c r="AH188" s="39">
        <v>0</v>
      </c>
      <c r="AI188" s="39" t="s">
        <v>152</v>
      </c>
      <c r="AJ188" s="39" t="s">
        <v>152</v>
      </c>
      <c r="AK188" s="39" t="s">
        <v>152</v>
      </c>
      <c r="AL188" s="19">
        <v>1315799000</v>
      </c>
      <c r="AM188" s="19">
        <v>1399000</v>
      </c>
      <c r="AN188" s="39">
        <v>-1314400000</v>
      </c>
      <c r="AO188" s="39">
        <v>1317198000</v>
      </c>
      <c r="AP188" s="39">
        <v>6283881000</v>
      </c>
      <c r="AQ188" s="39">
        <v>736769000</v>
      </c>
      <c r="AR188" s="39">
        <v>-5547112000</v>
      </c>
      <c r="AS188" s="39">
        <v>7020650000</v>
      </c>
      <c r="AT188" s="39">
        <v>0.20939273038429596</v>
      </c>
      <c r="AU188" s="39">
        <v>1.898831248328852E-3</v>
      </c>
      <c r="AV188" s="39">
        <v>2.5149911097182825E-3</v>
      </c>
      <c r="AW188" s="39">
        <v>3.561076435837265E-4</v>
      </c>
      <c r="AX188" s="39">
        <v>0.18761767072849381</v>
      </c>
      <c r="AY188" s="39" t="s">
        <v>152</v>
      </c>
      <c r="AZ188" s="39">
        <v>60</v>
      </c>
      <c r="BA188" s="39">
        <v>363754853.11969489</v>
      </c>
      <c r="BB188" s="39">
        <v>58</v>
      </c>
      <c r="BC188" s="39">
        <v>321470491.99145317</v>
      </c>
      <c r="BD188" s="39">
        <v>2</v>
      </c>
      <c r="BE188" s="39">
        <v>42284361.128241703</v>
      </c>
      <c r="BF188" s="39">
        <v>0</v>
      </c>
      <c r="BG188" s="39">
        <v>0</v>
      </c>
      <c r="BH188" s="39">
        <v>0</v>
      </c>
      <c r="BI188" s="39">
        <v>0</v>
      </c>
      <c r="BJ188" s="39">
        <v>0</v>
      </c>
      <c r="BK188" s="39">
        <v>0</v>
      </c>
      <c r="BL188" s="40">
        <v>21397344.301158521</v>
      </c>
      <c r="BM188" s="40">
        <v>0</v>
      </c>
    </row>
    <row r="189" spans="1:65" x14ac:dyDescent="0.35">
      <c r="A189" s="39">
        <v>188</v>
      </c>
      <c r="B189" s="32" t="s">
        <v>418</v>
      </c>
      <c r="C189" s="32" t="s">
        <v>208</v>
      </c>
      <c r="D189" s="32" t="s">
        <v>23</v>
      </c>
      <c r="E189" s="32" t="s">
        <v>152</v>
      </c>
      <c r="F189" s="39">
        <v>0</v>
      </c>
      <c r="G189" s="39">
        <v>0</v>
      </c>
      <c r="H189" s="39">
        <v>0</v>
      </c>
      <c r="I189" s="39" t="s">
        <v>152</v>
      </c>
      <c r="J189" s="39">
        <v>0</v>
      </c>
      <c r="K189" s="39" t="s">
        <v>152</v>
      </c>
      <c r="L189" s="39" t="s">
        <v>152</v>
      </c>
      <c r="M189" s="39">
        <v>3</v>
      </c>
      <c r="N189" s="39">
        <v>1220000000</v>
      </c>
      <c r="O189" s="39">
        <v>0</v>
      </c>
      <c r="P189" s="39">
        <v>0</v>
      </c>
      <c r="Q189" s="39">
        <v>3</v>
      </c>
      <c r="R189" s="19">
        <v>1220000000</v>
      </c>
      <c r="S189" s="39">
        <v>0</v>
      </c>
      <c r="T189" s="39">
        <v>0</v>
      </c>
      <c r="U189" s="39">
        <v>0</v>
      </c>
      <c r="V189" s="39">
        <v>9.0866433790396457E-4</v>
      </c>
      <c r="W189" s="39">
        <v>0</v>
      </c>
      <c r="X189" s="39">
        <v>5.6934054498023639E-4</v>
      </c>
      <c r="Y189" s="39">
        <v>71764705.882352948</v>
      </c>
      <c r="Z189" s="39">
        <v>0</v>
      </c>
      <c r="AA189" s="39">
        <v>0</v>
      </c>
      <c r="AB189" s="39" t="s">
        <v>152</v>
      </c>
      <c r="AC189" s="39" t="s">
        <v>152</v>
      </c>
      <c r="AD189" s="39" t="s">
        <v>152</v>
      </c>
      <c r="AE189" s="39" t="s">
        <v>152</v>
      </c>
      <c r="AF189" s="39" t="s">
        <v>152</v>
      </c>
      <c r="AG189" s="39" t="s">
        <v>152</v>
      </c>
      <c r="AH189" s="39">
        <v>0</v>
      </c>
      <c r="AI189" s="39" t="s">
        <v>152</v>
      </c>
      <c r="AJ189" s="39" t="s">
        <v>152</v>
      </c>
      <c r="AK189" s="39" t="s">
        <v>152</v>
      </c>
      <c r="AL189" s="19">
        <v>57432534000</v>
      </c>
      <c r="AM189" s="19">
        <v>91886693000</v>
      </c>
      <c r="AN189" s="39">
        <v>34454159000</v>
      </c>
      <c r="AO189" s="39">
        <v>149319227000</v>
      </c>
      <c r="AP189" s="39">
        <v>285906281000</v>
      </c>
      <c r="AQ189" s="39">
        <v>329512433000</v>
      </c>
      <c r="AR189" s="39">
        <v>43606152000</v>
      </c>
      <c r="AS189" s="39">
        <v>615418714000</v>
      </c>
      <c r="AT189" s="39">
        <v>0.20087888170599513</v>
      </c>
      <c r="AU189" s="39">
        <v>0.27885652800238953</v>
      </c>
      <c r="AV189" s="39">
        <v>0.11442797133294171</v>
      </c>
      <c r="AW189" s="39">
        <v>0.15926551747857273</v>
      </c>
      <c r="AX189" s="39">
        <v>0.24263029966943775</v>
      </c>
      <c r="AY189" s="39" t="s">
        <v>152</v>
      </c>
      <c r="AZ189" s="39" t="s">
        <v>152</v>
      </c>
      <c r="BA189" s="39" t="s">
        <v>152</v>
      </c>
      <c r="BB189" s="39" t="s">
        <v>152</v>
      </c>
      <c r="BC189" s="39" t="s">
        <v>152</v>
      </c>
      <c r="BD189" s="39" t="s">
        <v>152</v>
      </c>
      <c r="BE189" s="39" t="s">
        <v>152</v>
      </c>
      <c r="BF189" s="39" t="s">
        <v>152</v>
      </c>
      <c r="BG189" s="39" t="s">
        <v>152</v>
      </c>
      <c r="BH189" s="39">
        <v>0</v>
      </c>
      <c r="BI189" s="39">
        <v>0</v>
      </c>
      <c r="BJ189" s="39">
        <v>0</v>
      </c>
      <c r="BK189" s="39">
        <v>0</v>
      </c>
      <c r="BL189" s="40">
        <v>0</v>
      </c>
      <c r="BM189" s="40">
        <v>0</v>
      </c>
    </row>
    <row r="190" spans="1:65" x14ac:dyDescent="0.35">
      <c r="A190" s="39">
        <v>189</v>
      </c>
      <c r="B190" s="32" t="s">
        <v>419</v>
      </c>
      <c r="C190" s="32" t="s">
        <v>111</v>
      </c>
      <c r="D190" s="32" t="s">
        <v>4</v>
      </c>
      <c r="E190" s="32" t="s">
        <v>10</v>
      </c>
      <c r="F190" s="39">
        <v>2</v>
      </c>
      <c r="G190" s="39">
        <v>0</v>
      </c>
      <c r="H190" s="39">
        <v>1</v>
      </c>
      <c r="I190" s="39">
        <v>2018</v>
      </c>
      <c r="J190" s="39">
        <v>0</v>
      </c>
      <c r="K190" s="39" t="s">
        <v>152</v>
      </c>
      <c r="L190" s="39">
        <v>8300784856.8790398</v>
      </c>
      <c r="M190" s="39">
        <v>5</v>
      </c>
      <c r="N190" s="39">
        <v>1610000000</v>
      </c>
      <c r="O190" s="39">
        <v>2</v>
      </c>
      <c r="P190" s="39">
        <v>710000000</v>
      </c>
      <c r="Q190" s="39">
        <v>7</v>
      </c>
      <c r="R190" s="19">
        <v>2320000000</v>
      </c>
      <c r="S190" s="39">
        <v>0.19395756277983259</v>
      </c>
      <c r="T190" s="39">
        <v>8.5534080480547295E-2</v>
      </c>
      <c r="U190" s="39">
        <v>0.2794916432603799</v>
      </c>
      <c r="V190" s="39">
        <v>1.1991390032994942E-3</v>
      </c>
      <c r="W190" s="39">
        <v>8.9292451643735698E-4</v>
      </c>
      <c r="X190" s="39">
        <v>1.0826803806181545E-3</v>
      </c>
      <c r="Y190" s="39">
        <v>136470588.2352941</v>
      </c>
      <c r="Z190" s="39">
        <v>1.6440684897669401E-2</v>
      </c>
      <c r="AA190" s="39">
        <v>1</v>
      </c>
      <c r="AB190" s="39">
        <v>2</v>
      </c>
      <c r="AC190" s="39">
        <v>87500000</v>
      </c>
      <c r="AD190" s="39">
        <v>1</v>
      </c>
      <c r="AE190" s="39">
        <v>55000000</v>
      </c>
      <c r="AF190" s="39">
        <v>0</v>
      </c>
      <c r="AG190" s="39">
        <v>0</v>
      </c>
      <c r="AH190" s="39">
        <v>3</v>
      </c>
      <c r="AI190" s="39">
        <v>142500000</v>
      </c>
      <c r="AJ190" s="39">
        <v>1.7167051364053505E-2</v>
      </c>
      <c r="AK190" s="39">
        <v>3.5749919155007386E-3</v>
      </c>
      <c r="AL190" s="19">
        <v>605468000</v>
      </c>
      <c r="AM190" s="19">
        <v>55419000</v>
      </c>
      <c r="AN190" s="39">
        <v>-550049000</v>
      </c>
      <c r="AO190" s="39">
        <v>660887000</v>
      </c>
      <c r="AP190" s="39">
        <v>3327744000</v>
      </c>
      <c r="AQ190" s="39">
        <v>1115850000</v>
      </c>
      <c r="AR190" s="39">
        <v>-2211894000</v>
      </c>
      <c r="AS190" s="39">
        <v>4443594000</v>
      </c>
      <c r="AT190" s="39">
        <v>0.18194548619124548</v>
      </c>
      <c r="AU190" s="39">
        <v>4.9665277591074072E-2</v>
      </c>
      <c r="AV190" s="39">
        <v>1.3318594950188197E-3</v>
      </c>
      <c r="AW190" s="39">
        <v>5.3933147851348404E-4</v>
      </c>
      <c r="AX190" s="39">
        <v>0.14872803410932681</v>
      </c>
      <c r="AY190" s="39">
        <v>7.9617411051475295E-2</v>
      </c>
      <c r="AZ190" s="39">
        <v>110</v>
      </c>
      <c r="BA190" s="39">
        <v>4526207246.7776613</v>
      </c>
      <c r="BB190" s="39">
        <v>68</v>
      </c>
      <c r="BC190" s="39">
        <v>1220500441.5102644</v>
      </c>
      <c r="BD190" s="39">
        <v>33</v>
      </c>
      <c r="BE190" s="39">
        <v>2663613033.5387716</v>
      </c>
      <c r="BF190" s="39">
        <v>9</v>
      </c>
      <c r="BG190" s="39">
        <v>642093771.72862554</v>
      </c>
      <c r="BH190" s="39">
        <v>0.54527461255988285</v>
      </c>
      <c r="BI190" s="39">
        <v>0.14703434224039783</v>
      </c>
      <c r="BJ190" s="39">
        <v>0.32088688954892958</v>
      </c>
      <c r="BK190" s="39">
        <v>7.7353380770555522E-2</v>
      </c>
      <c r="BL190" s="40">
        <v>266247485.1045683</v>
      </c>
      <c r="BM190" s="40">
        <v>3.2074977209404873E-2</v>
      </c>
    </row>
    <row r="191" spans="1:65" x14ac:dyDescent="0.35">
      <c r="A191" s="39">
        <v>190</v>
      </c>
      <c r="B191" s="32" t="s">
        <v>420</v>
      </c>
      <c r="C191" s="32" t="s">
        <v>112</v>
      </c>
      <c r="D191" s="32" t="s">
        <v>9</v>
      </c>
      <c r="E191" s="32" t="s">
        <v>10</v>
      </c>
      <c r="F191" s="39">
        <v>1</v>
      </c>
      <c r="G191" s="39">
        <v>0</v>
      </c>
      <c r="H191" s="39">
        <v>1</v>
      </c>
      <c r="I191" s="39">
        <v>2018</v>
      </c>
      <c r="J191" s="39">
        <v>0</v>
      </c>
      <c r="K191" s="39" t="s">
        <v>152</v>
      </c>
      <c r="L191" s="39">
        <v>61136873747.332352</v>
      </c>
      <c r="M191" s="39">
        <v>6</v>
      </c>
      <c r="N191" s="39">
        <v>1400000000</v>
      </c>
      <c r="O191" s="39">
        <v>24</v>
      </c>
      <c r="P191" s="39">
        <v>13550000000</v>
      </c>
      <c r="Q191" s="39">
        <v>30</v>
      </c>
      <c r="R191" s="19">
        <v>14950000000</v>
      </c>
      <c r="S191" s="39">
        <v>2.2899437183948053E-2</v>
      </c>
      <c r="T191" s="39">
        <v>0.22163383845892579</v>
      </c>
      <c r="U191" s="39">
        <v>0.24453327564287386</v>
      </c>
      <c r="V191" s="39">
        <v>1.0427295680865167E-3</v>
      </c>
      <c r="W191" s="39">
        <v>1.7041024222149558E-2</v>
      </c>
      <c r="X191" s="39">
        <v>6.9767550388971592E-3</v>
      </c>
      <c r="Y191" s="39">
        <v>879411764.70588231</v>
      </c>
      <c r="Z191" s="39">
        <v>1.4384310331933756E-2</v>
      </c>
      <c r="AA191" s="39">
        <v>0</v>
      </c>
      <c r="AB191" s="39" t="s">
        <v>152</v>
      </c>
      <c r="AC191" s="39" t="s">
        <v>152</v>
      </c>
      <c r="AD191" s="39" t="s">
        <v>152</v>
      </c>
      <c r="AE191" s="39" t="s">
        <v>152</v>
      </c>
      <c r="AF191" s="39" t="s">
        <v>152</v>
      </c>
      <c r="AG191" s="39" t="s">
        <v>152</v>
      </c>
      <c r="AH191" s="39">
        <v>0</v>
      </c>
      <c r="AI191" s="39" t="s">
        <v>152</v>
      </c>
      <c r="AJ191" s="39" t="s">
        <v>152</v>
      </c>
      <c r="AK191" s="39" t="s">
        <v>152</v>
      </c>
      <c r="AL191" s="19">
        <v>1992547000</v>
      </c>
      <c r="AM191" s="19">
        <v>230712000</v>
      </c>
      <c r="AN191" s="39">
        <v>-1761835000</v>
      </c>
      <c r="AO191" s="39">
        <v>2223259000</v>
      </c>
      <c r="AP191" s="39">
        <v>9077091000</v>
      </c>
      <c r="AQ191" s="39">
        <v>4932713000</v>
      </c>
      <c r="AR191" s="39">
        <v>-4144378000</v>
      </c>
      <c r="AS191" s="39">
        <v>14009804000</v>
      </c>
      <c r="AT191" s="39">
        <v>0.21951382882467521</v>
      </c>
      <c r="AU191" s="39">
        <v>4.6771827187188877E-2</v>
      </c>
      <c r="AV191" s="39">
        <v>3.632914621887944E-3</v>
      </c>
      <c r="AW191" s="39">
        <v>2.3841622040352054E-3</v>
      </c>
      <c r="AX191" s="39">
        <v>0.15869308378618288</v>
      </c>
      <c r="AY191" s="39">
        <v>3.6365271295819401E-2</v>
      </c>
      <c r="AZ191" s="39">
        <v>204</v>
      </c>
      <c r="BA191" s="39">
        <v>14476993314.021706</v>
      </c>
      <c r="BB191" s="39">
        <v>174</v>
      </c>
      <c r="BC191" s="39">
        <v>10042915638.938545</v>
      </c>
      <c r="BD191" s="39">
        <v>22</v>
      </c>
      <c r="BE191" s="39">
        <v>2193990114.9791784</v>
      </c>
      <c r="BF191" s="39">
        <v>8</v>
      </c>
      <c r="BG191" s="39">
        <v>2240087560.1039782</v>
      </c>
      <c r="BH191" s="39">
        <v>0.23679642786205429</v>
      </c>
      <c r="BI191" s="39">
        <v>0.16426936844111625</v>
      </c>
      <c r="BJ191" s="39">
        <v>3.58865277286919E-2</v>
      </c>
      <c r="BK191" s="39">
        <v>3.6640531692246077E-2</v>
      </c>
      <c r="BL191" s="40">
        <v>851587842.00127685</v>
      </c>
      <c r="BM191" s="40">
        <v>1.392920163894437E-2</v>
      </c>
    </row>
    <row r="192" spans="1:65" x14ac:dyDescent="0.35">
      <c r="A192" s="39">
        <v>191</v>
      </c>
      <c r="B192" s="32" t="s">
        <v>421</v>
      </c>
      <c r="C192" s="32" t="s">
        <v>113</v>
      </c>
      <c r="D192" s="32" t="s">
        <v>23</v>
      </c>
      <c r="E192" s="32" t="s">
        <v>5</v>
      </c>
      <c r="F192" s="39">
        <v>4</v>
      </c>
      <c r="G192" s="39">
        <v>1</v>
      </c>
      <c r="H192" s="39">
        <v>1</v>
      </c>
      <c r="I192" s="39">
        <v>2014</v>
      </c>
      <c r="J192" s="39">
        <v>0</v>
      </c>
      <c r="K192" s="39" t="s">
        <v>152</v>
      </c>
      <c r="L192" s="39">
        <v>544263968873.60052</v>
      </c>
      <c r="M192" s="39">
        <v>8</v>
      </c>
      <c r="N192" s="39">
        <v>1780000000</v>
      </c>
      <c r="O192" s="39">
        <v>29</v>
      </c>
      <c r="P192" s="39">
        <v>8360000000</v>
      </c>
      <c r="Q192" s="39">
        <v>37</v>
      </c>
      <c r="R192" s="19">
        <v>10140000000</v>
      </c>
      <c r="S192" s="39">
        <v>3.2704718698977221E-3</v>
      </c>
      <c r="T192" s="39">
        <v>1.5360193726036492E-2</v>
      </c>
      <c r="U192" s="39">
        <v>1.8630665595934216E-2</v>
      </c>
      <c r="V192" s="39">
        <v>1.3257561651385712E-3</v>
      </c>
      <c r="W192" s="39">
        <v>1.0513871771008879E-2</v>
      </c>
      <c r="X192" s="39">
        <v>4.7320599394258993E-3</v>
      </c>
      <c r="Y192" s="39">
        <v>596470588.2352941</v>
      </c>
      <c r="Z192" s="39">
        <v>1.0959215056431891E-3</v>
      </c>
      <c r="AA192" s="39">
        <v>1</v>
      </c>
      <c r="AB192" s="39">
        <v>0</v>
      </c>
      <c r="AC192" s="39">
        <v>0</v>
      </c>
      <c r="AD192" s="39">
        <v>1</v>
      </c>
      <c r="AE192" s="39">
        <v>500000000</v>
      </c>
      <c r="AF192" s="39">
        <v>0</v>
      </c>
      <c r="AG192" s="39">
        <v>0</v>
      </c>
      <c r="AH192" s="39">
        <v>1</v>
      </c>
      <c r="AI192" s="39">
        <v>500000000</v>
      </c>
      <c r="AJ192" s="39">
        <v>9.1867187356677591E-4</v>
      </c>
      <c r="AK192" s="39">
        <v>1.2543831282458732E-2</v>
      </c>
      <c r="AL192" s="19">
        <v>50953351000</v>
      </c>
      <c r="AM192" s="19">
        <v>29002027000</v>
      </c>
      <c r="AN192" s="39">
        <v>-21951324000</v>
      </c>
      <c r="AO192" s="39">
        <v>79955378000</v>
      </c>
      <c r="AP192" s="39">
        <v>240139196000</v>
      </c>
      <c r="AQ192" s="39">
        <v>245380465000</v>
      </c>
      <c r="AR192" s="39">
        <v>5241269000</v>
      </c>
      <c r="AS192" s="39">
        <v>485519661000</v>
      </c>
      <c r="AT192" s="39">
        <v>0.21218256681429049</v>
      </c>
      <c r="AU192" s="39">
        <v>0.11819207775973528</v>
      </c>
      <c r="AV192" s="39">
        <v>9.6110658848392594E-2</v>
      </c>
      <c r="AW192" s="39">
        <v>0.11860143297645404</v>
      </c>
      <c r="AX192" s="39">
        <v>0.16468000046655165</v>
      </c>
      <c r="AY192" s="39">
        <v>0.14690551381799954</v>
      </c>
      <c r="AZ192" s="39">
        <v>55</v>
      </c>
      <c r="BA192" s="39">
        <v>2707817429.782577</v>
      </c>
      <c r="BB192" s="39">
        <v>23</v>
      </c>
      <c r="BC192" s="39">
        <v>17890173.653132062</v>
      </c>
      <c r="BD192" s="39">
        <v>27</v>
      </c>
      <c r="BE192" s="39">
        <v>2677493910.3410997</v>
      </c>
      <c r="BF192" s="39">
        <v>5</v>
      </c>
      <c r="BG192" s="39">
        <v>12433345.7883453</v>
      </c>
      <c r="BH192" s="39">
        <v>4.9751914229902638E-3</v>
      </c>
      <c r="BI192" s="39">
        <v>3.2870398696715605E-5</v>
      </c>
      <c r="BJ192" s="39">
        <v>4.9194766941533822E-3</v>
      </c>
      <c r="BK192" s="39">
        <v>2.2844330140165517E-5</v>
      </c>
      <c r="BL192" s="40">
        <v>159283378.22250453</v>
      </c>
      <c r="BM192" s="40">
        <v>2.9265831899942724E-4</v>
      </c>
    </row>
    <row r="193" spans="1:65" x14ac:dyDescent="0.35">
      <c r="A193" s="39">
        <v>192</v>
      </c>
      <c r="B193" s="32" t="s">
        <v>294</v>
      </c>
      <c r="C193" s="32" t="s">
        <v>209</v>
      </c>
      <c r="D193" s="32" t="s">
        <v>23</v>
      </c>
      <c r="E193" s="32" t="s">
        <v>10</v>
      </c>
      <c r="F193" s="39">
        <v>0</v>
      </c>
      <c r="G193" s="39">
        <v>0</v>
      </c>
      <c r="H193" s="39">
        <v>1</v>
      </c>
      <c r="I193" s="39">
        <v>2017</v>
      </c>
      <c r="J193" s="39">
        <v>0</v>
      </c>
      <c r="K193" s="39" t="s">
        <v>152</v>
      </c>
      <c r="L193" s="39">
        <v>2017924900</v>
      </c>
      <c r="M193" s="39">
        <v>0</v>
      </c>
      <c r="N193" s="39">
        <v>0</v>
      </c>
      <c r="O193" s="39">
        <v>2</v>
      </c>
      <c r="P193" s="39">
        <v>780000000</v>
      </c>
      <c r="Q193" s="39">
        <v>2</v>
      </c>
      <c r="R193" s="19">
        <v>780000000</v>
      </c>
      <c r="S193" s="39">
        <v>0</v>
      </c>
      <c r="T193" s="39">
        <v>0.38653569317668857</v>
      </c>
      <c r="U193" s="39">
        <v>0.38653569317668857</v>
      </c>
      <c r="V193" s="39">
        <v>0</v>
      </c>
      <c r="W193" s="39">
        <v>9.8095932791709625E-4</v>
      </c>
      <c r="X193" s="39">
        <v>3.6400461072506917E-4</v>
      </c>
      <c r="Y193" s="39">
        <v>45882352.941176474</v>
      </c>
      <c r="Z193" s="39">
        <v>2.2737393716275801E-2</v>
      </c>
      <c r="AA193" s="39">
        <v>1</v>
      </c>
      <c r="AB193" s="39">
        <v>0</v>
      </c>
      <c r="AC193" s="39">
        <v>0</v>
      </c>
      <c r="AD193" s="39">
        <v>0</v>
      </c>
      <c r="AE193" s="39">
        <v>0</v>
      </c>
      <c r="AF193" s="39">
        <v>0</v>
      </c>
      <c r="AG193" s="39">
        <v>0</v>
      </c>
      <c r="AH193" s="39">
        <v>0</v>
      </c>
      <c r="AI193" s="39">
        <v>0</v>
      </c>
      <c r="AJ193" s="39">
        <v>0</v>
      </c>
      <c r="AK193" s="39">
        <v>0</v>
      </c>
      <c r="AL193" s="19">
        <v>143579000</v>
      </c>
      <c r="AM193" s="19">
        <v>24561000</v>
      </c>
      <c r="AN193" s="39">
        <v>-119018000</v>
      </c>
      <c r="AO193" s="39">
        <v>168140000</v>
      </c>
      <c r="AP193" s="39">
        <v>547133000</v>
      </c>
      <c r="AQ193" s="39">
        <v>123273000</v>
      </c>
      <c r="AR193" s="39">
        <v>-423860000</v>
      </c>
      <c r="AS193" s="39">
        <v>670406000</v>
      </c>
      <c r="AT193" s="39">
        <v>0.2624206545757613</v>
      </c>
      <c r="AU193" s="39">
        <v>0.19924070964444768</v>
      </c>
      <c r="AV193" s="39">
        <v>2.1897846742061043E-4</v>
      </c>
      <c r="AW193" s="39">
        <v>5.9582389524391928E-5</v>
      </c>
      <c r="AX193" s="39">
        <v>0.25080324460103282</v>
      </c>
      <c r="AY193" s="39">
        <v>8.3323219808626184E-2</v>
      </c>
      <c r="AZ193" s="39">
        <v>75</v>
      </c>
      <c r="BA193" s="39">
        <v>248960207.85690689</v>
      </c>
      <c r="BB193" s="39">
        <v>72</v>
      </c>
      <c r="BC193" s="39">
        <v>199802597.25105408</v>
      </c>
      <c r="BD193" s="39">
        <v>1</v>
      </c>
      <c r="BE193" s="39">
        <v>49157610.605852798</v>
      </c>
      <c r="BF193" s="39">
        <v>2</v>
      </c>
      <c r="BG193" s="39">
        <v>0</v>
      </c>
      <c r="BH193" s="39">
        <v>0.12337436732997689</v>
      </c>
      <c r="BI193" s="39">
        <v>9.9013891572998614E-2</v>
      </c>
      <c r="BJ193" s="39">
        <v>2.4360475756978268E-2</v>
      </c>
      <c r="BK193" s="39">
        <v>0</v>
      </c>
      <c r="BL193" s="40">
        <v>14644718.109229818</v>
      </c>
      <c r="BM193" s="40">
        <v>7.2573157252927593E-3</v>
      </c>
    </row>
    <row r="194" spans="1:65" x14ac:dyDescent="0.35">
      <c r="A194" s="39">
        <v>193</v>
      </c>
      <c r="B194" s="32" t="s">
        <v>422</v>
      </c>
      <c r="C194" s="32" t="s">
        <v>114</v>
      </c>
      <c r="D194" s="32" t="s">
        <v>9</v>
      </c>
      <c r="E194" s="32" t="s">
        <v>2</v>
      </c>
      <c r="F194" s="39">
        <v>0</v>
      </c>
      <c r="G194" s="39">
        <v>0</v>
      </c>
      <c r="H194" s="39">
        <v>1</v>
      </c>
      <c r="I194" s="39">
        <v>2018</v>
      </c>
      <c r="J194" s="39">
        <v>0</v>
      </c>
      <c r="K194" s="39" t="s">
        <v>152</v>
      </c>
      <c r="L194" s="39">
        <v>7220395247.7424049</v>
      </c>
      <c r="M194" s="39">
        <v>3</v>
      </c>
      <c r="N194" s="39">
        <v>730000000</v>
      </c>
      <c r="O194" s="39">
        <v>0</v>
      </c>
      <c r="P194" s="39">
        <v>0</v>
      </c>
      <c r="Q194" s="39">
        <v>3</v>
      </c>
      <c r="R194" s="19">
        <v>730000000</v>
      </c>
      <c r="S194" s="39">
        <v>0.10110249854095571</v>
      </c>
      <c r="T194" s="39">
        <v>0</v>
      </c>
      <c r="U194" s="39">
        <v>0.10110249854095571</v>
      </c>
      <c r="V194" s="39">
        <v>5.4370898907368369E-4</v>
      </c>
      <c r="W194" s="39">
        <v>0</v>
      </c>
      <c r="X194" s="39">
        <v>3.4067098183243654E-4</v>
      </c>
      <c r="Y194" s="39">
        <v>42941176.470588237</v>
      </c>
      <c r="Z194" s="39">
        <v>5.947205796526806E-3</v>
      </c>
      <c r="AA194" s="39">
        <v>3</v>
      </c>
      <c r="AB194" s="39">
        <v>0</v>
      </c>
      <c r="AC194" s="39">
        <v>0</v>
      </c>
      <c r="AD194" s="39">
        <v>0</v>
      </c>
      <c r="AE194" s="39">
        <v>0</v>
      </c>
      <c r="AF194" s="39">
        <v>0</v>
      </c>
      <c r="AG194" s="39">
        <v>0</v>
      </c>
      <c r="AH194" s="39">
        <v>0</v>
      </c>
      <c r="AI194" s="39">
        <v>0</v>
      </c>
      <c r="AJ194" s="39">
        <v>0</v>
      </c>
      <c r="AK194" s="39">
        <v>0</v>
      </c>
      <c r="AL194" s="19">
        <v>403066000</v>
      </c>
      <c r="AM194" s="19">
        <v>9334000</v>
      </c>
      <c r="AN194" s="39">
        <v>-393732000</v>
      </c>
      <c r="AO194" s="39">
        <v>412400000</v>
      </c>
      <c r="AP194" s="39">
        <v>1964438000</v>
      </c>
      <c r="AQ194" s="39">
        <v>1025312000</v>
      </c>
      <c r="AR194" s="39">
        <v>-939126000</v>
      </c>
      <c r="AS194" s="39">
        <v>2989750000</v>
      </c>
      <c r="AT194" s="39">
        <v>0.20518132921476778</v>
      </c>
      <c r="AU194" s="39">
        <v>9.1035704253924661E-3</v>
      </c>
      <c r="AV194" s="39">
        <v>7.8622496282039131E-4</v>
      </c>
      <c r="AW194" s="39">
        <v>4.9557112237094366E-4</v>
      </c>
      <c r="AX194" s="39">
        <v>0.13793795467848483</v>
      </c>
      <c r="AY194" s="39">
        <v>5.7115986846972784E-2</v>
      </c>
      <c r="AZ194" s="39">
        <v>120</v>
      </c>
      <c r="BA194" s="39">
        <v>1801457587.2364957</v>
      </c>
      <c r="BB194" s="39">
        <v>102</v>
      </c>
      <c r="BC194" s="39">
        <v>946408470.0451287</v>
      </c>
      <c r="BD194" s="39">
        <v>11</v>
      </c>
      <c r="BE194" s="39">
        <v>660375004.64250684</v>
      </c>
      <c r="BF194" s="39">
        <v>7</v>
      </c>
      <c r="BG194" s="39">
        <v>194674112.54886019</v>
      </c>
      <c r="BH194" s="39">
        <v>0.24949570285639916</v>
      </c>
      <c r="BI194" s="39">
        <v>0.13107433008477498</v>
      </c>
      <c r="BJ194" s="39">
        <v>9.1459675264866661E-2</v>
      </c>
      <c r="BK194" s="39">
        <v>2.6961697506757514E-2</v>
      </c>
      <c r="BL194" s="40">
        <v>105968093.36685269</v>
      </c>
      <c r="BM194" s="40">
        <v>1.4676217815082304E-2</v>
      </c>
    </row>
    <row r="195" spans="1:65" x14ac:dyDescent="0.35">
      <c r="A195" s="39">
        <v>194</v>
      </c>
      <c r="B195" s="32" t="s">
        <v>423</v>
      </c>
      <c r="C195" s="32" t="s">
        <v>115</v>
      </c>
      <c r="D195" s="32" t="s">
        <v>23</v>
      </c>
      <c r="E195" s="32" t="s">
        <v>5</v>
      </c>
      <c r="F195" s="39">
        <v>0</v>
      </c>
      <c r="G195" s="39">
        <v>0</v>
      </c>
      <c r="H195" s="39">
        <v>1</v>
      </c>
      <c r="I195" s="39">
        <v>2018</v>
      </c>
      <c r="J195" s="39">
        <v>0</v>
      </c>
      <c r="K195" s="39" t="s">
        <v>152</v>
      </c>
      <c r="L195" s="39">
        <v>512350059.42162949</v>
      </c>
      <c r="M195" s="39">
        <v>0</v>
      </c>
      <c r="N195" s="39">
        <v>0</v>
      </c>
      <c r="O195" s="39">
        <v>0</v>
      </c>
      <c r="P195" s="39">
        <v>0</v>
      </c>
      <c r="Q195" s="39">
        <v>0</v>
      </c>
      <c r="R195" s="19">
        <v>0</v>
      </c>
      <c r="S195" s="39">
        <v>0</v>
      </c>
      <c r="T195" s="39">
        <v>0</v>
      </c>
      <c r="U195" s="39">
        <v>0</v>
      </c>
      <c r="V195" s="39">
        <v>0</v>
      </c>
      <c r="W195" s="39">
        <v>0</v>
      </c>
      <c r="X195" s="39">
        <v>0</v>
      </c>
      <c r="Y195" s="39">
        <v>0</v>
      </c>
      <c r="Z195" s="39">
        <v>0</v>
      </c>
      <c r="AA195" s="39">
        <v>1</v>
      </c>
      <c r="AB195" s="39">
        <v>0</v>
      </c>
      <c r="AC195" s="39">
        <v>0</v>
      </c>
      <c r="AD195" s="39">
        <v>0</v>
      </c>
      <c r="AE195" s="39">
        <v>0</v>
      </c>
      <c r="AF195" s="39">
        <v>0</v>
      </c>
      <c r="AG195" s="39">
        <v>0</v>
      </c>
      <c r="AH195" s="39">
        <v>0</v>
      </c>
      <c r="AI195" s="39">
        <v>0</v>
      </c>
      <c r="AJ195" s="39">
        <v>0</v>
      </c>
      <c r="AK195" s="39">
        <v>0</v>
      </c>
      <c r="AL195" s="19">
        <v>29475000</v>
      </c>
      <c r="AM195" s="19">
        <v>130000</v>
      </c>
      <c r="AN195" s="39">
        <v>-29345000</v>
      </c>
      <c r="AO195" s="39">
        <v>29605000</v>
      </c>
      <c r="AP195" s="39">
        <v>212354000</v>
      </c>
      <c r="AQ195" s="39">
        <v>16206000</v>
      </c>
      <c r="AR195" s="39">
        <v>-196148000</v>
      </c>
      <c r="AS195" s="39">
        <v>228560000</v>
      </c>
      <c r="AT195" s="39">
        <v>0.13880124697439181</v>
      </c>
      <c r="AU195" s="39">
        <v>8.0217203504874737E-3</v>
      </c>
      <c r="AV195" s="39">
        <v>8.499021896072127E-5</v>
      </c>
      <c r="AW195" s="39">
        <v>7.832957781771317E-6</v>
      </c>
      <c r="AX195" s="39">
        <v>0.12952835141757088</v>
      </c>
      <c r="AY195" s="39">
        <v>5.7782758985955508E-2</v>
      </c>
      <c r="AZ195" s="39">
        <v>110</v>
      </c>
      <c r="BA195" s="39">
        <v>450695785.95466006</v>
      </c>
      <c r="BB195" s="39">
        <v>102</v>
      </c>
      <c r="BC195" s="39">
        <v>374120372.21634734</v>
      </c>
      <c r="BD195" s="39">
        <v>6</v>
      </c>
      <c r="BE195" s="39">
        <v>76575413.738312721</v>
      </c>
      <c r="BF195" s="39">
        <v>2</v>
      </c>
      <c r="BG195" s="39">
        <v>0</v>
      </c>
      <c r="BH195" s="39">
        <v>0.87966377219401837</v>
      </c>
      <c r="BI195" s="39">
        <v>0.73020460393559072</v>
      </c>
      <c r="BJ195" s="39">
        <v>0.14945916825842764</v>
      </c>
      <c r="BK195" s="39">
        <v>0</v>
      </c>
      <c r="BL195" s="40">
        <v>26511516.820862357</v>
      </c>
      <c r="BM195" s="40">
        <v>5.1744927776118728E-2</v>
      </c>
    </row>
    <row r="196" spans="1:65" x14ac:dyDescent="0.35">
      <c r="A196" s="39">
        <v>195</v>
      </c>
      <c r="B196" s="32" t="s">
        <v>424</v>
      </c>
      <c r="C196" s="32" t="s">
        <v>116</v>
      </c>
      <c r="D196" s="32" t="s">
        <v>12</v>
      </c>
      <c r="E196" s="32" t="s">
        <v>13</v>
      </c>
      <c r="F196" s="39">
        <v>0</v>
      </c>
      <c r="G196" s="39">
        <v>0</v>
      </c>
      <c r="H196" s="39">
        <v>1</v>
      </c>
      <c r="I196" s="39">
        <v>2018</v>
      </c>
      <c r="J196" s="39">
        <v>0</v>
      </c>
      <c r="K196" s="39" t="s">
        <v>152</v>
      </c>
      <c r="L196" s="39">
        <v>23208326547.532684</v>
      </c>
      <c r="M196" s="39">
        <v>3</v>
      </c>
      <c r="N196" s="39">
        <v>1350000000</v>
      </c>
      <c r="O196" s="39">
        <v>6</v>
      </c>
      <c r="P196" s="39">
        <v>930000000</v>
      </c>
      <c r="Q196" s="39">
        <v>9</v>
      </c>
      <c r="R196" s="19">
        <v>2280000000</v>
      </c>
      <c r="S196" s="39">
        <v>5.8168778228584551E-2</v>
      </c>
      <c r="T196" s="39">
        <v>4.0071825001913801E-2</v>
      </c>
      <c r="U196" s="39">
        <v>9.8240603230498352E-2</v>
      </c>
      <c r="V196" s="39">
        <v>1.0054892263691411E-3</v>
      </c>
      <c r="W196" s="39">
        <v>1.1696053525165379E-3</v>
      </c>
      <c r="X196" s="39">
        <v>1.0640134775040484E-3</v>
      </c>
      <c r="Y196" s="39">
        <v>134117647.05882353</v>
      </c>
      <c r="Z196" s="39">
        <v>5.7788590135587261E-3</v>
      </c>
      <c r="AA196" s="39">
        <v>0</v>
      </c>
      <c r="AB196" s="39" t="s">
        <v>152</v>
      </c>
      <c r="AC196" s="39" t="s">
        <v>152</v>
      </c>
      <c r="AD196" s="39" t="s">
        <v>152</v>
      </c>
      <c r="AE196" s="39" t="s">
        <v>152</v>
      </c>
      <c r="AF196" s="39" t="s">
        <v>152</v>
      </c>
      <c r="AG196" s="39" t="s">
        <v>152</v>
      </c>
      <c r="AH196" s="39">
        <v>0</v>
      </c>
      <c r="AI196" s="39" t="s">
        <v>152</v>
      </c>
      <c r="AJ196" s="39" t="s">
        <v>152</v>
      </c>
      <c r="AK196" s="39" t="s">
        <v>152</v>
      </c>
      <c r="AL196" s="19">
        <v>363467000</v>
      </c>
      <c r="AM196" s="19">
        <v>682025000</v>
      </c>
      <c r="AN196" s="39">
        <v>318558000</v>
      </c>
      <c r="AO196" s="39">
        <v>1045492000</v>
      </c>
      <c r="AP196" s="39">
        <v>7163292000</v>
      </c>
      <c r="AQ196" s="39">
        <v>11137532000</v>
      </c>
      <c r="AR196" s="39">
        <v>3974240000</v>
      </c>
      <c r="AS196" s="39">
        <v>18300824000</v>
      </c>
      <c r="AT196" s="39">
        <v>5.0740218324200663E-2</v>
      </c>
      <c r="AU196" s="39">
        <v>6.1236636626498579E-2</v>
      </c>
      <c r="AV196" s="39">
        <v>2.8669568529887971E-3</v>
      </c>
      <c r="AW196" s="39">
        <v>5.3831801770410385E-3</v>
      </c>
      <c r="AX196" s="39">
        <v>5.7128138055423078E-2</v>
      </c>
      <c r="AY196" s="39">
        <v>4.5048142435377268E-2</v>
      </c>
      <c r="AZ196" s="39">
        <v>29</v>
      </c>
      <c r="BA196" s="39">
        <v>1142178893.3632855</v>
      </c>
      <c r="BB196" s="39">
        <v>9</v>
      </c>
      <c r="BC196" s="39">
        <v>329665259.88211739</v>
      </c>
      <c r="BD196" s="39">
        <v>20</v>
      </c>
      <c r="BE196" s="39">
        <v>812513633.48116803</v>
      </c>
      <c r="BF196" s="39">
        <v>0</v>
      </c>
      <c r="BG196" s="39">
        <v>0</v>
      </c>
      <c r="BH196" s="39">
        <v>4.9214185737347461E-2</v>
      </c>
      <c r="BI196" s="39">
        <v>1.4204611401297465E-2</v>
      </c>
      <c r="BJ196" s="39">
        <v>3.5009574336049995E-2</v>
      </c>
      <c r="BK196" s="39">
        <v>0</v>
      </c>
      <c r="BL196" s="40">
        <v>67186993.727252096</v>
      </c>
      <c r="BM196" s="40">
        <v>2.8949521021969099E-3</v>
      </c>
    </row>
    <row r="197" spans="1:65" x14ac:dyDescent="0.35">
      <c r="A197" s="39">
        <v>196</v>
      </c>
      <c r="B197" s="32" t="s">
        <v>425</v>
      </c>
      <c r="C197" s="32" t="s">
        <v>117</v>
      </c>
      <c r="D197" s="32" t="s">
        <v>7</v>
      </c>
      <c r="E197" s="32" t="s">
        <v>10</v>
      </c>
      <c r="F197" s="39">
        <v>0</v>
      </c>
      <c r="G197" s="39">
        <v>0</v>
      </c>
      <c r="H197" s="39">
        <v>1</v>
      </c>
      <c r="I197" s="39">
        <v>2018</v>
      </c>
      <c r="J197" s="39">
        <v>0</v>
      </c>
      <c r="K197" s="39" t="s">
        <v>152</v>
      </c>
      <c r="L197" s="39">
        <v>39195716330.425301</v>
      </c>
      <c r="M197" s="39">
        <v>1</v>
      </c>
      <c r="N197" s="39">
        <v>110000000</v>
      </c>
      <c r="O197" s="39">
        <v>0</v>
      </c>
      <c r="P197" s="39">
        <v>0</v>
      </c>
      <c r="Q197" s="39">
        <v>1</v>
      </c>
      <c r="R197" s="19">
        <v>110000000</v>
      </c>
      <c r="S197" s="39">
        <v>2.806429127935431E-3</v>
      </c>
      <c r="T197" s="39">
        <v>0</v>
      </c>
      <c r="U197" s="39">
        <v>2.806429127935431E-3</v>
      </c>
      <c r="V197" s="39">
        <v>8.192875177822632E-5</v>
      </c>
      <c r="W197" s="39">
        <v>0</v>
      </c>
      <c r="X197" s="39">
        <v>5.1333983563791811E-5</v>
      </c>
      <c r="Y197" s="39">
        <v>6470588.2352941176</v>
      </c>
      <c r="Z197" s="39">
        <v>1.65084066349143E-4</v>
      </c>
      <c r="AA197" s="39">
        <v>3</v>
      </c>
      <c r="AB197" s="39">
        <v>0</v>
      </c>
      <c r="AC197" s="39">
        <v>0</v>
      </c>
      <c r="AD197" s="39">
        <v>0</v>
      </c>
      <c r="AE197" s="39">
        <v>0</v>
      </c>
      <c r="AF197" s="39">
        <v>0</v>
      </c>
      <c r="AG197" s="39">
        <v>0</v>
      </c>
      <c r="AH197" s="39">
        <v>0</v>
      </c>
      <c r="AI197" s="39">
        <v>0</v>
      </c>
      <c r="AJ197" s="39">
        <v>0</v>
      </c>
      <c r="AK197" s="39">
        <v>0</v>
      </c>
      <c r="AL197" s="19">
        <v>2041662</v>
      </c>
      <c r="AM197" s="19">
        <v>46647</v>
      </c>
      <c r="AN197" s="39">
        <v>-1995015</v>
      </c>
      <c r="AO197" s="39">
        <v>2088309</v>
      </c>
      <c r="AP197" s="39">
        <v>21573847000</v>
      </c>
      <c r="AQ197" s="39">
        <v>14944087000</v>
      </c>
      <c r="AR197" s="39">
        <v>-6629760000</v>
      </c>
      <c r="AS197" s="39">
        <v>36517934000</v>
      </c>
      <c r="AT197" s="39">
        <v>9.4635972898111307E-5</v>
      </c>
      <c r="AU197" s="39">
        <v>3.1214352539569666E-6</v>
      </c>
      <c r="AV197" s="39">
        <v>8.6344781843294676E-3</v>
      </c>
      <c r="AW197" s="39">
        <v>7.2230286658100428E-3</v>
      </c>
      <c r="AX197" s="39">
        <v>5.7185847370226364E-5</v>
      </c>
      <c r="AY197" s="39">
        <v>5.3279010961179199E-5</v>
      </c>
      <c r="AZ197" s="39">
        <v>75</v>
      </c>
      <c r="BA197" s="39">
        <v>645134398.36919057</v>
      </c>
      <c r="BB197" s="39">
        <v>65</v>
      </c>
      <c r="BC197" s="39">
        <v>475514196.77719218</v>
      </c>
      <c r="BD197" s="39">
        <v>8</v>
      </c>
      <c r="BE197" s="39">
        <v>104491056.645374</v>
      </c>
      <c r="BF197" s="39">
        <v>2</v>
      </c>
      <c r="BG197" s="39">
        <v>65129144.946624398</v>
      </c>
      <c r="BH197" s="39">
        <v>1.6459308791058148E-2</v>
      </c>
      <c r="BI197" s="39">
        <v>1.2131789932566656E-2</v>
      </c>
      <c r="BJ197" s="39">
        <v>2.665879499802988E-3</v>
      </c>
      <c r="BK197" s="39">
        <v>1.6616393586885035E-3</v>
      </c>
      <c r="BL197" s="40">
        <v>37949082.257011212</v>
      </c>
      <c r="BM197" s="40">
        <v>9.6819463476812643E-4</v>
      </c>
    </row>
    <row r="198" spans="1:65" x14ac:dyDescent="0.35">
      <c r="A198" s="39">
        <v>197</v>
      </c>
      <c r="B198" s="32" t="s">
        <v>426</v>
      </c>
      <c r="C198" s="32" t="s">
        <v>118</v>
      </c>
      <c r="D198" s="32" t="s">
        <v>4</v>
      </c>
      <c r="E198" s="32" t="s">
        <v>5</v>
      </c>
      <c r="F198" s="39">
        <v>2</v>
      </c>
      <c r="G198" s="39">
        <v>0</v>
      </c>
      <c r="H198" s="39">
        <v>1</v>
      </c>
      <c r="I198" s="39">
        <v>2015</v>
      </c>
      <c r="J198" s="39">
        <v>0</v>
      </c>
      <c r="K198" s="39" t="s">
        <v>152</v>
      </c>
      <c r="L198" s="39">
        <v>761428183369.17065</v>
      </c>
      <c r="M198" s="39">
        <v>15</v>
      </c>
      <c r="N198" s="39">
        <v>10000000000</v>
      </c>
      <c r="O198" s="39">
        <v>13</v>
      </c>
      <c r="P198" s="39">
        <v>6310000000</v>
      </c>
      <c r="Q198" s="39">
        <v>28</v>
      </c>
      <c r="R198" s="19">
        <v>16310000000</v>
      </c>
      <c r="S198" s="39">
        <v>1.313321494845641E-2</v>
      </c>
      <c r="T198" s="39">
        <v>8.2870586324759951E-3</v>
      </c>
      <c r="U198" s="39">
        <v>2.1420273580932403E-2</v>
      </c>
      <c r="V198" s="39">
        <v>7.4480683434751194E-3</v>
      </c>
      <c r="W198" s="39">
        <v>7.93570943481651E-3</v>
      </c>
      <c r="X198" s="39">
        <v>7.6114297447767675E-3</v>
      </c>
      <c r="Y198" s="39">
        <v>959411764.70588231</v>
      </c>
      <c r="Z198" s="39">
        <v>1.2600160929960237E-3</v>
      </c>
      <c r="AA198" s="39">
        <v>1</v>
      </c>
      <c r="AB198" s="39">
        <v>12</v>
      </c>
      <c r="AC198" s="39">
        <v>2704600000</v>
      </c>
      <c r="AD198" s="39">
        <v>3</v>
      </c>
      <c r="AE198" s="39">
        <v>567000000</v>
      </c>
      <c r="AF198" s="39">
        <v>0</v>
      </c>
      <c r="AG198" s="39">
        <v>0</v>
      </c>
      <c r="AH198" s="39">
        <v>15</v>
      </c>
      <c r="AI198" s="39">
        <v>3271600000</v>
      </c>
      <c r="AJ198" s="39">
        <v>4.2966626025369992E-3</v>
      </c>
      <c r="AK198" s="39">
        <v>8.2076796847383976E-2</v>
      </c>
      <c r="AL198" s="19">
        <v>19127972000</v>
      </c>
      <c r="AM198" s="19">
        <v>2726571000</v>
      </c>
      <c r="AN198" s="39">
        <v>-16401401000</v>
      </c>
      <c r="AO198" s="39">
        <v>21854543000</v>
      </c>
      <c r="AP198" s="39">
        <v>210346890000</v>
      </c>
      <c r="AQ198" s="39">
        <v>180870841000</v>
      </c>
      <c r="AR198" s="39">
        <v>-29476049000</v>
      </c>
      <c r="AS198" s="39">
        <v>391217731000</v>
      </c>
      <c r="AT198" s="39">
        <v>9.0935368714032336E-2</v>
      </c>
      <c r="AU198" s="39">
        <v>1.5074685255651574E-2</v>
      </c>
      <c r="AV198" s="39">
        <v>8.4186915428043504E-2</v>
      </c>
      <c r="AW198" s="39">
        <v>8.742155137026239E-2</v>
      </c>
      <c r="AX198" s="39">
        <v>5.5862864252438499E-2</v>
      </c>
      <c r="AY198" s="39">
        <v>2.8702041081928337E-2</v>
      </c>
      <c r="AZ198" s="39">
        <v>59</v>
      </c>
      <c r="BA198" s="39">
        <v>9626239800.4556942</v>
      </c>
      <c r="BB198" s="39">
        <v>9</v>
      </c>
      <c r="BC198" s="39">
        <v>2263951.8206853508</v>
      </c>
      <c r="BD198" s="39">
        <v>37</v>
      </c>
      <c r="BE198" s="39">
        <v>6908789199.9155893</v>
      </c>
      <c r="BF198" s="39">
        <v>13</v>
      </c>
      <c r="BG198" s="39">
        <v>2715186648.719419</v>
      </c>
      <c r="BH198" s="39">
        <v>1.2642347644477076E-2</v>
      </c>
      <c r="BI198" s="39">
        <v>2.9732965894009953E-6</v>
      </c>
      <c r="BJ198" s="39">
        <v>9.0734613596065612E-3</v>
      </c>
      <c r="BK198" s="39">
        <v>3.5659129882811137E-3</v>
      </c>
      <c r="BL198" s="40">
        <v>566249400.02680552</v>
      </c>
      <c r="BM198" s="40">
        <v>7.4366750849865155E-4</v>
      </c>
    </row>
    <row r="199" spans="1:65" x14ac:dyDescent="0.35">
      <c r="A199" s="39">
        <v>198</v>
      </c>
      <c r="B199" s="32" t="s">
        <v>427</v>
      </c>
      <c r="C199" s="32" t="s">
        <v>173</v>
      </c>
      <c r="D199" s="32" t="s">
        <v>4</v>
      </c>
      <c r="E199" s="32" t="s">
        <v>5</v>
      </c>
      <c r="F199" s="39">
        <v>2</v>
      </c>
      <c r="G199" s="39">
        <v>0</v>
      </c>
      <c r="H199" s="39">
        <v>0</v>
      </c>
      <c r="I199" s="39" t="s">
        <v>152</v>
      </c>
      <c r="J199" s="39">
        <v>0</v>
      </c>
      <c r="K199" s="39" t="s">
        <v>152</v>
      </c>
      <c r="L199" s="39">
        <v>45231428571.428574</v>
      </c>
      <c r="M199" s="39">
        <v>3</v>
      </c>
      <c r="N199" s="39">
        <v>6200000000</v>
      </c>
      <c r="O199" s="39">
        <v>1</v>
      </c>
      <c r="P199" s="39">
        <v>600000000</v>
      </c>
      <c r="Q199" s="39">
        <v>4</v>
      </c>
      <c r="R199" s="19">
        <v>6800000000</v>
      </c>
      <c r="S199" s="39">
        <v>0.13707283178573684</v>
      </c>
      <c r="T199" s="39">
        <v>1.3265112753458404E-2</v>
      </c>
      <c r="U199" s="39">
        <v>0.15033794453919525</v>
      </c>
      <c r="V199" s="39">
        <v>4.6178023729545742E-3</v>
      </c>
      <c r="W199" s="39">
        <v>7.5458409839776648E-4</v>
      </c>
      <c r="X199" s="39">
        <v>3.173373529398039E-3</v>
      </c>
      <c r="Y199" s="39">
        <v>400000000</v>
      </c>
      <c r="Z199" s="39">
        <v>8.8434085023056021E-3</v>
      </c>
      <c r="AA199" s="39">
        <v>0</v>
      </c>
      <c r="AB199" s="39" t="s">
        <v>152</v>
      </c>
      <c r="AC199" s="39" t="s">
        <v>152</v>
      </c>
      <c r="AD199" s="39" t="s">
        <v>152</v>
      </c>
      <c r="AE199" s="39" t="s">
        <v>152</v>
      </c>
      <c r="AF199" s="39" t="s">
        <v>152</v>
      </c>
      <c r="AG199" s="39" t="s">
        <v>152</v>
      </c>
      <c r="AH199" s="39">
        <v>0</v>
      </c>
      <c r="AI199" s="39" t="s">
        <v>152</v>
      </c>
      <c r="AJ199" s="39" t="s">
        <v>152</v>
      </c>
      <c r="AK199" s="39" t="s">
        <v>152</v>
      </c>
      <c r="AL199" s="19">
        <v>431024000</v>
      </c>
      <c r="AM199" s="19">
        <v>8685698000</v>
      </c>
      <c r="AN199" s="39">
        <v>8254674000</v>
      </c>
      <c r="AO199" s="39">
        <v>9116722000</v>
      </c>
      <c r="AP199" s="39">
        <v>3078798000</v>
      </c>
      <c r="AQ199" s="39">
        <v>10962729000</v>
      </c>
      <c r="AR199" s="39">
        <v>7883931000</v>
      </c>
      <c r="AS199" s="39">
        <v>14041527000</v>
      </c>
      <c r="AT199" s="39">
        <v>0.13999749252792812</v>
      </c>
      <c r="AU199" s="39">
        <v>0.7922934152618385</v>
      </c>
      <c r="AV199" s="39">
        <v>1.2322240982313999E-3</v>
      </c>
      <c r="AW199" s="39">
        <v>5.2986914371220594E-3</v>
      </c>
      <c r="AX199" s="39">
        <v>0.64926855889676383</v>
      </c>
      <c r="AY199" s="39">
        <v>0.20155724211989134</v>
      </c>
      <c r="AZ199" s="39">
        <v>38</v>
      </c>
      <c r="BA199" s="39">
        <v>9634636425.0091076</v>
      </c>
      <c r="BB199" s="39">
        <v>27</v>
      </c>
      <c r="BC199" s="39">
        <v>375606001.45091975</v>
      </c>
      <c r="BD199" s="39">
        <v>8</v>
      </c>
      <c r="BE199" s="39">
        <v>8985435792.6473618</v>
      </c>
      <c r="BF199" s="39">
        <v>3</v>
      </c>
      <c r="BG199" s="39">
        <v>273594630.91082501</v>
      </c>
      <c r="BH199" s="39">
        <v>0.21300756419387198</v>
      </c>
      <c r="BI199" s="39">
        <v>8.3040932668701859E-3</v>
      </c>
      <c r="BJ199" s="39">
        <v>0.19865469821404691</v>
      </c>
      <c r="BK199" s="39">
        <v>6.0487727129548826E-3</v>
      </c>
      <c r="BL199" s="40">
        <v>566743319.11818278</v>
      </c>
      <c r="BM199" s="40">
        <v>1.2529856717286587E-2</v>
      </c>
    </row>
    <row r="200" spans="1:65" x14ac:dyDescent="0.35">
      <c r="A200" s="39">
        <v>199</v>
      </c>
      <c r="B200" s="32" t="s">
        <v>463</v>
      </c>
      <c r="C200" s="32" t="s">
        <v>478</v>
      </c>
      <c r="D200" s="32" t="s">
        <v>12</v>
      </c>
      <c r="E200" s="32" t="s">
        <v>13</v>
      </c>
      <c r="F200" s="39">
        <v>0</v>
      </c>
      <c r="G200" s="39">
        <v>0</v>
      </c>
      <c r="H200" s="39">
        <v>0</v>
      </c>
      <c r="I200" s="39" t="s">
        <v>152</v>
      </c>
      <c r="J200" s="39">
        <v>0</v>
      </c>
      <c r="K200" s="39" t="s">
        <v>152</v>
      </c>
      <c r="L200" s="39">
        <v>1197415000</v>
      </c>
      <c r="M200" s="39">
        <v>0</v>
      </c>
      <c r="N200" s="39">
        <v>0</v>
      </c>
      <c r="O200" s="39">
        <v>0</v>
      </c>
      <c r="P200" s="39">
        <v>0</v>
      </c>
      <c r="Q200" s="39">
        <v>0</v>
      </c>
      <c r="R200" s="19">
        <v>0</v>
      </c>
      <c r="S200" s="39">
        <v>0</v>
      </c>
      <c r="T200" s="39">
        <v>0</v>
      </c>
      <c r="U200" s="39">
        <v>0</v>
      </c>
      <c r="V200" s="39">
        <v>0</v>
      </c>
      <c r="W200" s="39">
        <v>0</v>
      </c>
      <c r="X200" s="39">
        <v>0</v>
      </c>
      <c r="Y200" s="39">
        <v>0</v>
      </c>
      <c r="Z200" s="39">
        <v>0</v>
      </c>
      <c r="AA200" s="39">
        <v>0</v>
      </c>
      <c r="AB200" s="39" t="s">
        <v>152</v>
      </c>
      <c r="AC200" s="39" t="s">
        <v>152</v>
      </c>
      <c r="AD200" s="39" t="s">
        <v>152</v>
      </c>
      <c r="AE200" s="39" t="s">
        <v>152</v>
      </c>
      <c r="AF200" s="39" t="s">
        <v>152</v>
      </c>
      <c r="AG200" s="39" t="s">
        <v>152</v>
      </c>
      <c r="AH200" s="39">
        <v>0</v>
      </c>
      <c r="AI200" s="39" t="s">
        <v>152</v>
      </c>
      <c r="AJ200" s="39" t="s">
        <v>152</v>
      </c>
      <c r="AK200" s="39" t="s">
        <v>152</v>
      </c>
      <c r="AL200" s="19">
        <v>3023000</v>
      </c>
      <c r="AM200" s="19">
        <v>5000</v>
      </c>
      <c r="AN200" s="39">
        <v>-3018000</v>
      </c>
      <c r="AO200" s="39">
        <v>3028000</v>
      </c>
      <c r="AP200" s="39">
        <v>425717000</v>
      </c>
      <c r="AQ200" s="39">
        <v>172506000</v>
      </c>
      <c r="AR200" s="39">
        <v>-253211000</v>
      </c>
      <c r="AS200" s="39">
        <v>598223000</v>
      </c>
      <c r="AT200" s="39">
        <v>7.1009614368230537E-3</v>
      </c>
      <c r="AU200" s="39">
        <v>2.8984499089886727E-5</v>
      </c>
      <c r="AV200" s="39">
        <v>1.7038426893442729E-4</v>
      </c>
      <c r="AW200" s="39">
        <v>8.3378515062460998E-5</v>
      </c>
      <c r="AX200" s="39">
        <v>5.061657609286169E-3</v>
      </c>
      <c r="AY200" s="39">
        <v>2.5287807485291232E-3</v>
      </c>
      <c r="AZ200" s="39">
        <v>0</v>
      </c>
      <c r="BA200" s="39" t="s">
        <v>152</v>
      </c>
      <c r="BB200" s="39" t="s">
        <v>152</v>
      </c>
      <c r="BC200" s="39" t="s">
        <v>152</v>
      </c>
      <c r="BD200" s="39" t="s">
        <v>152</v>
      </c>
      <c r="BE200" s="39" t="s">
        <v>152</v>
      </c>
      <c r="BF200" s="39" t="s">
        <v>152</v>
      </c>
      <c r="BG200" s="39" t="s">
        <v>152</v>
      </c>
      <c r="BH200" s="39">
        <v>0</v>
      </c>
      <c r="BI200" s="39">
        <v>0</v>
      </c>
      <c r="BJ200" s="39">
        <v>0</v>
      </c>
      <c r="BK200" s="39">
        <v>0</v>
      </c>
      <c r="BL200" s="40">
        <v>0</v>
      </c>
      <c r="BM200" s="40">
        <v>0</v>
      </c>
    </row>
    <row r="201" spans="1:65" x14ac:dyDescent="0.35">
      <c r="A201" s="39">
        <v>200</v>
      </c>
      <c r="B201" s="32" t="s">
        <v>464</v>
      </c>
      <c r="C201" s="32" t="s">
        <v>428</v>
      </c>
      <c r="D201" s="32" t="s">
        <v>23</v>
      </c>
      <c r="E201" s="32" t="s">
        <v>5</v>
      </c>
      <c r="F201" s="39">
        <v>0</v>
      </c>
      <c r="G201" s="39">
        <v>0</v>
      </c>
      <c r="H201" s="39">
        <v>0</v>
      </c>
      <c r="I201" s="39" t="s">
        <v>152</v>
      </c>
      <c r="J201" s="39">
        <v>2</v>
      </c>
      <c r="K201" s="39" t="s">
        <v>152</v>
      </c>
      <c r="L201" s="39">
        <v>47271463.329857491</v>
      </c>
      <c r="M201" s="39">
        <v>0</v>
      </c>
      <c r="N201" s="39">
        <v>0</v>
      </c>
      <c r="O201" s="39">
        <v>0</v>
      </c>
      <c r="P201" s="39">
        <v>0</v>
      </c>
      <c r="Q201" s="39">
        <v>0</v>
      </c>
      <c r="R201" s="19">
        <v>0</v>
      </c>
      <c r="S201" s="39">
        <v>0</v>
      </c>
      <c r="T201" s="39">
        <v>0</v>
      </c>
      <c r="U201" s="39">
        <v>0</v>
      </c>
      <c r="V201" s="39">
        <v>0</v>
      </c>
      <c r="W201" s="39">
        <v>0</v>
      </c>
      <c r="X201" s="39">
        <v>0</v>
      </c>
      <c r="Y201" s="39">
        <v>0</v>
      </c>
      <c r="Z201" s="39">
        <v>0</v>
      </c>
      <c r="AA201" s="39">
        <v>0</v>
      </c>
      <c r="AB201" s="39" t="s">
        <v>152</v>
      </c>
      <c r="AC201" s="39" t="s">
        <v>152</v>
      </c>
      <c r="AD201" s="39" t="s">
        <v>152</v>
      </c>
      <c r="AE201" s="39" t="s">
        <v>152</v>
      </c>
      <c r="AF201" s="39" t="s">
        <v>152</v>
      </c>
      <c r="AG201" s="39" t="s">
        <v>152</v>
      </c>
      <c r="AH201" s="39">
        <v>0</v>
      </c>
      <c r="AI201" s="39" t="s">
        <v>152</v>
      </c>
      <c r="AJ201" s="39" t="s">
        <v>152</v>
      </c>
      <c r="AK201" s="39" t="s">
        <v>152</v>
      </c>
      <c r="AL201" s="19">
        <v>21737000</v>
      </c>
      <c r="AM201" s="19">
        <v>26000</v>
      </c>
      <c r="AN201" s="39">
        <v>-21711000</v>
      </c>
      <c r="AO201" s="39">
        <v>21763000</v>
      </c>
      <c r="AP201" s="39">
        <v>90616000</v>
      </c>
      <c r="AQ201" s="39">
        <v>20368000</v>
      </c>
      <c r="AR201" s="39">
        <v>-70248000</v>
      </c>
      <c r="AS201" s="39">
        <v>110984000</v>
      </c>
      <c r="AT201" s="39">
        <v>0.23988037432682971</v>
      </c>
      <c r="AU201" s="39">
        <v>1.2765121759622938E-3</v>
      </c>
      <c r="AV201" s="39">
        <v>3.6267146751861128E-5</v>
      </c>
      <c r="AW201" s="39">
        <v>9.8446059545303095E-6</v>
      </c>
      <c r="AX201" s="39">
        <v>0.19609132847978086</v>
      </c>
      <c r="AY201" s="39">
        <v>0.46038346323529411</v>
      </c>
      <c r="AZ201" s="39">
        <v>0</v>
      </c>
      <c r="BA201" s="39" t="s">
        <v>152</v>
      </c>
      <c r="BB201" s="39" t="s">
        <v>152</v>
      </c>
      <c r="BC201" s="39" t="s">
        <v>152</v>
      </c>
      <c r="BD201" s="39" t="s">
        <v>152</v>
      </c>
      <c r="BE201" s="39" t="s">
        <v>152</v>
      </c>
      <c r="BF201" s="39" t="s">
        <v>152</v>
      </c>
      <c r="BG201" s="39" t="s">
        <v>152</v>
      </c>
      <c r="BH201" s="39">
        <v>0</v>
      </c>
      <c r="BI201" s="39">
        <v>0</v>
      </c>
      <c r="BJ201" s="39">
        <v>0</v>
      </c>
      <c r="BK201" s="39">
        <v>0</v>
      </c>
      <c r="BL201" s="40">
        <v>0</v>
      </c>
      <c r="BM201" s="40">
        <v>0</v>
      </c>
    </row>
    <row r="202" spans="1:65" x14ac:dyDescent="0.35">
      <c r="A202" s="39">
        <v>201</v>
      </c>
      <c r="B202" s="32" t="s">
        <v>429</v>
      </c>
      <c r="C202" s="32" t="s">
        <v>119</v>
      </c>
      <c r="D202" s="32" t="s">
        <v>9</v>
      </c>
      <c r="E202" s="32" t="s">
        <v>2</v>
      </c>
      <c r="F202" s="39">
        <v>0</v>
      </c>
      <c r="G202" s="39">
        <v>0</v>
      </c>
      <c r="H202" s="39">
        <v>1</v>
      </c>
      <c r="I202" s="39">
        <v>2018</v>
      </c>
      <c r="J202" s="39">
        <v>0</v>
      </c>
      <c r="K202" s="39" t="s">
        <v>152</v>
      </c>
      <c r="L202" s="39">
        <v>35170037380.862961</v>
      </c>
      <c r="M202" s="39">
        <v>7</v>
      </c>
      <c r="N202" s="39">
        <v>5150000000</v>
      </c>
      <c r="O202" s="39">
        <v>10</v>
      </c>
      <c r="P202" s="39">
        <v>2640000000</v>
      </c>
      <c r="Q202" s="39">
        <v>17</v>
      </c>
      <c r="R202" s="19">
        <v>7790000000</v>
      </c>
      <c r="S202" s="39">
        <v>0.14643146221966385</v>
      </c>
      <c r="T202" s="39">
        <v>7.5063895196099531E-2</v>
      </c>
      <c r="U202" s="39">
        <v>0.22149535741576337</v>
      </c>
      <c r="V202" s="39">
        <v>3.8357551968896866E-3</v>
      </c>
      <c r="W202" s="39">
        <v>3.3201700329501724E-3</v>
      </c>
      <c r="X202" s="39">
        <v>3.6353793814721653E-3</v>
      </c>
      <c r="Y202" s="39">
        <v>458235294.11764705</v>
      </c>
      <c r="Z202" s="39">
        <v>1.3029138671515493E-2</v>
      </c>
      <c r="AA202" s="39">
        <v>0</v>
      </c>
      <c r="AB202" s="39" t="s">
        <v>152</v>
      </c>
      <c r="AC202" s="39" t="s">
        <v>152</v>
      </c>
      <c r="AD202" s="39" t="s">
        <v>152</v>
      </c>
      <c r="AE202" s="39" t="s">
        <v>152</v>
      </c>
      <c r="AF202" s="39" t="s">
        <v>152</v>
      </c>
      <c r="AG202" s="39" t="s">
        <v>152</v>
      </c>
      <c r="AH202" s="39">
        <v>0</v>
      </c>
      <c r="AI202" s="39" t="s">
        <v>152</v>
      </c>
      <c r="AJ202" s="39" t="s">
        <v>152</v>
      </c>
      <c r="AK202" s="39" t="s">
        <v>152</v>
      </c>
      <c r="AL202" s="19">
        <v>1256568000</v>
      </c>
      <c r="AM202" s="19">
        <v>40627000</v>
      </c>
      <c r="AN202" s="39">
        <v>-1215941000</v>
      </c>
      <c r="AO202" s="39">
        <v>1297195000</v>
      </c>
      <c r="AP202" s="39">
        <v>7696029000</v>
      </c>
      <c r="AQ202" s="39">
        <v>3563785000</v>
      </c>
      <c r="AR202" s="39">
        <v>-4132244000</v>
      </c>
      <c r="AS202" s="39">
        <v>11259814000</v>
      </c>
      <c r="AT202" s="39">
        <v>0.16327485252459417</v>
      </c>
      <c r="AU202" s="39">
        <v>1.139995819051935E-2</v>
      </c>
      <c r="AV202" s="39">
        <v>3.0801736244104689E-3</v>
      </c>
      <c r="AW202" s="39">
        <v>1.7225087898500488E-3</v>
      </c>
      <c r="AX202" s="39">
        <v>0.11520572187071651</v>
      </c>
      <c r="AY202" s="39">
        <v>3.6883526336706184E-2</v>
      </c>
      <c r="AZ202" s="39">
        <v>144</v>
      </c>
      <c r="BA202" s="39">
        <v>3764362664.242372</v>
      </c>
      <c r="BB202" s="39">
        <v>128</v>
      </c>
      <c r="BC202" s="39">
        <v>928849483.01561439</v>
      </c>
      <c r="BD202" s="39">
        <v>11</v>
      </c>
      <c r="BE202" s="39">
        <v>2465643586.7059298</v>
      </c>
      <c r="BF202" s="39">
        <v>5</v>
      </c>
      <c r="BG202" s="39">
        <v>369869594.52082771</v>
      </c>
      <c r="BH202" s="39">
        <v>0.10703322898060584</v>
      </c>
      <c r="BI202" s="39">
        <v>2.6410250093195191E-2</v>
      </c>
      <c r="BJ202" s="39">
        <v>7.0106368099783656E-2</v>
      </c>
      <c r="BK202" s="39">
        <v>1.0516610787626985E-2</v>
      </c>
      <c r="BL202" s="40">
        <v>221433097.89661011</v>
      </c>
      <c r="BM202" s="40">
        <v>6.2960722929768136E-3</v>
      </c>
    </row>
    <row r="203" spans="1:65" x14ac:dyDescent="0.35">
      <c r="A203" s="39">
        <v>202</v>
      </c>
      <c r="B203" s="32" t="s">
        <v>430</v>
      </c>
      <c r="C203" s="32" t="s">
        <v>120</v>
      </c>
      <c r="D203" s="32" t="s">
        <v>4</v>
      </c>
      <c r="E203" s="32" t="s">
        <v>10</v>
      </c>
      <c r="F203" s="39">
        <v>2</v>
      </c>
      <c r="G203" s="39">
        <v>0</v>
      </c>
      <c r="H203" s="39">
        <v>1</v>
      </c>
      <c r="I203" s="39">
        <v>2017</v>
      </c>
      <c r="J203" s="39">
        <v>0</v>
      </c>
      <c r="K203" s="39" t="s">
        <v>152</v>
      </c>
      <c r="L203" s="39">
        <v>153929501862.34137</v>
      </c>
      <c r="M203" s="39">
        <v>6</v>
      </c>
      <c r="N203" s="39">
        <v>6020000000</v>
      </c>
      <c r="O203" s="39">
        <v>9</v>
      </c>
      <c r="P203" s="39">
        <v>3130000000</v>
      </c>
      <c r="Q203" s="39">
        <v>15</v>
      </c>
      <c r="R203" s="19">
        <v>9150000000</v>
      </c>
      <c r="S203" s="39">
        <v>3.9108812327500846E-2</v>
      </c>
      <c r="T203" s="39">
        <v>2.0333983818119208E-2</v>
      </c>
      <c r="U203" s="39">
        <v>5.944279614562005E-2</v>
      </c>
      <c r="V203" s="39">
        <v>4.4837371427720223E-3</v>
      </c>
      <c r="W203" s="39">
        <v>3.9364137133083479E-3</v>
      </c>
      <c r="X203" s="39">
        <v>4.2700540873517731E-3</v>
      </c>
      <c r="Y203" s="39">
        <v>538235294.11764705</v>
      </c>
      <c r="Z203" s="39">
        <v>3.4966350673894149E-3</v>
      </c>
      <c r="AA203" s="39">
        <v>0</v>
      </c>
      <c r="AB203" s="39" t="s">
        <v>152</v>
      </c>
      <c r="AC203" s="39" t="s">
        <v>152</v>
      </c>
      <c r="AD203" s="39" t="s">
        <v>152</v>
      </c>
      <c r="AE203" s="39" t="s">
        <v>152</v>
      </c>
      <c r="AF203" s="39" t="s">
        <v>152</v>
      </c>
      <c r="AG203" s="39" t="s">
        <v>152</v>
      </c>
      <c r="AH203" s="39">
        <v>0</v>
      </c>
      <c r="AI203" s="39" t="s">
        <v>152</v>
      </c>
      <c r="AJ203" s="39" t="s">
        <v>152</v>
      </c>
      <c r="AK203" s="39" t="s">
        <v>152</v>
      </c>
      <c r="AL203" s="19">
        <v>9203749000</v>
      </c>
      <c r="AM203" s="19">
        <v>3590068000</v>
      </c>
      <c r="AN203" s="39">
        <v>-5613681000</v>
      </c>
      <c r="AO203" s="39">
        <v>12793817000</v>
      </c>
      <c r="AP203" s="39">
        <v>60684881000</v>
      </c>
      <c r="AQ203" s="39">
        <v>49853049000</v>
      </c>
      <c r="AR203" s="39">
        <v>-10831832000</v>
      </c>
      <c r="AS203" s="39">
        <v>110537930000</v>
      </c>
      <c r="AT203" s="39">
        <v>0.15166461313485974</v>
      </c>
      <c r="AU203" s="39">
        <v>7.2013007669801704E-2</v>
      </c>
      <c r="AV203" s="39">
        <v>2.4287846349940731E-2</v>
      </c>
      <c r="AW203" s="39">
        <v>2.4095818098826157E-2</v>
      </c>
      <c r="AX203" s="39">
        <v>0.1157414201622918</v>
      </c>
      <c r="AY203" s="39">
        <v>8.3114782060695988E-2</v>
      </c>
      <c r="AZ203" s="39">
        <v>70</v>
      </c>
      <c r="BA203" s="39">
        <v>31397707013.803066</v>
      </c>
      <c r="BB203" s="39">
        <v>32</v>
      </c>
      <c r="BC203" s="39">
        <v>1843879105.019238</v>
      </c>
      <c r="BD203" s="39">
        <v>29</v>
      </c>
      <c r="BE203" s="39">
        <v>6769559487.0643797</v>
      </c>
      <c r="BF203" s="39">
        <v>9</v>
      </c>
      <c r="BG203" s="39">
        <v>22784268421.719448</v>
      </c>
      <c r="BH203" s="39">
        <v>0.20397458988649186</v>
      </c>
      <c r="BI203" s="39">
        <v>1.197872456358764E-2</v>
      </c>
      <c r="BJ203" s="39">
        <v>4.3978310883630183E-2</v>
      </c>
      <c r="BK203" s="39">
        <v>0.14801755443927403</v>
      </c>
      <c r="BL203" s="40">
        <v>1846923941.9884157</v>
      </c>
      <c r="BM203" s="40">
        <v>1.1998505287440698E-2</v>
      </c>
    </row>
    <row r="204" spans="1:65" x14ac:dyDescent="0.35">
      <c r="A204" s="39">
        <v>203</v>
      </c>
      <c r="B204" s="32" t="s">
        <v>431</v>
      </c>
      <c r="C204" s="32" t="s">
        <v>121</v>
      </c>
      <c r="D204" s="32" t="s">
        <v>7</v>
      </c>
      <c r="E204" s="32" t="s">
        <v>13</v>
      </c>
      <c r="F204" s="39">
        <v>2</v>
      </c>
      <c r="G204" s="39">
        <v>0</v>
      </c>
      <c r="H204" s="39">
        <v>1</v>
      </c>
      <c r="I204" s="39">
        <v>2018</v>
      </c>
      <c r="J204" s="39">
        <v>0</v>
      </c>
      <c r="K204" s="39" t="s">
        <v>152</v>
      </c>
      <c r="L204" s="39">
        <v>421142267937.37238</v>
      </c>
      <c r="M204" s="39">
        <v>15</v>
      </c>
      <c r="N204" s="39">
        <v>7630000000</v>
      </c>
      <c r="O204" s="39">
        <v>58</v>
      </c>
      <c r="P204" s="39">
        <v>28530000000</v>
      </c>
      <c r="Q204" s="39">
        <v>73</v>
      </c>
      <c r="R204" s="19">
        <v>36160000000</v>
      </c>
      <c r="S204" s="39">
        <v>1.8117393054298339E-2</v>
      </c>
      <c r="T204" s="39">
        <v>6.7744328157160097E-2</v>
      </c>
      <c r="U204" s="39">
        <v>8.5861721211458436E-2</v>
      </c>
      <c r="V204" s="39">
        <v>5.6828761460715168E-3</v>
      </c>
      <c r="W204" s="39">
        <v>3.5880473878813796E-2</v>
      </c>
      <c r="X204" s="39">
        <v>1.6874880415151925E-2</v>
      </c>
      <c r="Y204" s="39">
        <v>2127058823.5294118</v>
      </c>
      <c r="Z204" s="39">
        <v>5.0506894830269671E-3</v>
      </c>
      <c r="AA204" s="39">
        <v>1</v>
      </c>
      <c r="AB204" s="39">
        <v>0</v>
      </c>
      <c r="AC204" s="39">
        <v>0</v>
      </c>
      <c r="AD204" s="39">
        <v>0</v>
      </c>
      <c r="AE204" s="39">
        <v>0</v>
      </c>
      <c r="AF204" s="39">
        <v>0</v>
      </c>
      <c r="AG204" s="39">
        <v>0</v>
      </c>
      <c r="AH204" s="39">
        <v>0</v>
      </c>
      <c r="AI204" s="39">
        <v>0</v>
      </c>
      <c r="AJ204" s="39">
        <v>0</v>
      </c>
      <c r="AK204" s="39">
        <v>0</v>
      </c>
      <c r="AL204" s="19">
        <v>40777643</v>
      </c>
      <c r="AM204" s="19">
        <v>9367965</v>
      </c>
      <c r="AN204" s="39">
        <v>-31409678</v>
      </c>
      <c r="AO204" s="39">
        <v>50145608</v>
      </c>
      <c r="AP204" s="39">
        <v>267937296000</v>
      </c>
      <c r="AQ204" s="39">
        <v>315942728000</v>
      </c>
      <c r="AR204" s="39">
        <v>48005432000</v>
      </c>
      <c r="AS204" s="39">
        <v>583880024000</v>
      </c>
      <c r="AT204" s="39">
        <v>1.5219099247758326E-4</v>
      </c>
      <c r="AU204" s="39">
        <v>2.9650832792707925E-5</v>
      </c>
      <c r="AV204" s="39">
        <v>0.10723626329046587</v>
      </c>
      <c r="AW204" s="39">
        <v>0.15270677834639385</v>
      </c>
      <c r="AX204" s="39">
        <v>8.5883410870038598E-5</v>
      </c>
      <c r="AY204" s="39">
        <v>1.1907047052198784E-4</v>
      </c>
      <c r="AZ204" s="39" t="s">
        <v>152</v>
      </c>
      <c r="BA204" s="39" t="s">
        <v>152</v>
      </c>
      <c r="BB204" s="39" t="s">
        <v>152</v>
      </c>
      <c r="BC204" s="39" t="s">
        <v>152</v>
      </c>
      <c r="BD204" s="39" t="s">
        <v>152</v>
      </c>
      <c r="BE204" s="39" t="s">
        <v>152</v>
      </c>
      <c r="BF204" s="39" t="s">
        <v>152</v>
      </c>
      <c r="BG204" s="39" t="s">
        <v>152</v>
      </c>
      <c r="BH204" s="39">
        <v>0</v>
      </c>
      <c r="BI204" s="39">
        <v>0</v>
      </c>
      <c r="BJ204" s="39">
        <v>0</v>
      </c>
      <c r="BK204" s="39">
        <v>0</v>
      </c>
      <c r="BL204" s="40">
        <v>0</v>
      </c>
      <c r="BM204" s="40">
        <v>0</v>
      </c>
    </row>
    <row r="205" spans="1:65" x14ac:dyDescent="0.35">
      <c r="A205" s="39">
        <v>204</v>
      </c>
      <c r="B205" s="32" t="s">
        <v>432</v>
      </c>
      <c r="C205" s="32" t="s">
        <v>169</v>
      </c>
      <c r="D205" s="32" t="s">
        <v>4</v>
      </c>
      <c r="E205" s="32" t="s">
        <v>13</v>
      </c>
      <c r="F205" s="39">
        <v>3</v>
      </c>
      <c r="G205" s="39">
        <v>0</v>
      </c>
      <c r="H205" s="39">
        <v>0</v>
      </c>
      <c r="I205" s="39" t="s">
        <v>152</v>
      </c>
      <c r="J205" s="39">
        <v>0</v>
      </c>
      <c r="K205" s="39" t="s">
        <v>152</v>
      </c>
      <c r="L205" s="39">
        <v>2830813507746.8687</v>
      </c>
      <c r="M205" s="39">
        <v>128</v>
      </c>
      <c r="N205" s="39">
        <v>99510000000</v>
      </c>
      <c r="O205" s="39">
        <v>0</v>
      </c>
      <c r="P205" s="39">
        <v>0</v>
      </c>
      <c r="Q205" s="39">
        <v>128</v>
      </c>
      <c r="R205" s="19">
        <v>99510000000</v>
      </c>
      <c r="S205" s="39">
        <v>3.5152439299755589E-2</v>
      </c>
      <c r="T205" s="39">
        <v>0</v>
      </c>
      <c r="U205" s="39">
        <v>3.5152439299755589E-2</v>
      </c>
      <c r="V205" s="39">
        <v>7.4115728085920915E-2</v>
      </c>
      <c r="W205" s="39">
        <v>0</v>
      </c>
      <c r="X205" s="39">
        <v>4.643858822211748E-2</v>
      </c>
      <c r="Y205" s="39">
        <v>5853529411.7647057</v>
      </c>
      <c r="Z205" s="39">
        <v>2.0677905470444465E-3</v>
      </c>
      <c r="AA205" s="39">
        <v>2</v>
      </c>
      <c r="AB205" s="39">
        <v>0</v>
      </c>
      <c r="AC205" s="39">
        <v>0</v>
      </c>
      <c r="AD205" s="39">
        <v>0</v>
      </c>
      <c r="AE205" s="39">
        <v>0</v>
      </c>
      <c r="AF205" s="39">
        <v>0</v>
      </c>
      <c r="AG205" s="39">
        <v>0</v>
      </c>
      <c r="AH205" s="39">
        <v>0</v>
      </c>
      <c r="AI205" s="39">
        <v>0</v>
      </c>
      <c r="AJ205" s="39">
        <v>0</v>
      </c>
      <c r="AK205" s="39">
        <v>0</v>
      </c>
      <c r="AL205" s="19">
        <v>65529528000</v>
      </c>
      <c r="AM205" s="19">
        <v>30154261000</v>
      </c>
      <c r="AN205" s="39">
        <v>-35375267000</v>
      </c>
      <c r="AO205" s="39">
        <v>95683789000</v>
      </c>
      <c r="AP205" s="39">
        <v>692494170000</v>
      </c>
      <c r="AQ205" s="39">
        <v>468322416000</v>
      </c>
      <c r="AR205" s="39">
        <v>-224171754000</v>
      </c>
      <c r="AS205" s="39">
        <v>1160816586000</v>
      </c>
      <c r="AT205" s="39">
        <v>9.462827391023379E-2</v>
      </c>
      <c r="AU205" s="39">
        <v>6.4387823366541572E-2</v>
      </c>
      <c r="AV205" s="39">
        <v>0.27715621621124603</v>
      </c>
      <c r="AW205" s="39">
        <v>0.22635750418271894</v>
      </c>
      <c r="AX205" s="39">
        <v>8.2427999525499548E-2</v>
      </c>
      <c r="AY205" s="39">
        <v>3.3800809816029759E-2</v>
      </c>
      <c r="AZ205" s="39" t="s">
        <v>152</v>
      </c>
      <c r="BA205" s="39" t="s">
        <v>152</v>
      </c>
      <c r="BB205" s="39" t="s">
        <v>152</v>
      </c>
      <c r="BC205" s="39" t="s">
        <v>152</v>
      </c>
      <c r="BD205" s="39" t="s">
        <v>152</v>
      </c>
      <c r="BE205" s="39" t="s">
        <v>152</v>
      </c>
      <c r="BF205" s="39" t="s">
        <v>152</v>
      </c>
      <c r="BG205" s="39" t="s">
        <v>152</v>
      </c>
      <c r="BH205" s="39">
        <v>0</v>
      </c>
      <c r="BI205" s="39">
        <v>0</v>
      </c>
      <c r="BJ205" s="39">
        <v>0</v>
      </c>
      <c r="BK205" s="39">
        <v>0</v>
      </c>
      <c r="BL205" s="40">
        <v>0</v>
      </c>
      <c r="BM205" s="40">
        <v>0</v>
      </c>
    </row>
    <row r="206" spans="1:65" x14ac:dyDescent="0.35">
      <c r="A206" s="39">
        <v>205</v>
      </c>
      <c r="B206" s="32" t="s">
        <v>433</v>
      </c>
      <c r="C206" s="32" t="s">
        <v>185</v>
      </c>
      <c r="D206" s="32" t="s">
        <v>215</v>
      </c>
      <c r="E206" s="32" t="s">
        <v>13</v>
      </c>
      <c r="F206" s="39">
        <v>1</v>
      </c>
      <c r="G206" s="39">
        <v>0</v>
      </c>
      <c r="H206" s="39">
        <v>0</v>
      </c>
      <c r="I206" s="39" t="s">
        <v>152</v>
      </c>
      <c r="J206" s="39">
        <v>0</v>
      </c>
      <c r="K206" s="39" t="s">
        <v>152</v>
      </c>
      <c r="L206" s="39">
        <v>21433224697000</v>
      </c>
      <c r="M206" s="39">
        <v>298</v>
      </c>
      <c r="N206" s="39">
        <v>191370000000</v>
      </c>
      <c r="O206" s="39">
        <v>0</v>
      </c>
      <c r="P206" s="39">
        <v>0</v>
      </c>
      <c r="Q206" s="39">
        <v>298</v>
      </c>
      <c r="R206" s="19">
        <v>191370000000</v>
      </c>
      <c r="S206" s="39">
        <v>8.9286611186783285E-3</v>
      </c>
      <c r="T206" s="39">
        <v>0</v>
      </c>
      <c r="U206" s="39">
        <v>8.9286611186783285E-3</v>
      </c>
      <c r="V206" s="39">
        <v>0.14253368388908336</v>
      </c>
      <c r="W206" s="39">
        <v>0</v>
      </c>
      <c r="X206" s="39">
        <v>8.930713122366217E-2</v>
      </c>
      <c r="Y206" s="39">
        <v>11257058823.529411</v>
      </c>
      <c r="Z206" s="39">
        <v>5.2521535992225464E-4</v>
      </c>
      <c r="AA206" s="39">
        <v>0</v>
      </c>
      <c r="AB206" s="39" t="s">
        <v>152</v>
      </c>
      <c r="AC206" s="39" t="s">
        <v>152</v>
      </c>
      <c r="AD206" s="39" t="s">
        <v>152</v>
      </c>
      <c r="AE206" s="39" t="s">
        <v>152</v>
      </c>
      <c r="AF206" s="39" t="s">
        <v>152</v>
      </c>
      <c r="AG206" s="39" t="s">
        <v>152</v>
      </c>
      <c r="AH206" s="39">
        <v>0</v>
      </c>
      <c r="AI206" s="39" t="s">
        <v>152</v>
      </c>
      <c r="AJ206" s="39" t="s">
        <v>152</v>
      </c>
      <c r="AK206" s="39" t="s">
        <v>152</v>
      </c>
      <c r="AL206" s="19">
        <v>470950852000</v>
      </c>
      <c r="AM206" s="19">
        <v>106448372000</v>
      </c>
      <c r="AN206" s="39">
        <v>-364502480000</v>
      </c>
      <c r="AO206" s="39">
        <v>577399224000</v>
      </c>
      <c r="AP206" s="39">
        <v>2563536173000</v>
      </c>
      <c r="AQ206" s="39">
        <v>1642820352000</v>
      </c>
      <c r="AR206" s="39">
        <v>-920715821000</v>
      </c>
      <c r="AS206" s="39">
        <v>4206356525000</v>
      </c>
      <c r="AT206" s="39">
        <v>0.18371141275875416</v>
      </c>
      <c r="AU206" s="39">
        <v>6.479611228970214E-2</v>
      </c>
      <c r="AV206" s="39">
        <v>1.0260013969927548</v>
      </c>
      <c r="AW206" s="39">
        <v>0.79403569420280717</v>
      </c>
      <c r="AX206" s="39">
        <v>0.13726825592844868</v>
      </c>
      <c r="AY206" s="39">
        <v>2.6939447150984161E-2</v>
      </c>
      <c r="AZ206" s="39" t="s">
        <v>152</v>
      </c>
      <c r="BA206" s="39" t="s">
        <v>152</v>
      </c>
      <c r="BB206" s="39" t="s">
        <v>152</v>
      </c>
      <c r="BC206" s="39" t="s">
        <v>152</v>
      </c>
      <c r="BD206" s="39" t="s">
        <v>152</v>
      </c>
      <c r="BE206" s="39" t="s">
        <v>152</v>
      </c>
      <c r="BF206" s="39" t="s">
        <v>152</v>
      </c>
      <c r="BG206" s="39" t="s">
        <v>152</v>
      </c>
      <c r="BH206" s="39">
        <v>0</v>
      </c>
      <c r="BI206" s="39">
        <v>0</v>
      </c>
      <c r="BJ206" s="39">
        <v>0</v>
      </c>
      <c r="BK206" s="39">
        <v>0</v>
      </c>
      <c r="BL206" s="40">
        <v>0</v>
      </c>
      <c r="BM206" s="40">
        <v>0</v>
      </c>
    </row>
    <row r="207" spans="1:65" x14ac:dyDescent="0.35">
      <c r="A207" s="39">
        <v>206</v>
      </c>
      <c r="B207" s="32" t="s">
        <v>434</v>
      </c>
      <c r="C207" s="32" t="s">
        <v>122</v>
      </c>
      <c r="D207" s="32" t="s">
        <v>12</v>
      </c>
      <c r="E207" s="32" t="s">
        <v>13</v>
      </c>
      <c r="F207" s="39">
        <v>2</v>
      </c>
      <c r="G207" s="39">
        <v>0</v>
      </c>
      <c r="H207" s="39">
        <v>1</v>
      </c>
      <c r="I207" s="39">
        <v>2018</v>
      </c>
      <c r="J207" s="39">
        <v>0</v>
      </c>
      <c r="K207" s="39" t="s">
        <v>152</v>
      </c>
      <c r="L207" s="39">
        <v>61231149880.585663</v>
      </c>
      <c r="M207" s="39">
        <v>0</v>
      </c>
      <c r="N207" s="39">
        <v>0</v>
      </c>
      <c r="O207" s="39">
        <v>1</v>
      </c>
      <c r="P207" s="39">
        <v>180000000</v>
      </c>
      <c r="Q207" s="39">
        <v>1</v>
      </c>
      <c r="R207" s="19">
        <v>180000000</v>
      </c>
      <c r="S207" s="39">
        <v>0</v>
      </c>
      <c r="T207" s="39">
        <v>2.9396802175206569E-3</v>
      </c>
      <c r="U207" s="39">
        <v>2.9396802175206569E-3</v>
      </c>
      <c r="V207" s="39">
        <v>0</v>
      </c>
      <c r="W207" s="39">
        <v>2.2637522951932993E-4</v>
      </c>
      <c r="X207" s="39">
        <v>8.40010640134775E-5</v>
      </c>
      <c r="Y207" s="39">
        <v>10588235.294117646</v>
      </c>
      <c r="Z207" s="39">
        <v>1.7292236573650922E-4</v>
      </c>
      <c r="AA207" s="39">
        <v>2</v>
      </c>
      <c r="AB207" s="39">
        <v>0</v>
      </c>
      <c r="AC207" s="39">
        <v>0</v>
      </c>
      <c r="AD207" s="39">
        <v>0</v>
      </c>
      <c r="AE207" s="39">
        <v>0</v>
      </c>
      <c r="AF207" s="39">
        <v>0</v>
      </c>
      <c r="AG207" s="39">
        <v>0</v>
      </c>
      <c r="AH207" s="39">
        <v>0</v>
      </c>
      <c r="AI207" s="39">
        <v>0</v>
      </c>
      <c r="AJ207" s="39">
        <v>0</v>
      </c>
      <c r="AK207" s="39">
        <v>0</v>
      </c>
      <c r="AL207" s="19">
        <v>1309557000</v>
      </c>
      <c r="AM207" s="19">
        <v>2147303000</v>
      </c>
      <c r="AN207" s="39">
        <v>837746000</v>
      </c>
      <c r="AO207" s="39">
        <v>3456860000</v>
      </c>
      <c r="AP207" s="39">
        <v>8313649000</v>
      </c>
      <c r="AQ207" s="39">
        <v>7816028000</v>
      </c>
      <c r="AR207" s="39">
        <v>-497621000</v>
      </c>
      <c r="AS207" s="39">
        <v>16129677000</v>
      </c>
      <c r="AT207" s="39">
        <v>0.15751891858797504</v>
      </c>
      <c r="AU207" s="39">
        <v>0.2747307200025384</v>
      </c>
      <c r="AV207" s="39">
        <v>3.327363029999818E-3</v>
      </c>
      <c r="AW207" s="39">
        <v>3.7777747343664381E-3</v>
      </c>
      <c r="AX207" s="39">
        <v>0.21431675290211949</v>
      </c>
      <c r="AY207" s="39">
        <v>5.6455905315213654E-2</v>
      </c>
      <c r="AZ207" s="39">
        <v>49</v>
      </c>
      <c r="BA207" s="39">
        <v>330738828.02498108</v>
      </c>
      <c r="BB207" s="39">
        <v>39</v>
      </c>
      <c r="BC207" s="39">
        <v>153223378.70386729</v>
      </c>
      <c r="BD207" s="39">
        <v>3</v>
      </c>
      <c r="BE207" s="39">
        <v>13795146.479344809</v>
      </c>
      <c r="BF207" s="39">
        <v>7</v>
      </c>
      <c r="BG207" s="39">
        <v>163720302.84176901</v>
      </c>
      <c r="BH207" s="39">
        <v>5.4014799439500195E-3</v>
      </c>
      <c r="BI207" s="39">
        <v>2.5023763068746365E-3</v>
      </c>
      <c r="BJ207" s="39">
        <v>2.2529621779516484E-4</v>
      </c>
      <c r="BK207" s="39">
        <v>2.6738074192802185E-3</v>
      </c>
      <c r="BL207" s="40">
        <v>19455225.177940063</v>
      </c>
      <c r="BM207" s="40">
        <v>3.1773411435000111E-4</v>
      </c>
    </row>
    <row r="208" spans="1:65" x14ac:dyDescent="0.35">
      <c r="A208" s="39">
        <v>207</v>
      </c>
      <c r="B208" s="32" t="s">
        <v>435</v>
      </c>
      <c r="C208" s="32" t="s">
        <v>123</v>
      </c>
      <c r="D208" s="32" t="s">
        <v>4</v>
      </c>
      <c r="E208" s="32" t="s">
        <v>10</v>
      </c>
      <c r="F208" s="39">
        <v>2</v>
      </c>
      <c r="G208" s="39">
        <v>0</v>
      </c>
      <c r="H208" s="39">
        <v>1</v>
      </c>
      <c r="I208" s="39">
        <v>2015</v>
      </c>
      <c r="J208" s="39">
        <v>0</v>
      </c>
      <c r="K208" s="39" t="s">
        <v>152</v>
      </c>
      <c r="L208" s="39">
        <v>57726542784.920425</v>
      </c>
      <c r="M208" s="39">
        <v>7</v>
      </c>
      <c r="N208" s="39">
        <v>4010000000</v>
      </c>
      <c r="O208" s="39">
        <v>16</v>
      </c>
      <c r="P208" s="39">
        <v>3690000000</v>
      </c>
      <c r="Q208" s="39">
        <v>23</v>
      </c>
      <c r="R208" s="19">
        <v>7700000000</v>
      </c>
      <c r="S208" s="39">
        <v>6.9465445296812561E-2</v>
      </c>
      <c r="T208" s="39">
        <v>6.392206811601954E-2</v>
      </c>
      <c r="U208" s="39">
        <v>0.13338751341283211</v>
      </c>
      <c r="V208" s="39">
        <v>2.986675405733523E-3</v>
      </c>
      <c r="W208" s="39">
        <v>4.6406922051462638E-3</v>
      </c>
      <c r="X208" s="39">
        <v>3.5933788494654268E-3</v>
      </c>
      <c r="Y208" s="39">
        <v>452941176.47058821</v>
      </c>
      <c r="Z208" s="39">
        <v>7.8463243184018882E-3</v>
      </c>
      <c r="AA208" s="39">
        <v>1</v>
      </c>
      <c r="AB208" s="39">
        <v>7</v>
      </c>
      <c r="AC208" s="39">
        <v>1132600000</v>
      </c>
      <c r="AD208" s="39">
        <v>3</v>
      </c>
      <c r="AE208" s="39">
        <v>801300000</v>
      </c>
      <c r="AF208" s="39">
        <v>0</v>
      </c>
      <c r="AG208" s="39">
        <v>0</v>
      </c>
      <c r="AH208" s="39">
        <v>10</v>
      </c>
      <c r="AI208" s="39">
        <v>1933900000</v>
      </c>
      <c r="AJ208" s="39">
        <v>3.3501053531048833E-2</v>
      </c>
      <c r="AK208" s="39">
        <v>4.8517030634293884E-2</v>
      </c>
      <c r="AL208" s="19">
        <v>5052269000</v>
      </c>
      <c r="AM208" s="19">
        <v>1767642000</v>
      </c>
      <c r="AN208" s="39">
        <v>-3284627000</v>
      </c>
      <c r="AO208" s="39">
        <v>6819911000</v>
      </c>
      <c r="AP208" s="39">
        <v>21855139000</v>
      </c>
      <c r="AQ208" s="39">
        <v>14344696000</v>
      </c>
      <c r="AR208" s="39">
        <v>-7510443000</v>
      </c>
      <c r="AS208" s="39">
        <v>36199835000</v>
      </c>
      <c r="AT208" s="39">
        <v>0.23117075576595508</v>
      </c>
      <c r="AU208" s="39">
        <v>0.12322617363240043</v>
      </c>
      <c r="AV208" s="39">
        <v>8.7470593868116397E-3</v>
      </c>
      <c r="AW208" s="39">
        <v>6.9333208787081251E-3</v>
      </c>
      <c r="AX208" s="39">
        <v>0.18839619020362938</v>
      </c>
      <c r="AY208" s="39">
        <v>0.11814168441387289</v>
      </c>
      <c r="AZ208" s="39">
        <v>149</v>
      </c>
      <c r="BA208" s="39">
        <v>12695736545.016287</v>
      </c>
      <c r="BB208" s="39">
        <v>64</v>
      </c>
      <c r="BC208" s="39">
        <v>2542801902.4255037</v>
      </c>
      <c r="BD208" s="39">
        <v>56</v>
      </c>
      <c r="BE208" s="39">
        <v>8886742719.4394569</v>
      </c>
      <c r="BF208" s="39">
        <v>29</v>
      </c>
      <c r="BG208" s="39">
        <v>1266191923.151324</v>
      </c>
      <c r="BH208" s="39">
        <v>0.21992892580313542</v>
      </c>
      <c r="BI208" s="39">
        <v>4.4049093878695697E-2</v>
      </c>
      <c r="BJ208" s="39">
        <v>0.15394552125787256</v>
      </c>
      <c r="BK208" s="39">
        <v>2.1934310666567133E-2</v>
      </c>
      <c r="BL208" s="40">
        <v>746808032.05978155</v>
      </c>
      <c r="BM208" s="40">
        <v>1.2936995635478553E-2</v>
      </c>
    </row>
    <row r="209" spans="1:65" x14ac:dyDescent="0.35">
      <c r="A209" s="39">
        <v>208</v>
      </c>
      <c r="B209" s="32" t="s">
        <v>436</v>
      </c>
      <c r="C209" s="32" t="s">
        <v>124</v>
      </c>
      <c r="D209" s="32" t="s">
        <v>23</v>
      </c>
      <c r="E209" s="32" t="s">
        <v>10</v>
      </c>
      <c r="F209" s="39">
        <v>0</v>
      </c>
      <c r="G209" s="39">
        <v>0</v>
      </c>
      <c r="H209" s="39">
        <v>1</v>
      </c>
      <c r="I209" s="39">
        <v>2018</v>
      </c>
      <c r="J209" s="39">
        <v>1</v>
      </c>
      <c r="K209" s="39">
        <v>2004</v>
      </c>
      <c r="L209" s="39">
        <v>930337960.03747845</v>
      </c>
      <c r="M209" s="39">
        <v>0</v>
      </c>
      <c r="N209" s="39">
        <v>0</v>
      </c>
      <c r="O209" s="39">
        <v>0</v>
      </c>
      <c r="P209" s="39">
        <v>0</v>
      </c>
      <c r="Q209" s="39">
        <v>0</v>
      </c>
      <c r="R209" s="19">
        <v>0</v>
      </c>
      <c r="S209" s="39">
        <v>0</v>
      </c>
      <c r="T209" s="39">
        <v>0</v>
      </c>
      <c r="U209" s="39">
        <v>0</v>
      </c>
      <c r="V209" s="39">
        <v>0</v>
      </c>
      <c r="W209" s="39">
        <v>0</v>
      </c>
      <c r="X209" s="39">
        <v>0</v>
      </c>
      <c r="Y209" s="39">
        <v>0</v>
      </c>
      <c r="Z209" s="39">
        <v>0</v>
      </c>
      <c r="AA209" s="39">
        <v>1</v>
      </c>
      <c r="AB209" s="39">
        <v>0</v>
      </c>
      <c r="AC209" s="39">
        <v>0</v>
      </c>
      <c r="AD209" s="39">
        <v>0</v>
      </c>
      <c r="AE209" s="39">
        <v>0</v>
      </c>
      <c r="AF209" s="39">
        <v>0</v>
      </c>
      <c r="AG209" s="39">
        <v>0</v>
      </c>
      <c r="AH209" s="39">
        <v>0</v>
      </c>
      <c r="AI209" s="39">
        <v>0</v>
      </c>
      <c r="AJ209" s="39">
        <v>0</v>
      </c>
      <c r="AK209" s="39">
        <v>0</v>
      </c>
      <c r="AL209" s="19">
        <v>76761000</v>
      </c>
      <c r="AM209" s="19">
        <v>14655000</v>
      </c>
      <c r="AN209" s="39">
        <v>-62106000</v>
      </c>
      <c r="AO209" s="39">
        <v>91416000</v>
      </c>
      <c r="AP209" s="39">
        <v>286016000</v>
      </c>
      <c r="AQ209" s="39">
        <v>173228000</v>
      </c>
      <c r="AR209" s="39">
        <v>-112788000</v>
      </c>
      <c r="AS209" s="39">
        <v>459244000</v>
      </c>
      <c r="AT209" s="39">
        <v>0.26838009062430074</v>
      </c>
      <c r="AU209" s="39">
        <v>8.459948738079294E-2</v>
      </c>
      <c r="AV209" s="39">
        <v>1.1447188405337152E-4</v>
      </c>
      <c r="AW209" s="39">
        <v>8.3727484303386504E-5</v>
      </c>
      <c r="AX209" s="39">
        <v>0.19905758159061415</v>
      </c>
      <c r="AY209" s="39">
        <v>9.8261066329398544E-2</v>
      </c>
      <c r="AZ209" s="39">
        <v>120</v>
      </c>
      <c r="BA209" s="39">
        <v>555617259.93362021</v>
      </c>
      <c r="BB209" s="39">
        <v>108</v>
      </c>
      <c r="BC209" s="39">
        <v>390590587.29028279</v>
      </c>
      <c r="BD209" s="39">
        <v>9</v>
      </c>
      <c r="BE209" s="39">
        <v>78704.611487802802</v>
      </c>
      <c r="BF209" s="39">
        <v>3</v>
      </c>
      <c r="BG209" s="39">
        <v>164947968.03184959</v>
      </c>
      <c r="BH209" s="39">
        <v>0.59722088509775229</v>
      </c>
      <c r="BI209" s="39">
        <v>0.41983731081396264</v>
      </c>
      <c r="BJ209" s="39">
        <v>8.4597871814917882E-5</v>
      </c>
      <c r="BK209" s="39">
        <v>0.17729897641197476</v>
      </c>
      <c r="BL209" s="40">
        <v>32683368.231389426</v>
      </c>
      <c r="BM209" s="40">
        <v>3.5130640299867788E-2</v>
      </c>
    </row>
    <row r="210" spans="1:65" x14ac:dyDescent="0.35">
      <c r="A210" s="39">
        <v>209</v>
      </c>
      <c r="B210" s="32" t="s">
        <v>468</v>
      </c>
      <c r="C210" s="32" t="s">
        <v>467</v>
      </c>
      <c r="D210" s="32" t="s">
        <v>4</v>
      </c>
      <c r="E210" s="32" t="s">
        <v>152</v>
      </c>
      <c r="F210" s="39">
        <v>0</v>
      </c>
      <c r="G210" s="39">
        <v>0</v>
      </c>
      <c r="H210" s="39">
        <v>0</v>
      </c>
      <c r="I210" s="39" t="s">
        <v>152</v>
      </c>
      <c r="J210" s="39">
        <v>2</v>
      </c>
      <c r="K210" s="39" t="s">
        <v>152</v>
      </c>
      <c r="L210" s="39" t="s">
        <v>152</v>
      </c>
      <c r="M210" s="39">
        <v>0</v>
      </c>
      <c r="N210" s="39">
        <v>0</v>
      </c>
      <c r="O210" s="39">
        <v>0</v>
      </c>
      <c r="P210" s="39">
        <v>0</v>
      </c>
      <c r="Q210" s="39">
        <v>0</v>
      </c>
      <c r="R210" s="19">
        <v>0</v>
      </c>
      <c r="S210" s="39">
        <v>0</v>
      </c>
      <c r="T210" s="39">
        <v>0</v>
      </c>
      <c r="U210" s="39">
        <v>0</v>
      </c>
      <c r="V210" s="39">
        <v>0</v>
      </c>
      <c r="W210" s="39">
        <v>0</v>
      </c>
      <c r="X210" s="39">
        <v>0</v>
      </c>
      <c r="Y210" s="39">
        <v>0</v>
      </c>
      <c r="Z210" s="39">
        <v>0</v>
      </c>
      <c r="AA210" s="39">
        <v>0</v>
      </c>
      <c r="AB210" s="39" t="s">
        <v>152</v>
      </c>
      <c r="AC210" s="39" t="s">
        <v>152</v>
      </c>
      <c r="AD210" s="39" t="s">
        <v>152</v>
      </c>
      <c r="AE210" s="39" t="s">
        <v>152</v>
      </c>
      <c r="AF210" s="39" t="s">
        <v>152</v>
      </c>
      <c r="AG210" s="39" t="s">
        <v>152</v>
      </c>
      <c r="AH210" s="39">
        <v>0</v>
      </c>
      <c r="AI210" s="39" t="s">
        <v>152</v>
      </c>
      <c r="AJ210" s="39" t="s">
        <v>152</v>
      </c>
      <c r="AK210" s="39" t="s">
        <v>152</v>
      </c>
      <c r="AL210" s="19" t="s">
        <v>152</v>
      </c>
      <c r="AM210" s="19" t="s">
        <v>152</v>
      </c>
      <c r="AN210" s="39" t="s">
        <v>152</v>
      </c>
      <c r="AO210" s="39" t="s">
        <v>152</v>
      </c>
      <c r="AP210" s="39" t="s">
        <v>152</v>
      </c>
      <c r="AQ210" s="39" t="s">
        <v>152</v>
      </c>
      <c r="AR210" s="39" t="s">
        <v>152</v>
      </c>
      <c r="AS210" s="39" t="s">
        <v>152</v>
      </c>
      <c r="AT210" s="39" t="s">
        <v>152</v>
      </c>
      <c r="AU210" s="39" t="s">
        <v>152</v>
      </c>
      <c r="AV210" s="39" t="s">
        <v>152</v>
      </c>
      <c r="AW210" s="39" t="s">
        <v>152</v>
      </c>
      <c r="AX210" s="39" t="s">
        <v>152</v>
      </c>
      <c r="AY210" s="39" t="s">
        <v>152</v>
      </c>
      <c r="AZ210" s="39" t="s">
        <v>152</v>
      </c>
      <c r="BA210" s="39" t="s">
        <v>152</v>
      </c>
      <c r="BB210" s="39" t="s">
        <v>152</v>
      </c>
      <c r="BC210" s="39" t="s">
        <v>152</v>
      </c>
      <c r="BD210" s="39" t="s">
        <v>152</v>
      </c>
      <c r="BE210" s="39" t="s">
        <v>152</v>
      </c>
      <c r="BF210" s="39" t="s">
        <v>152</v>
      </c>
      <c r="BG210" s="39" t="s">
        <v>152</v>
      </c>
      <c r="BH210" s="39">
        <v>0</v>
      </c>
      <c r="BI210" s="39">
        <v>0</v>
      </c>
      <c r="BJ210" s="39">
        <v>0</v>
      </c>
      <c r="BK210" s="39">
        <v>0</v>
      </c>
      <c r="BL210" s="40">
        <v>0</v>
      </c>
      <c r="BM210" s="40">
        <v>0</v>
      </c>
    </row>
    <row r="211" spans="1:65" x14ac:dyDescent="0.35">
      <c r="A211" s="39">
        <v>210</v>
      </c>
      <c r="B211" s="32" t="s">
        <v>437</v>
      </c>
      <c r="C211" s="32" t="s">
        <v>148</v>
      </c>
      <c r="D211" s="32" t="s">
        <v>12</v>
      </c>
      <c r="E211" s="32" t="s">
        <v>152</v>
      </c>
      <c r="F211" s="39">
        <v>3</v>
      </c>
      <c r="G211" s="39">
        <v>0</v>
      </c>
      <c r="H211" s="39">
        <v>1</v>
      </c>
      <c r="I211" s="39">
        <v>2018</v>
      </c>
      <c r="J211" s="39">
        <v>0</v>
      </c>
      <c r="K211" s="39" t="s">
        <v>152</v>
      </c>
      <c r="L211" s="39" t="s">
        <v>152</v>
      </c>
      <c r="M211" s="39">
        <v>18</v>
      </c>
      <c r="N211" s="39">
        <v>11630000000</v>
      </c>
      <c r="O211" s="39">
        <v>10</v>
      </c>
      <c r="P211" s="39">
        <v>8140000000</v>
      </c>
      <c r="Q211" s="39">
        <v>28</v>
      </c>
      <c r="R211" s="19">
        <v>19770000000</v>
      </c>
      <c r="S211" s="39">
        <v>0</v>
      </c>
      <c r="T211" s="39">
        <v>0</v>
      </c>
      <c r="U211" s="39">
        <v>0</v>
      </c>
      <c r="V211" s="39">
        <v>8.662103483461565E-3</v>
      </c>
      <c r="W211" s="39">
        <v>1.0237190934929698E-2</v>
      </c>
      <c r="X211" s="39">
        <v>9.2261168641469462E-3</v>
      </c>
      <c r="Y211" s="39">
        <v>1162941176.4705882</v>
      </c>
      <c r="Z211" s="39">
        <v>0</v>
      </c>
      <c r="AA211" s="39">
        <v>3</v>
      </c>
      <c r="AB211" s="39">
        <v>0</v>
      </c>
      <c r="AC211" s="39">
        <v>0</v>
      </c>
      <c r="AD211" s="39">
        <v>0</v>
      </c>
      <c r="AE211" s="39">
        <v>0</v>
      </c>
      <c r="AF211" s="39">
        <v>0</v>
      </c>
      <c r="AG211" s="39">
        <v>0</v>
      </c>
      <c r="AH211" s="39">
        <v>0</v>
      </c>
      <c r="AI211" s="39">
        <v>0</v>
      </c>
      <c r="AJ211" s="39" t="s">
        <v>152</v>
      </c>
      <c r="AK211" s="39">
        <v>0</v>
      </c>
      <c r="AL211" s="19">
        <v>1539866000</v>
      </c>
      <c r="AM211" s="19">
        <v>4788365000</v>
      </c>
      <c r="AN211" s="39">
        <v>3248499000</v>
      </c>
      <c r="AO211" s="39">
        <v>6328231000</v>
      </c>
      <c r="AP211" s="39">
        <v>6177724000</v>
      </c>
      <c r="AQ211" s="39">
        <v>17015898000</v>
      </c>
      <c r="AR211" s="39">
        <v>10838174000</v>
      </c>
      <c r="AS211" s="39">
        <v>23193622000</v>
      </c>
      <c r="AT211" s="39">
        <v>0.24926105471853388</v>
      </c>
      <c r="AU211" s="39">
        <v>0.28140536573503205</v>
      </c>
      <c r="AV211" s="39">
        <v>2.4725040048169701E-3</v>
      </c>
      <c r="AW211" s="39">
        <v>8.2244113694265684E-3</v>
      </c>
      <c r="AX211" s="39">
        <v>0.27284358605137221</v>
      </c>
      <c r="AY211" s="39" t="s">
        <v>152</v>
      </c>
      <c r="AZ211" s="39">
        <v>84</v>
      </c>
      <c r="BA211" s="39">
        <v>173012228093.00427</v>
      </c>
      <c r="BB211" s="39">
        <v>9</v>
      </c>
      <c r="BC211" s="39">
        <v>92644565.738441646</v>
      </c>
      <c r="BD211" s="39">
        <v>63</v>
      </c>
      <c r="BE211" s="39">
        <v>166305580599.91101</v>
      </c>
      <c r="BF211" s="39">
        <v>12</v>
      </c>
      <c r="BG211" s="39">
        <v>6614002927.354825</v>
      </c>
      <c r="BH211" s="39">
        <v>0</v>
      </c>
      <c r="BI211" s="39">
        <v>0</v>
      </c>
      <c r="BJ211" s="39">
        <v>0</v>
      </c>
      <c r="BK211" s="39">
        <v>0</v>
      </c>
      <c r="BL211" s="40">
        <v>10177189887.82378</v>
      </c>
      <c r="BM211" s="40">
        <v>0</v>
      </c>
    </row>
    <row r="212" spans="1:65" x14ac:dyDescent="0.35">
      <c r="A212" s="39">
        <v>211</v>
      </c>
      <c r="B212" s="32" t="s">
        <v>438</v>
      </c>
      <c r="C212" s="32" t="s">
        <v>125</v>
      </c>
      <c r="D212" s="32" t="s">
        <v>23</v>
      </c>
      <c r="E212" s="32" t="s">
        <v>10</v>
      </c>
      <c r="F212" s="39">
        <v>4</v>
      </c>
      <c r="G212" s="39">
        <v>1</v>
      </c>
      <c r="H212" s="39">
        <v>1</v>
      </c>
      <c r="I212" s="39">
        <v>2017</v>
      </c>
      <c r="J212" s="39">
        <v>0</v>
      </c>
      <c r="K212" s="39" t="s">
        <v>152</v>
      </c>
      <c r="L212" s="39">
        <v>261921244843.1723</v>
      </c>
      <c r="M212" s="39">
        <v>28</v>
      </c>
      <c r="N212" s="39">
        <v>15620000000</v>
      </c>
      <c r="O212" s="39">
        <v>30</v>
      </c>
      <c r="P212" s="39">
        <v>13290000000</v>
      </c>
      <c r="Q212" s="39">
        <v>58</v>
      </c>
      <c r="R212" s="19">
        <v>28910000000</v>
      </c>
      <c r="S212" s="39">
        <v>5.9636246801410157E-2</v>
      </c>
      <c r="T212" s="39">
        <v>5.0740443021174197E-2</v>
      </c>
      <c r="U212" s="39">
        <v>0.11037668982258435</v>
      </c>
      <c r="V212" s="39">
        <v>1.1633882752508137E-2</v>
      </c>
      <c r="W212" s="39">
        <v>1.6714037779510527E-2</v>
      </c>
      <c r="X212" s="39">
        <v>1.3491504225720192E-2</v>
      </c>
      <c r="Y212" s="39">
        <v>1700588235.2941177</v>
      </c>
      <c r="Z212" s="39">
        <v>6.4927464601520204E-3</v>
      </c>
      <c r="AA212" s="39">
        <v>1</v>
      </c>
      <c r="AB212" s="39">
        <v>1</v>
      </c>
      <c r="AC212" s="39">
        <v>100000000</v>
      </c>
      <c r="AD212" s="39">
        <v>1</v>
      </c>
      <c r="AE212" s="39">
        <v>47500000</v>
      </c>
      <c r="AF212" s="39">
        <v>0</v>
      </c>
      <c r="AG212" s="39">
        <v>0</v>
      </c>
      <c r="AH212" s="39">
        <v>2</v>
      </c>
      <c r="AI212" s="39">
        <v>147500000</v>
      </c>
      <c r="AJ212" s="39">
        <v>5.6314637664583848E-4</v>
      </c>
      <c r="AK212" s="39">
        <v>3.7004302283253259E-3</v>
      </c>
      <c r="AL212" s="19">
        <v>75586138000</v>
      </c>
      <c r="AM212" s="19">
        <v>41434238000</v>
      </c>
      <c r="AN212" s="39">
        <v>-34151900000</v>
      </c>
      <c r="AO212" s="39">
        <v>117020376000</v>
      </c>
      <c r="AP212" s="39">
        <v>253442016000</v>
      </c>
      <c r="AQ212" s="39">
        <v>264610323000</v>
      </c>
      <c r="AR212" s="39">
        <v>11168307000</v>
      </c>
      <c r="AS212" s="39">
        <v>518052339000</v>
      </c>
      <c r="AT212" s="39">
        <v>0.29823838680323628</v>
      </c>
      <c r="AU212" s="39">
        <v>0.15658587136829125</v>
      </c>
      <c r="AV212" s="39">
        <v>0.101434832561132</v>
      </c>
      <c r="AW212" s="39">
        <v>0.12789593290632309</v>
      </c>
      <c r="AX212" s="39">
        <v>0.22588523820949297</v>
      </c>
      <c r="AY212" s="39">
        <v>0.44677695415683827</v>
      </c>
      <c r="AZ212" s="39">
        <v>111</v>
      </c>
      <c r="BA212" s="39">
        <v>20984102031.97514</v>
      </c>
      <c r="BB212" s="39">
        <v>54</v>
      </c>
      <c r="BC212" s="39">
        <v>1423612922.7701159</v>
      </c>
      <c r="BD212" s="39">
        <v>44</v>
      </c>
      <c r="BE212" s="39">
        <v>16354113571.873787</v>
      </c>
      <c r="BF212" s="39">
        <v>13</v>
      </c>
      <c r="BG212" s="39">
        <v>3206375537.3312359</v>
      </c>
      <c r="BH212" s="39">
        <v>8.0116074755751707E-2</v>
      </c>
      <c r="BI212" s="39">
        <v>5.4352709098588661E-3</v>
      </c>
      <c r="BJ212" s="39">
        <v>6.2439049500035627E-2</v>
      </c>
      <c r="BK212" s="39">
        <v>1.2241754345857213E-2</v>
      </c>
      <c r="BL212" s="40">
        <v>1234358943.0573611</v>
      </c>
      <c r="BM212" s="40">
        <v>4.7127102797501009E-3</v>
      </c>
    </row>
    <row r="213" spans="1:65" x14ac:dyDescent="0.35">
      <c r="A213" s="39">
        <v>212</v>
      </c>
      <c r="B213" s="32" t="s">
        <v>465</v>
      </c>
      <c r="C213" s="32" t="s">
        <v>479</v>
      </c>
      <c r="D213" s="32" t="s">
        <v>12</v>
      </c>
      <c r="E213" s="32" t="s">
        <v>13</v>
      </c>
      <c r="F213" s="39">
        <v>0</v>
      </c>
      <c r="G213" s="39">
        <v>0</v>
      </c>
      <c r="H213" s="39">
        <v>0</v>
      </c>
      <c r="I213" s="39" t="s">
        <v>152</v>
      </c>
      <c r="J213" s="39">
        <v>0</v>
      </c>
      <c r="K213" s="39" t="s">
        <v>152</v>
      </c>
      <c r="L213" s="39">
        <v>3984000000</v>
      </c>
      <c r="M213" s="39">
        <v>0</v>
      </c>
      <c r="N213" s="39">
        <v>0</v>
      </c>
      <c r="O213" s="39">
        <v>0</v>
      </c>
      <c r="P213" s="39">
        <v>0</v>
      </c>
      <c r="Q213" s="39">
        <v>0</v>
      </c>
      <c r="R213" s="19">
        <v>0</v>
      </c>
      <c r="S213" s="39">
        <v>0</v>
      </c>
      <c r="T213" s="39">
        <v>0</v>
      </c>
      <c r="U213" s="39">
        <v>0</v>
      </c>
      <c r="V213" s="39">
        <v>0</v>
      </c>
      <c r="W213" s="39">
        <v>0</v>
      </c>
      <c r="X213" s="39">
        <v>0</v>
      </c>
      <c r="Y213" s="39">
        <v>0</v>
      </c>
      <c r="Z213" s="39">
        <v>0</v>
      </c>
      <c r="AA213" s="39">
        <v>0</v>
      </c>
      <c r="AB213" s="39" t="s">
        <v>152</v>
      </c>
      <c r="AC213" s="39" t="s">
        <v>152</v>
      </c>
      <c r="AD213" s="39" t="s">
        <v>152</v>
      </c>
      <c r="AE213" s="39" t="s">
        <v>152</v>
      </c>
      <c r="AF213" s="39" t="s">
        <v>152</v>
      </c>
      <c r="AG213" s="39" t="s">
        <v>152</v>
      </c>
      <c r="AH213" s="39">
        <v>0</v>
      </c>
      <c r="AI213" s="39" t="s">
        <v>152</v>
      </c>
      <c r="AJ213" s="39" t="s">
        <v>152</v>
      </c>
      <c r="AK213" s="39" t="s">
        <v>152</v>
      </c>
      <c r="AL213" s="19" t="s">
        <v>152</v>
      </c>
      <c r="AM213" s="19" t="s">
        <v>152</v>
      </c>
      <c r="AN213" s="39" t="s">
        <v>152</v>
      </c>
      <c r="AO213" s="39" t="s">
        <v>152</v>
      </c>
      <c r="AP213" s="39" t="s">
        <v>152</v>
      </c>
      <c r="AQ213" s="39" t="s">
        <v>152</v>
      </c>
      <c r="AR213" s="39" t="s">
        <v>152</v>
      </c>
      <c r="AS213" s="39" t="s">
        <v>152</v>
      </c>
      <c r="AT213" s="39" t="s">
        <v>152</v>
      </c>
      <c r="AU213" s="39" t="s">
        <v>152</v>
      </c>
      <c r="AV213" s="39" t="s">
        <v>152</v>
      </c>
      <c r="AW213" s="39" t="s">
        <v>152</v>
      </c>
      <c r="AX213" s="39" t="s">
        <v>152</v>
      </c>
      <c r="AY213" s="39" t="s">
        <v>152</v>
      </c>
      <c r="AZ213" s="39">
        <v>0</v>
      </c>
      <c r="BA213" s="39" t="s">
        <v>152</v>
      </c>
      <c r="BB213" s="39" t="s">
        <v>152</v>
      </c>
      <c r="BC213" s="39" t="s">
        <v>152</v>
      </c>
      <c r="BD213" s="39" t="s">
        <v>152</v>
      </c>
      <c r="BE213" s="39" t="s">
        <v>152</v>
      </c>
      <c r="BF213" s="39" t="s">
        <v>152</v>
      </c>
      <c r="BG213" s="39" t="s">
        <v>152</v>
      </c>
      <c r="BH213" s="39">
        <v>0</v>
      </c>
      <c r="BI213" s="39">
        <v>0</v>
      </c>
      <c r="BJ213" s="39">
        <v>0</v>
      </c>
      <c r="BK213" s="39">
        <v>0</v>
      </c>
      <c r="BL213" s="40">
        <v>0</v>
      </c>
      <c r="BM213" s="40">
        <v>0</v>
      </c>
    </row>
    <row r="214" spans="1:65" x14ac:dyDescent="0.35">
      <c r="A214" s="39">
        <v>213</v>
      </c>
      <c r="B214" s="32" t="s">
        <v>439</v>
      </c>
      <c r="C214" s="32" t="s">
        <v>213</v>
      </c>
      <c r="D214" s="32" t="s">
        <v>7</v>
      </c>
      <c r="E214" s="32" t="s">
        <v>152</v>
      </c>
      <c r="F214" s="39">
        <v>0</v>
      </c>
      <c r="G214" s="39">
        <v>0</v>
      </c>
      <c r="H214" s="39">
        <v>0</v>
      </c>
      <c r="I214" s="39" t="s">
        <v>152</v>
      </c>
      <c r="J214" s="39">
        <v>0</v>
      </c>
      <c r="K214" s="39" t="s">
        <v>152</v>
      </c>
      <c r="L214" s="39" t="s">
        <v>152</v>
      </c>
      <c r="M214" s="39">
        <v>0</v>
      </c>
      <c r="N214" s="39">
        <v>0</v>
      </c>
      <c r="O214" s="39">
        <v>0</v>
      </c>
      <c r="P214" s="39">
        <v>0</v>
      </c>
      <c r="Q214" s="39">
        <v>0</v>
      </c>
      <c r="R214" s="19">
        <v>0</v>
      </c>
      <c r="S214" s="39">
        <v>0</v>
      </c>
      <c r="T214" s="39">
        <v>0</v>
      </c>
      <c r="U214" s="39">
        <v>0</v>
      </c>
      <c r="V214" s="39">
        <v>0</v>
      </c>
      <c r="W214" s="39">
        <v>0</v>
      </c>
      <c r="X214" s="39">
        <v>0</v>
      </c>
      <c r="Y214" s="39">
        <v>0</v>
      </c>
      <c r="Z214" s="39">
        <v>0</v>
      </c>
      <c r="AA214" s="39">
        <v>0</v>
      </c>
      <c r="AB214" s="39" t="s">
        <v>152</v>
      </c>
      <c r="AC214" s="39" t="s">
        <v>152</v>
      </c>
      <c r="AD214" s="39" t="s">
        <v>152</v>
      </c>
      <c r="AE214" s="39" t="s">
        <v>152</v>
      </c>
      <c r="AF214" s="39" t="s">
        <v>152</v>
      </c>
      <c r="AG214" s="39" t="s">
        <v>152</v>
      </c>
      <c r="AH214" s="39">
        <v>0</v>
      </c>
      <c r="AI214" s="39" t="s">
        <v>152</v>
      </c>
      <c r="AJ214" s="39" t="s">
        <v>152</v>
      </c>
      <c r="AK214" s="39" t="s">
        <v>152</v>
      </c>
      <c r="AL214" s="19">
        <v>72000</v>
      </c>
      <c r="AM214" s="19">
        <v>0</v>
      </c>
      <c r="AN214" s="39">
        <v>-72000</v>
      </c>
      <c r="AO214" s="39">
        <v>72000</v>
      </c>
      <c r="AP214" s="39">
        <v>0</v>
      </c>
      <c r="AQ214" s="39">
        <v>3213000</v>
      </c>
      <c r="AR214" s="39">
        <v>3213000</v>
      </c>
      <c r="AS214" s="39">
        <v>3213000</v>
      </c>
      <c r="AT214" s="39" t="s">
        <v>152</v>
      </c>
      <c r="AU214" s="39">
        <v>0</v>
      </c>
      <c r="AV214" s="39" t="s">
        <v>152</v>
      </c>
      <c r="AW214" s="39" t="s">
        <v>152</v>
      </c>
      <c r="AX214" s="39">
        <v>2.2408963585434174E-2</v>
      </c>
      <c r="AY214" s="39" t="s">
        <v>152</v>
      </c>
      <c r="AZ214" s="39" t="s">
        <v>152</v>
      </c>
      <c r="BA214" s="39" t="s">
        <v>152</v>
      </c>
      <c r="BB214" s="39" t="s">
        <v>152</v>
      </c>
      <c r="BC214" s="39" t="s">
        <v>152</v>
      </c>
      <c r="BD214" s="39" t="s">
        <v>152</v>
      </c>
      <c r="BE214" s="39" t="s">
        <v>152</v>
      </c>
      <c r="BF214" s="39" t="s">
        <v>152</v>
      </c>
      <c r="BG214" s="39" t="s">
        <v>152</v>
      </c>
      <c r="BH214" s="39">
        <v>0</v>
      </c>
      <c r="BI214" s="39">
        <v>0</v>
      </c>
      <c r="BJ214" s="39">
        <v>0</v>
      </c>
      <c r="BK214" s="39">
        <v>0</v>
      </c>
      <c r="BL214" s="40">
        <v>0</v>
      </c>
      <c r="BM214" s="40">
        <v>0</v>
      </c>
    </row>
    <row r="215" spans="1:65" x14ac:dyDescent="0.35">
      <c r="A215" s="39">
        <v>214</v>
      </c>
      <c r="B215" s="32" t="s">
        <v>440</v>
      </c>
      <c r="C215" s="32" t="s">
        <v>142</v>
      </c>
      <c r="D215" s="32" t="s">
        <v>7</v>
      </c>
      <c r="E215" s="32" t="s">
        <v>2</v>
      </c>
      <c r="F215" s="39">
        <v>0</v>
      </c>
      <c r="G215" s="39">
        <v>0</v>
      </c>
      <c r="H215" s="39">
        <v>1</v>
      </c>
      <c r="I215" s="39">
        <v>2017</v>
      </c>
      <c r="J215" s="39">
        <v>0</v>
      </c>
      <c r="K215" s="39" t="s">
        <v>152</v>
      </c>
      <c r="L215" s="39" t="s">
        <v>152</v>
      </c>
      <c r="M215" s="39">
        <v>4</v>
      </c>
      <c r="N215" s="39">
        <v>1200000000</v>
      </c>
      <c r="O215" s="39">
        <v>1</v>
      </c>
      <c r="P215" s="39">
        <v>510000000</v>
      </c>
      <c r="Q215" s="39">
        <v>5</v>
      </c>
      <c r="R215" s="19">
        <v>1710000000</v>
      </c>
      <c r="S215" s="39">
        <v>0</v>
      </c>
      <c r="T215" s="39">
        <v>0</v>
      </c>
      <c r="U215" s="39">
        <v>0</v>
      </c>
      <c r="V215" s="39">
        <v>8.9376820121701438E-4</v>
      </c>
      <c r="W215" s="39">
        <v>6.4139648363810149E-4</v>
      </c>
      <c r="X215" s="39">
        <v>7.9801010812803629E-4</v>
      </c>
      <c r="Y215" s="39">
        <v>100588235.29411764</v>
      </c>
      <c r="Z215" s="39">
        <v>0</v>
      </c>
      <c r="AA215" s="39">
        <v>0</v>
      </c>
      <c r="AB215" s="39" t="s">
        <v>152</v>
      </c>
      <c r="AC215" s="39" t="s">
        <v>152</v>
      </c>
      <c r="AD215" s="39" t="s">
        <v>152</v>
      </c>
      <c r="AE215" s="39" t="s">
        <v>152</v>
      </c>
      <c r="AF215" s="39" t="s">
        <v>152</v>
      </c>
      <c r="AG215" s="39" t="s">
        <v>152</v>
      </c>
      <c r="AH215" s="39">
        <v>0</v>
      </c>
      <c r="AI215" s="39" t="s">
        <v>152</v>
      </c>
      <c r="AJ215" s="39" t="s">
        <v>152</v>
      </c>
      <c r="AK215" s="39" t="s">
        <v>152</v>
      </c>
      <c r="AL215" s="19">
        <v>2821134000</v>
      </c>
      <c r="AM215" s="19">
        <v>864442000</v>
      </c>
      <c r="AN215" s="39">
        <v>-1956692000</v>
      </c>
      <c r="AO215" s="39">
        <v>3685576000</v>
      </c>
      <c r="AP215" s="39">
        <v>10252621000</v>
      </c>
      <c r="AQ215" s="39">
        <v>1575635000</v>
      </c>
      <c r="AR215" s="39">
        <v>-8676986000</v>
      </c>
      <c r="AS215" s="39">
        <v>11828256000</v>
      </c>
      <c r="AT215" s="39">
        <v>0.27516222437169968</v>
      </c>
      <c r="AU215" s="39">
        <v>0.54863086945897999</v>
      </c>
      <c r="AV215" s="39">
        <v>4.1033957623180586E-3</v>
      </c>
      <c r="AW215" s="39">
        <v>7.6156253452309324E-4</v>
      </c>
      <c r="AX215" s="39">
        <v>0.31159082116585912</v>
      </c>
      <c r="AY215" s="39" t="s">
        <v>152</v>
      </c>
      <c r="AZ215" s="39">
        <v>74</v>
      </c>
      <c r="BA215" s="39">
        <v>1749062255.0303748</v>
      </c>
      <c r="BB215" s="39">
        <v>68</v>
      </c>
      <c r="BC215" s="39">
        <v>1244849858.1868131</v>
      </c>
      <c r="BD215" s="39">
        <v>4</v>
      </c>
      <c r="BE215" s="39">
        <v>176213807.73125672</v>
      </c>
      <c r="BF215" s="39">
        <v>2</v>
      </c>
      <c r="BG215" s="39">
        <v>327998589.11230499</v>
      </c>
      <c r="BH215" s="39">
        <v>0</v>
      </c>
      <c r="BI215" s="39">
        <v>0</v>
      </c>
      <c r="BJ215" s="39">
        <v>0</v>
      </c>
      <c r="BK215" s="39">
        <v>0</v>
      </c>
      <c r="BL215" s="40">
        <v>102886015.00178675</v>
      </c>
      <c r="BM215" s="40">
        <v>0</v>
      </c>
    </row>
    <row r="216" spans="1:65" x14ac:dyDescent="0.35">
      <c r="A216" s="39">
        <v>215</v>
      </c>
      <c r="B216" s="32" t="s">
        <v>441</v>
      </c>
      <c r="C216" s="32" t="s">
        <v>126</v>
      </c>
      <c r="D216" s="32" t="s">
        <v>9</v>
      </c>
      <c r="E216" s="32" t="s">
        <v>10</v>
      </c>
      <c r="F216" s="39">
        <v>0</v>
      </c>
      <c r="G216" s="39">
        <v>0</v>
      </c>
      <c r="H216" s="39">
        <v>1</v>
      </c>
      <c r="I216" s="39">
        <v>2018</v>
      </c>
      <c r="J216" s="39">
        <v>0</v>
      </c>
      <c r="K216" s="39" t="s">
        <v>152</v>
      </c>
      <c r="L216" s="39">
        <v>23308688906.12878</v>
      </c>
      <c r="M216" s="39">
        <v>19</v>
      </c>
      <c r="N216" s="39">
        <v>5820000000</v>
      </c>
      <c r="O216" s="39">
        <v>30</v>
      </c>
      <c r="P216" s="39">
        <v>10800000000</v>
      </c>
      <c r="Q216" s="39">
        <v>49</v>
      </c>
      <c r="R216" s="19">
        <v>16620000000</v>
      </c>
      <c r="S216" s="39">
        <v>0.24969229386684597</v>
      </c>
      <c r="T216" s="39">
        <v>0.46334652470136367</v>
      </c>
      <c r="U216" s="39">
        <v>0.71303881856820961</v>
      </c>
      <c r="V216" s="39">
        <v>4.3347757759025201E-3</v>
      </c>
      <c r="W216" s="39">
        <v>1.3582513771159795E-2</v>
      </c>
      <c r="X216" s="39">
        <v>7.7560982439110896E-3</v>
      </c>
      <c r="Y216" s="39">
        <v>977647058.82352936</v>
      </c>
      <c r="Z216" s="39">
        <v>4.1943459915777033E-2</v>
      </c>
      <c r="AA216" s="39">
        <v>0</v>
      </c>
      <c r="AB216" s="39" t="s">
        <v>152</v>
      </c>
      <c r="AC216" s="39" t="s">
        <v>152</v>
      </c>
      <c r="AD216" s="39" t="s">
        <v>152</v>
      </c>
      <c r="AE216" s="39" t="s">
        <v>152</v>
      </c>
      <c r="AF216" s="39" t="s">
        <v>152</v>
      </c>
      <c r="AG216" s="39" t="s">
        <v>152</v>
      </c>
      <c r="AH216" s="39">
        <v>0</v>
      </c>
      <c r="AI216" s="39" t="s">
        <v>152</v>
      </c>
      <c r="AJ216" s="39" t="s">
        <v>152</v>
      </c>
      <c r="AK216" s="39" t="s">
        <v>152</v>
      </c>
      <c r="AL216" s="19">
        <v>1019957000</v>
      </c>
      <c r="AM216" s="19">
        <v>1506024000</v>
      </c>
      <c r="AN216" s="39">
        <v>486067000</v>
      </c>
      <c r="AO216" s="39">
        <v>2525981000</v>
      </c>
      <c r="AP216" s="39">
        <v>7226897000</v>
      </c>
      <c r="AQ216" s="39">
        <v>6962507000</v>
      </c>
      <c r="AR216" s="39">
        <v>-264390000</v>
      </c>
      <c r="AS216" s="39">
        <v>14189404000</v>
      </c>
      <c r="AT216" s="39">
        <v>0.14113346295097329</v>
      </c>
      <c r="AU216" s="39">
        <v>0.21630484536676228</v>
      </c>
      <c r="AV216" s="39">
        <v>2.8924134155070289E-3</v>
      </c>
      <c r="AW216" s="39">
        <v>3.3652365411753218E-3</v>
      </c>
      <c r="AX216" s="39">
        <v>0.17801882305979871</v>
      </c>
      <c r="AY216" s="39">
        <v>0.10837078868626623</v>
      </c>
      <c r="AZ216" s="39">
        <v>167</v>
      </c>
      <c r="BA216" s="39">
        <v>9911112078.2602673</v>
      </c>
      <c r="BB216" s="39">
        <v>116</v>
      </c>
      <c r="BC216" s="39">
        <v>2841730205.5317831</v>
      </c>
      <c r="BD216" s="39">
        <v>36</v>
      </c>
      <c r="BE216" s="39">
        <v>4926950738.8012905</v>
      </c>
      <c r="BF216" s="39">
        <v>15</v>
      </c>
      <c r="BG216" s="39">
        <v>2142431133.9271944</v>
      </c>
      <c r="BH216" s="39">
        <v>0.42521104975811153</v>
      </c>
      <c r="BI216" s="39">
        <v>0.12191720508074477</v>
      </c>
      <c r="BJ216" s="39">
        <v>0.21137828724059204</v>
      </c>
      <c r="BK216" s="39">
        <v>9.191555743677475E-2</v>
      </c>
      <c r="BL216" s="40">
        <v>583006592.83883929</v>
      </c>
      <c r="BM216" s="40">
        <v>2.5012414691653623E-2</v>
      </c>
    </row>
    <row r="217" spans="1:65" x14ac:dyDescent="0.35">
      <c r="A217" s="39">
        <v>216</v>
      </c>
      <c r="B217" s="32" t="s">
        <v>442</v>
      </c>
      <c r="C217" s="32" t="s">
        <v>127</v>
      </c>
      <c r="D217" s="32" t="s">
        <v>9</v>
      </c>
      <c r="E217" s="32" t="s">
        <v>10</v>
      </c>
      <c r="F217" s="39">
        <v>0</v>
      </c>
      <c r="G217" s="39">
        <v>0</v>
      </c>
      <c r="H217" s="39">
        <v>1</v>
      </c>
      <c r="I217" s="39">
        <v>2018</v>
      </c>
      <c r="J217" s="39">
        <v>0</v>
      </c>
      <c r="K217" s="39" t="s">
        <v>152</v>
      </c>
      <c r="L217" s="39">
        <v>16932434838.692844</v>
      </c>
      <c r="M217" s="39">
        <v>9</v>
      </c>
      <c r="N217" s="39">
        <v>1690000000</v>
      </c>
      <c r="O217" s="39">
        <v>15</v>
      </c>
      <c r="P217" s="39">
        <v>8580000000</v>
      </c>
      <c r="Q217" s="39">
        <v>24</v>
      </c>
      <c r="R217" s="19">
        <v>10270000000</v>
      </c>
      <c r="S217" s="39">
        <v>9.9808445512994226E-2</v>
      </c>
      <c r="T217" s="39">
        <v>0.50671980029673991</v>
      </c>
      <c r="U217" s="39">
        <v>0.60652824580973419</v>
      </c>
      <c r="V217" s="39">
        <v>1.2587235500472953E-3</v>
      </c>
      <c r="W217" s="39">
        <v>1.0790552607088061E-2</v>
      </c>
      <c r="X217" s="39">
        <v>4.7927273745467444E-3</v>
      </c>
      <c r="Y217" s="39">
        <v>604117647.05882359</v>
      </c>
      <c r="Z217" s="39">
        <v>3.5678132106454957E-2</v>
      </c>
      <c r="AA217" s="39">
        <v>0</v>
      </c>
      <c r="AB217" s="39" t="s">
        <v>152</v>
      </c>
      <c r="AC217" s="39" t="s">
        <v>152</v>
      </c>
      <c r="AD217" s="39" t="s">
        <v>152</v>
      </c>
      <c r="AE217" s="39" t="s">
        <v>152</v>
      </c>
      <c r="AF217" s="39" t="s">
        <v>152</v>
      </c>
      <c r="AG217" s="39" t="s">
        <v>152</v>
      </c>
      <c r="AH217" s="39">
        <v>0</v>
      </c>
      <c r="AI217" s="39" t="s">
        <v>152</v>
      </c>
      <c r="AJ217" s="39" t="s">
        <v>152</v>
      </c>
      <c r="AK217" s="39" t="s">
        <v>152</v>
      </c>
      <c r="AL217" s="19">
        <v>411593000</v>
      </c>
      <c r="AM217" s="19">
        <v>3247000</v>
      </c>
      <c r="AN217" s="39">
        <v>-408346000</v>
      </c>
      <c r="AO217" s="39">
        <v>414840000</v>
      </c>
      <c r="AP217" s="39">
        <v>4793889000</v>
      </c>
      <c r="AQ217" s="39">
        <v>4279384000</v>
      </c>
      <c r="AR217" s="39">
        <v>-514505000</v>
      </c>
      <c r="AS217" s="39">
        <v>9073273000</v>
      </c>
      <c r="AT217" s="39">
        <v>8.5857849441236547E-2</v>
      </c>
      <c r="AU217" s="39">
        <v>7.5875406366897661E-4</v>
      </c>
      <c r="AV217" s="39">
        <v>1.9186531724544539E-3</v>
      </c>
      <c r="AW217" s="39">
        <v>2.0683841912864168E-3</v>
      </c>
      <c r="AX217" s="39">
        <v>4.5721097557628876E-2</v>
      </c>
      <c r="AY217" s="39">
        <v>2.4499725169592028E-2</v>
      </c>
      <c r="AZ217" s="39">
        <v>204</v>
      </c>
      <c r="BA217" s="39">
        <v>17281064864.699394</v>
      </c>
      <c r="BB217" s="39">
        <v>141</v>
      </c>
      <c r="BC217" s="39">
        <v>8254176990.2777405</v>
      </c>
      <c r="BD217" s="39">
        <v>52</v>
      </c>
      <c r="BE217" s="39">
        <v>8899474794.6103668</v>
      </c>
      <c r="BF217" s="39">
        <v>11</v>
      </c>
      <c r="BG217" s="39">
        <v>127413079.81127936</v>
      </c>
      <c r="BH217" s="39">
        <v>1.0205894798549517</v>
      </c>
      <c r="BI217" s="39">
        <v>0.48747726295192106</v>
      </c>
      <c r="BJ217" s="39">
        <v>0.52558742315510909</v>
      </c>
      <c r="BK217" s="39">
        <v>7.524793747921219E-3</v>
      </c>
      <c r="BL217" s="40">
        <v>1016533227.3352585</v>
      </c>
      <c r="BM217" s="40">
        <v>6.0034675285585398E-2</v>
      </c>
    </row>
  </sheetData>
  <autoFilter ref="A1:BM217" xr:uid="{2569BF12-6340-41F5-ABE4-F0383C73BD9E}">
    <sortState xmlns:xlrd2="http://schemas.microsoft.com/office/spreadsheetml/2017/richdata2" ref="A2:BM217">
      <sortCondition ref="A1:A217"/>
    </sortState>
  </autoFilter>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25BBF-2E46-47F1-9D46-A136470FA795}">
  <dimension ref="A3:F76"/>
  <sheetViews>
    <sheetView topLeftCell="A40" zoomScale="55" zoomScaleNormal="55" workbookViewId="0">
      <selection activeCell="A73" sqref="A73"/>
    </sheetView>
  </sheetViews>
  <sheetFormatPr baseColWidth="10" defaultRowHeight="14.5" x14ac:dyDescent="0.35"/>
  <cols>
    <col min="1" max="1" width="11.7265625" bestFit="1" customWidth="1"/>
    <col min="2" max="2" width="25" bestFit="1" customWidth="1"/>
    <col min="3" max="3" width="17.36328125" bestFit="1" customWidth="1"/>
    <col min="4" max="4" width="17.7265625" bestFit="1" customWidth="1"/>
    <col min="5" max="5" width="22.54296875" bestFit="1" customWidth="1"/>
    <col min="6" max="6" width="21.453125" bestFit="1" customWidth="1"/>
    <col min="7" max="8" width="15.7265625" bestFit="1" customWidth="1"/>
    <col min="13" max="13" width="20.7265625" bestFit="1" customWidth="1"/>
    <col min="14" max="14" width="11.6328125" bestFit="1" customWidth="1"/>
    <col min="15" max="15" width="6.54296875" customWidth="1"/>
    <col min="16" max="16" width="14.26953125" customWidth="1"/>
  </cols>
  <sheetData>
    <row r="3" spans="1:4" x14ac:dyDescent="0.35">
      <c r="A3" s="41" t="s">
        <v>536</v>
      </c>
      <c r="B3" s="41" t="s">
        <v>150</v>
      </c>
    </row>
    <row r="4" spans="1:4" x14ac:dyDescent="0.35">
      <c r="A4" s="41" t="s">
        <v>129</v>
      </c>
      <c r="B4" s="17">
        <v>0</v>
      </c>
      <c r="C4" s="17">
        <v>1</v>
      </c>
      <c r="D4" s="17" t="s">
        <v>537</v>
      </c>
    </row>
    <row r="5" spans="1:4" x14ac:dyDescent="0.35">
      <c r="A5" s="17" t="s">
        <v>23</v>
      </c>
      <c r="B5" s="40">
        <v>14</v>
      </c>
      <c r="C5" s="40">
        <v>25</v>
      </c>
      <c r="D5" s="40">
        <v>39</v>
      </c>
    </row>
    <row r="6" spans="1:4" x14ac:dyDescent="0.35">
      <c r="A6" s="17" t="s">
        <v>4</v>
      </c>
      <c r="B6" s="40">
        <v>20</v>
      </c>
      <c r="C6" s="40">
        <v>34</v>
      </c>
      <c r="D6" s="40">
        <v>54</v>
      </c>
    </row>
    <row r="7" spans="1:4" x14ac:dyDescent="0.35">
      <c r="A7" s="17" t="s">
        <v>12</v>
      </c>
      <c r="B7" s="40">
        <v>23</v>
      </c>
      <c r="C7" s="40">
        <v>19</v>
      </c>
      <c r="D7" s="40">
        <v>42</v>
      </c>
    </row>
    <row r="8" spans="1:4" x14ac:dyDescent="0.35">
      <c r="A8" s="17" t="s">
        <v>7</v>
      </c>
      <c r="B8" s="40">
        <v>5</v>
      </c>
      <c r="C8" s="40">
        <v>17</v>
      </c>
      <c r="D8" s="40">
        <v>22</v>
      </c>
    </row>
    <row r="9" spans="1:4" x14ac:dyDescent="0.35">
      <c r="A9" s="17" t="s">
        <v>215</v>
      </c>
      <c r="B9" s="40">
        <v>3</v>
      </c>
      <c r="C9" s="40"/>
      <c r="D9" s="40">
        <v>3</v>
      </c>
    </row>
    <row r="10" spans="1:4" x14ac:dyDescent="0.35">
      <c r="A10" s="17" t="s">
        <v>1</v>
      </c>
      <c r="B10" s="40">
        <v>2</v>
      </c>
      <c r="C10" s="40">
        <v>6</v>
      </c>
      <c r="D10" s="40">
        <v>8</v>
      </c>
    </row>
    <row r="11" spans="1:4" x14ac:dyDescent="0.35">
      <c r="A11" s="17" t="s">
        <v>9</v>
      </c>
      <c r="B11" s="40">
        <v>8</v>
      </c>
      <c r="C11" s="40">
        <v>40</v>
      </c>
      <c r="D11" s="40">
        <v>48</v>
      </c>
    </row>
    <row r="12" spans="1:4" x14ac:dyDescent="0.35">
      <c r="A12" s="17" t="s">
        <v>537</v>
      </c>
      <c r="B12" s="40">
        <v>75</v>
      </c>
      <c r="C12" s="40">
        <v>141</v>
      </c>
      <c r="D12" s="40">
        <v>216</v>
      </c>
    </row>
    <row r="23" spans="1:3" x14ac:dyDescent="0.35">
      <c r="A23" s="41" t="s">
        <v>536</v>
      </c>
      <c r="B23" s="41" t="s">
        <v>150</v>
      </c>
    </row>
    <row r="24" spans="1:3" x14ac:dyDescent="0.35">
      <c r="A24" s="41" t="s">
        <v>130</v>
      </c>
      <c r="B24" s="17">
        <v>0</v>
      </c>
      <c r="C24" s="17">
        <v>1</v>
      </c>
    </row>
    <row r="25" spans="1:3" x14ac:dyDescent="0.35">
      <c r="A25" s="17" t="s">
        <v>13</v>
      </c>
      <c r="B25" s="40">
        <v>43</v>
      </c>
      <c r="C25" s="40">
        <v>31</v>
      </c>
    </row>
    <row r="26" spans="1:3" x14ac:dyDescent="0.35">
      <c r="A26" s="17" t="s">
        <v>2</v>
      </c>
      <c r="B26" s="40">
        <v>6</v>
      </c>
      <c r="C26" s="40">
        <v>21</v>
      </c>
    </row>
    <row r="27" spans="1:3" x14ac:dyDescent="0.35">
      <c r="A27" s="17" t="s">
        <v>10</v>
      </c>
      <c r="B27" s="40">
        <v>9</v>
      </c>
      <c r="C27" s="40">
        <v>46</v>
      </c>
    </row>
    <row r="28" spans="1:3" x14ac:dyDescent="0.35">
      <c r="A28" s="17" t="s">
        <v>5</v>
      </c>
      <c r="B28" s="40">
        <v>14</v>
      </c>
      <c r="C28" s="40">
        <v>42</v>
      </c>
    </row>
    <row r="32" spans="1:3" x14ac:dyDescent="0.35">
      <c r="A32" s="41" t="s">
        <v>150</v>
      </c>
      <c r="B32" t="s">
        <v>536</v>
      </c>
    </row>
    <row r="33" spans="1:6" x14ac:dyDescent="0.35">
      <c r="A33" s="17">
        <v>0</v>
      </c>
      <c r="B33" s="34">
        <v>75</v>
      </c>
    </row>
    <row r="34" spans="1:6" x14ac:dyDescent="0.35">
      <c r="A34" s="17">
        <v>1</v>
      </c>
      <c r="B34" s="34">
        <v>141</v>
      </c>
    </row>
    <row r="35" spans="1:6" x14ac:dyDescent="0.35">
      <c r="A35" s="17" t="s">
        <v>537</v>
      </c>
      <c r="B35" s="40">
        <v>216</v>
      </c>
    </row>
    <row r="40" spans="1:6" x14ac:dyDescent="0.35">
      <c r="A40" s="41" t="s">
        <v>150</v>
      </c>
      <c r="B40" t="s">
        <v>543</v>
      </c>
    </row>
    <row r="41" spans="1:6" x14ac:dyDescent="0.35">
      <c r="A41" s="17">
        <v>0</v>
      </c>
      <c r="B41" s="34">
        <v>2805794068669</v>
      </c>
    </row>
    <row r="42" spans="1:6" x14ac:dyDescent="0.35">
      <c r="A42" s="17">
        <v>1</v>
      </c>
      <c r="B42" s="34">
        <v>1532898606166</v>
      </c>
    </row>
    <row r="43" spans="1:6" x14ac:dyDescent="0.35">
      <c r="A43" s="17" t="s">
        <v>537</v>
      </c>
      <c r="B43" s="40">
        <v>4338692674835</v>
      </c>
    </row>
    <row r="46" spans="1:6" x14ac:dyDescent="0.35">
      <c r="C46" s="41"/>
      <c r="D46" s="41"/>
      <c r="E46" s="41"/>
      <c r="F46" s="41"/>
    </row>
    <row r="47" spans="1:6" x14ac:dyDescent="0.35">
      <c r="C47" s="41"/>
      <c r="D47" s="41"/>
      <c r="E47" s="41"/>
      <c r="F47" s="41"/>
    </row>
    <row r="57" spans="1:4" x14ac:dyDescent="0.35">
      <c r="A57" s="41" t="s">
        <v>150</v>
      </c>
      <c r="B57" t="s">
        <v>541</v>
      </c>
      <c r="D57" s="41"/>
    </row>
    <row r="58" spans="1:4" x14ac:dyDescent="0.35">
      <c r="A58" s="17">
        <v>0</v>
      </c>
      <c r="B58" s="34">
        <v>884400000000</v>
      </c>
    </row>
    <row r="59" spans="1:4" x14ac:dyDescent="0.35">
      <c r="A59" s="17">
        <v>1</v>
      </c>
      <c r="B59" s="34">
        <v>1258430000000</v>
      </c>
    </row>
    <row r="60" spans="1:4" x14ac:dyDescent="0.35">
      <c r="A60" s="17" t="s">
        <v>537</v>
      </c>
      <c r="B60" s="40">
        <v>2142830000000</v>
      </c>
    </row>
    <row r="73" spans="1:4" x14ac:dyDescent="0.35">
      <c r="A73" s="41" t="s">
        <v>150</v>
      </c>
      <c r="B73" t="s">
        <v>547</v>
      </c>
      <c r="C73" s="41"/>
      <c r="D73" s="41"/>
    </row>
    <row r="74" spans="1:4" x14ac:dyDescent="0.35">
      <c r="A74" s="17">
        <v>0</v>
      </c>
      <c r="B74" s="34">
        <v>211382756759.54254</v>
      </c>
    </row>
    <row r="75" spans="1:4" x14ac:dyDescent="0.35">
      <c r="A75" s="17">
        <v>1</v>
      </c>
      <c r="B75" s="34">
        <v>1516499670321.9392</v>
      </c>
    </row>
    <row r="76" spans="1:4" x14ac:dyDescent="0.35">
      <c r="A76" s="17" t="s">
        <v>537</v>
      </c>
      <c r="B76" s="40">
        <v>1727882427081.4817</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ADF6-566E-42B8-A6ED-5965C653F022}">
  <dimension ref="A2:S71"/>
  <sheetViews>
    <sheetView zoomScale="40" zoomScaleNormal="40" workbookViewId="0">
      <selection activeCell="R39" sqref="R39"/>
    </sheetView>
  </sheetViews>
  <sheetFormatPr baseColWidth="10" defaultRowHeight="14.5" x14ac:dyDescent="0.35"/>
  <cols>
    <col min="1" max="1" width="26.90625" bestFit="1" customWidth="1"/>
    <col min="2" max="2" width="34" bestFit="1" customWidth="1"/>
    <col min="3" max="3" width="33.54296875" bestFit="1" customWidth="1"/>
    <col min="4" max="4" width="21.453125" bestFit="1" customWidth="1"/>
    <col min="5" max="5" width="11.81640625" bestFit="1" customWidth="1"/>
    <col min="6" max="6" width="18.81640625" bestFit="1" customWidth="1"/>
    <col min="7" max="8" width="9.81640625" bestFit="1" customWidth="1"/>
    <col min="9" max="9" width="10.81640625" bestFit="1" customWidth="1"/>
    <col min="10" max="12" width="9.81640625" bestFit="1" customWidth="1"/>
    <col min="13" max="13" width="24.1796875" customWidth="1"/>
    <col min="14" max="14" width="25.36328125" bestFit="1" customWidth="1"/>
    <col min="15" max="15" width="21.453125" bestFit="1" customWidth="1"/>
    <col min="16" max="16" width="16.453125" bestFit="1" customWidth="1"/>
    <col min="17" max="17" width="4.6328125" bestFit="1" customWidth="1"/>
    <col min="18" max="18" width="10.81640625" bestFit="1" customWidth="1"/>
    <col min="19" max="19" width="9.81640625" bestFit="1" customWidth="1"/>
    <col min="20" max="20" width="10.81640625" bestFit="1" customWidth="1"/>
    <col min="21" max="22" width="9.81640625" bestFit="1" customWidth="1"/>
    <col min="23" max="23" width="10.81640625" bestFit="1" customWidth="1"/>
    <col min="24" max="24" width="9.81640625" bestFit="1" customWidth="1"/>
    <col min="25" max="25" width="10.81640625" bestFit="1" customWidth="1"/>
    <col min="26" max="26" width="9.81640625" bestFit="1" customWidth="1"/>
    <col min="27" max="55" width="10.81640625" bestFit="1" customWidth="1"/>
    <col min="56" max="56" width="11.81640625" bestFit="1" customWidth="1"/>
    <col min="57" max="66" width="10.81640625" bestFit="1" customWidth="1"/>
    <col min="67" max="67" width="11.81640625" bestFit="1" customWidth="1"/>
    <col min="68" max="70" width="10.81640625" bestFit="1" customWidth="1"/>
    <col min="71" max="71" width="11.81640625" bestFit="1" customWidth="1"/>
    <col min="72" max="73" width="10.81640625" bestFit="1" customWidth="1"/>
    <col min="74" max="74" width="11.81640625" bestFit="1" customWidth="1"/>
    <col min="75" max="75" width="10.81640625" bestFit="1" customWidth="1"/>
    <col min="76" max="77" width="11.81640625" bestFit="1" customWidth="1"/>
    <col min="78" max="78" width="10.81640625" bestFit="1" customWidth="1"/>
    <col min="79" max="113" width="11.81640625" bestFit="1" customWidth="1"/>
  </cols>
  <sheetData>
    <row r="2" spans="1:16" x14ac:dyDescent="0.35">
      <c r="M2" s="41" t="s">
        <v>128</v>
      </c>
      <c r="N2" s="17" t="s">
        <v>538</v>
      </c>
    </row>
    <row r="4" spans="1:16" x14ac:dyDescent="0.35">
      <c r="A4" s="41" t="s">
        <v>541</v>
      </c>
      <c r="B4" s="41" t="s">
        <v>150</v>
      </c>
      <c r="M4" s="41" t="s">
        <v>541</v>
      </c>
      <c r="O4" s="41" t="s">
        <v>150</v>
      </c>
    </row>
    <row r="5" spans="1:16" x14ac:dyDescent="0.35">
      <c r="A5" s="41" t="s">
        <v>130</v>
      </c>
      <c r="B5" s="17">
        <v>0</v>
      </c>
      <c r="C5" s="17">
        <v>1</v>
      </c>
      <c r="D5" s="17" t="s">
        <v>537</v>
      </c>
      <c r="M5" s="41" t="s">
        <v>129</v>
      </c>
      <c r="N5" s="41" t="s">
        <v>130</v>
      </c>
      <c r="O5" s="17">
        <v>0</v>
      </c>
      <c r="P5" s="17">
        <v>1</v>
      </c>
    </row>
    <row r="6" spans="1:16" x14ac:dyDescent="0.35">
      <c r="A6" s="17" t="s">
        <v>13</v>
      </c>
      <c r="B6" s="34">
        <v>721100000000</v>
      </c>
      <c r="C6" s="34">
        <v>249620000000</v>
      </c>
      <c r="D6" s="34">
        <v>970720000000</v>
      </c>
      <c r="M6" s="17" t="s">
        <v>23</v>
      </c>
      <c r="N6" s="17" t="s">
        <v>13</v>
      </c>
      <c r="O6" s="34">
        <v>134610000000</v>
      </c>
      <c r="P6" s="34">
        <v>58900000000</v>
      </c>
    </row>
    <row r="7" spans="1:16" x14ac:dyDescent="0.35">
      <c r="A7" s="17" t="s">
        <v>2</v>
      </c>
      <c r="B7" s="34">
        <v>5820000000</v>
      </c>
      <c r="C7" s="34">
        <v>127560000000</v>
      </c>
      <c r="D7" s="34">
        <v>133380000000</v>
      </c>
      <c r="M7" s="17" t="s">
        <v>23</v>
      </c>
      <c r="N7" s="17" t="s">
        <v>2</v>
      </c>
      <c r="O7" s="34"/>
      <c r="P7" s="34">
        <v>9360000000</v>
      </c>
    </row>
    <row r="8" spans="1:16" x14ac:dyDescent="0.35">
      <c r="A8" s="17" t="s">
        <v>10</v>
      </c>
      <c r="B8" s="34">
        <v>41450000000</v>
      </c>
      <c r="C8" s="34">
        <v>564950000000</v>
      </c>
      <c r="D8" s="34">
        <v>606400000000</v>
      </c>
      <c r="M8" s="17" t="s">
        <v>23</v>
      </c>
      <c r="N8" s="17" t="s">
        <v>10</v>
      </c>
      <c r="O8" s="34"/>
      <c r="P8" s="34">
        <v>174160000000</v>
      </c>
    </row>
    <row r="9" spans="1:16" x14ac:dyDescent="0.35">
      <c r="A9" s="17" t="s">
        <v>5</v>
      </c>
      <c r="B9" s="34">
        <v>114810000000</v>
      </c>
      <c r="C9" s="34">
        <v>296530000000</v>
      </c>
      <c r="D9" s="34">
        <v>411340000000</v>
      </c>
      <c r="M9" s="17" t="s">
        <v>23</v>
      </c>
      <c r="N9" s="17" t="s">
        <v>5</v>
      </c>
      <c r="O9" s="34">
        <v>0</v>
      </c>
      <c r="P9" s="34">
        <v>54360000000</v>
      </c>
    </row>
    <row r="10" spans="1:16" x14ac:dyDescent="0.35">
      <c r="A10" s="17" t="s">
        <v>537</v>
      </c>
      <c r="B10" s="34">
        <v>883180000000</v>
      </c>
      <c r="C10" s="34">
        <v>1238660000000</v>
      </c>
      <c r="D10" s="34">
        <v>2121840000000</v>
      </c>
      <c r="M10" s="17" t="s">
        <v>4</v>
      </c>
      <c r="N10" s="17" t="s">
        <v>13</v>
      </c>
      <c r="O10" s="34">
        <v>324860000000</v>
      </c>
      <c r="P10" s="34">
        <v>65210000000</v>
      </c>
    </row>
    <row r="11" spans="1:16" x14ac:dyDescent="0.35">
      <c r="M11" s="17" t="s">
        <v>4</v>
      </c>
      <c r="N11" s="17" t="s">
        <v>10</v>
      </c>
      <c r="O11" s="34"/>
      <c r="P11" s="34">
        <v>23900000000</v>
      </c>
    </row>
    <row r="12" spans="1:16" x14ac:dyDescent="0.35">
      <c r="M12" s="17" t="s">
        <v>4</v>
      </c>
      <c r="N12" s="17" t="s">
        <v>5</v>
      </c>
      <c r="O12" s="34">
        <v>6800000000</v>
      </c>
      <c r="P12" s="34">
        <v>137980000000</v>
      </c>
    </row>
    <row r="13" spans="1:16" x14ac:dyDescent="0.35">
      <c r="M13" s="17" t="s">
        <v>12</v>
      </c>
      <c r="N13" s="17" t="s">
        <v>13</v>
      </c>
      <c r="O13" s="34">
        <v>350000000</v>
      </c>
      <c r="P13" s="34">
        <v>19160000000</v>
      </c>
    </row>
    <row r="14" spans="1:16" x14ac:dyDescent="0.35">
      <c r="M14" s="17" t="s">
        <v>12</v>
      </c>
      <c r="N14" s="17" t="s">
        <v>10</v>
      </c>
      <c r="O14" s="34">
        <v>880000000</v>
      </c>
      <c r="P14" s="34">
        <v>5060000000</v>
      </c>
    </row>
    <row r="15" spans="1:16" x14ac:dyDescent="0.35">
      <c r="M15" s="17" t="s">
        <v>12</v>
      </c>
      <c r="N15" s="17" t="s">
        <v>5</v>
      </c>
      <c r="O15" s="34">
        <v>100200000000</v>
      </c>
      <c r="P15" s="34">
        <v>50640000000</v>
      </c>
    </row>
    <row r="16" spans="1:16" x14ac:dyDescent="0.35">
      <c r="M16" s="17" t="s">
        <v>7</v>
      </c>
      <c r="N16" s="17" t="s">
        <v>13</v>
      </c>
      <c r="O16" s="34">
        <v>12780000000</v>
      </c>
      <c r="P16" s="34">
        <v>106350000000</v>
      </c>
    </row>
    <row r="17" spans="1:16" x14ac:dyDescent="0.35">
      <c r="M17" s="17" t="s">
        <v>7</v>
      </c>
      <c r="N17" s="17" t="s">
        <v>2</v>
      </c>
      <c r="O17" s="34">
        <v>4060000000</v>
      </c>
      <c r="P17" s="34">
        <v>1710000000</v>
      </c>
    </row>
    <row r="18" spans="1:16" x14ac:dyDescent="0.35">
      <c r="M18" s="17" t="s">
        <v>7</v>
      </c>
      <c r="N18" s="17" t="s">
        <v>10</v>
      </c>
      <c r="O18" s="34">
        <v>0</v>
      </c>
      <c r="P18" s="34">
        <v>80880000000</v>
      </c>
    </row>
    <row r="19" spans="1:16" x14ac:dyDescent="0.35">
      <c r="M19" s="17" t="s">
        <v>7</v>
      </c>
      <c r="N19" s="17" t="s">
        <v>5</v>
      </c>
      <c r="O19" s="34">
        <v>6340000000</v>
      </c>
      <c r="P19" s="34">
        <v>27730000000</v>
      </c>
    </row>
    <row r="20" spans="1:16" x14ac:dyDescent="0.35">
      <c r="M20" s="17" t="s">
        <v>215</v>
      </c>
      <c r="N20" s="17" t="s">
        <v>13</v>
      </c>
      <c r="O20" s="34">
        <v>248500000000</v>
      </c>
      <c r="P20" s="34"/>
    </row>
    <row r="21" spans="1:16" x14ac:dyDescent="0.35">
      <c r="A21" s="41" t="s">
        <v>150</v>
      </c>
      <c r="B21" s="18">
        <v>1</v>
      </c>
      <c r="M21" s="17" t="s">
        <v>1</v>
      </c>
      <c r="N21" s="17" t="s">
        <v>2</v>
      </c>
      <c r="O21" s="34"/>
      <c r="P21" s="34">
        <v>3480000000</v>
      </c>
    </row>
    <row r="22" spans="1:16" x14ac:dyDescent="0.35">
      <c r="M22" s="17" t="s">
        <v>1</v>
      </c>
      <c r="N22" s="17" t="s">
        <v>10</v>
      </c>
      <c r="O22" s="34">
        <v>39620000000</v>
      </c>
      <c r="P22" s="34">
        <v>111570000000</v>
      </c>
    </row>
    <row r="23" spans="1:16" x14ac:dyDescent="0.35">
      <c r="A23" s="41" t="s">
        <v>130</v>
      </c>
      <c r="B23" s="17" t="s">
        <v>540</v>
      </c>
      <c r="C23" s="17" t="s">
        <v>539</v>
      </c>
      <c r="M23" s="17" t="s">
        <v>1</v>
      </c>
      <c r="N23" s="17" t="s">
        <v>5</v>
      </c>
      <c r="O23" s="34"/>
      <c r="P23" s="34">
        <v>1230000000</v>
      </c>
    </row>
    <row r="24" spans="1:16" x14ac:dyDescent="0.35">
      <c r="A24" s="17" t="s">
        <v>13</v>
      </c>
      <c r="B24" s="34">
        <v>67710000000</v>
      </c>
      <c r="C24" s="34">
        <v>181910000000</v>
      </c>
      <c r="E24" s="41"/>
      <c r="F24" s="41"/>
      <c r="G24" s="41"/>
      <c r="H24" s="41"/>
      <c r="I24" s="41"/>
      <c r="J24" s="41"/>
      <c r="K24" s="41"/>
      <c r="L24" s="41"/>
      <c r="M24" s="41" t="s">
        <v>9</v>
      </c>
      <c r="N24" s="41" t="s">
        <v>2</v>
      </c>
      <c r="O24" s="43">
        <v>1760000000</v>
      </c>
      <c r="P24" s="43">
        <v>113010000000</v>
      </c>
    </row>
    <row r="25" spans="1:16" x14ac:dyDescent="0.35">
      <c r="A25" s="17" t="s">
        <v>2</v>
      </c>
      <c r="B25" s="34">
        <v>78150000000</v>
      </c>
      <c r="C25" s="34">
        <v>49410000000</v>
      </c>
      <c r="M25" s="17" t="s">
        <v>9</v>
      </c>
      <c r="N25" s="17" t="s">
        <v>10</v>
      </c>
      <c r="O25" s="34">
        <v>950000000</v>
      </c>
      <c r="P25" s="34">
        <v>169380000000</v>
      </c>
    </row>
    <row r="26" spans="1:16" x14ac:dyDescent="0.35">
      <c r="A26" s="17" t="s">
        <v>10</v>
      </c>
      <c r="B26" s="34">
        <v>197250000000</v>
      </c>
      <c r="C26" s="34">
        <v>367700000000</v>
      </c>
      <c r="M26" s="17" t="s">
        <v>9</v>
      </c>
      <c r="N26" s="17" t="s">
        <v>5</v>
      </c>
      <c r="O26" s="34">
        <v>1470000000</v>
      </c>
      <c r="P26" s="34">
        <v>24590000000</v>
      </c>
    </row>
    <row r="27" spans="1:16" x14ac:dyDescent="0.35">
      <c r="A27" s="17" t="s">
        <v>5</v>
      </c>
      <c r="B27" s="34">
        <v>124510000000</v>
      </c>
      <c r="C27" s="34">
        <v>172020000000</v>
      </c>
    </row>
    <row r="28" spans="1:16" x14ac:dyDescent="0.35">
      <c r="A28" s="17" t="s">
        <v>537</v>
      </c>
      <c r="B28" s="34">
        <v>467620000000</v>
      </c>
      <c r="C28" s="34">
        <v>771040000000</v>
      </c>
    </row>
    <row r="39" spans="1:17" x14ac:dyDescent="0.35">
      <c r="A39" s="41" t="s">
        <v>541</v>
      </c>
      <c r="B39" s="41" t="s">
        <v>150</v>
      </c>
      <c r="N39" s="17"/>
      <c r="O39" s="17"/>
      <c r="P39" s="17"/>
      <c r="Q39" s="17"/>
    </row>
    <row r="40" spans="1:17" x14ac:dyDescent="0.35">
      <c r="A40" s="41" t="s">
        <v>129</v>
      </c>
      <c r="B40" s="17">
        <v>0</v>
      </c>
      <c r="C40" s="17">
        <v>1</v>
      </c>
      <c r="D40" s="17" t="s">
        <v>537</v>
      </c>
    </row>
    <row r="41" spans="1:17" x14ac:dyDescent="0.35">
      <c r="A41" s="17" t="s">
        <v>23</v>
      </c>
      <c r="B41" s="34">
        <v>135830000000</v>
      </c>
      <c r="C41" s="34">
        <v>296780000000</v>
      </c>
      <c r="D41" s="34">
        <v>432610000000</v>
      </c>
    </row>
    <row r="42" spans="1:17" x14ac:dyDescent="0.35">
      <c r="A42" s="17" t="s">
        <v>4</v>
      </c>
      <c r="B42" s="34">
        <v>331660000000</v>
      </c>
      <c r="C42" s="34">
        <v>227090000000</v>
      </c>
      <c r="D42" s="34">
        <v>558750000000</v>
      </c>
    </row>
    <row r="43" spans="1:17" x14ac:dyDescent="0.35">
      <c r="A43" s="17" t="s">
        <v>12</v>
      </c>
      <c r="B43" s="34">
        <v>101430000000</v>
      </c>
      <c r="C43" s="34">
        <v>94630000000</v>
      </c>
      <c r="D43" s="34">
        <v>196060000000</v>
      </c>
    </row>
    <row r="44" spans="1:17" x14ac:dyDescent="0.35">
      <c r="A44" s="17" t="s">
        <v>7</v>
      </c>
      <c r="B44" s="34">
        <v>23180000000</v>
      </c>
      <c r="C44" s="34">
        <v>216670000000</v>
      </c>
      <c r="D44" s="34">
        <v>239850000000</v>
      </c>
    </row>
    <row r="45" spans="1:17" x14ac:dyDescent="0.35">
      <c r="A45" s="17" t="s">
        <v>215</v>
      </c>
      <c r="B45" s="34">
        <v>248500000000</v>
      </c>
      <c r="C45" s="34"/>
      <c r="D45" s="34">
        <v>248500000000</v>
      </c>
    </row>
    <row r="46" spans="1:17" x14ac:dyDescent="0.35">
      <c r="A46" s="17" t="s">
        <v>1</v>
      </c>
      <c r="B46" s="34">
        <v>39620000000</v>
      </c>
      <c r="C46" s="34">
        <v>116280000000</v>
      </c>
      <c r="D46" s="34">
        <v>155900000000</v>
      </c>
    </row>
    <row r="47" spans="1:17" x14ac:dyDescent="0.35">
      <c r="A47" s="17" t="s">
        <v>9</v>
      </c>
      <c r="B47" s="34">
        <v>4180000000</v>
      </c>
      <c r="C47" s="34">
        <v>306980000000</v>
      </c>
      <c r="D47" s="34">
        <v>311160000000</v>
      </c>
    </row>
    <row r="48" spans="1:17" x14ac:dyDescent="0.35">
      <c r="A48" s="17" t="s">
        <v>537</v>
      </c>
      <c r="B48" s="34">
        <v>884400000000</v>
      </c>
      <c r="C48" s="34">
        <v>1258430000000</v>
      </c>
      <c r="D48" s="34">
        <v>2142830000000</v>
      </c>
    </row>
    <row r="62" spans="1:19" x14ac:dyDescent="0.35">
      <c r="A62" s="41" t="s">
        <v>150</v>
      </c>
      <c r="B62" s="18">
        <v>1</v>
      </c>
      <c r="C62" s="17"/>
    </row>
    <row r="63" spans="1:19" x14ac:dyDescent="0.35">
      <c r="A63" s="17"/>
      <c r="B63" s="17"/>
      <c r="C63" s="17"/>
    </row>
    <row r="64" spans="1:19" x14ac:dyDescent="0.35">
      <c r="A64" s="41" t="s">
        <v>129</v>
      </c>
      <c r="B64" s="17" t="s">
        <v>540</v>
      </c>
      <c r="C64" s="17" t="s">
        <v>539</v>
      </c>
      <c r="E64" s="41"/>
      <c r="F64" s="41"/>
      <c r="G64" s="41"/>
      <c r="H64" s="41"/>
      <c r="I64" s="41"/>
      <c r="J64" s="41"/>
      <c r="K64" s="41"/>
      <c r="L64" s="41"/>
      <c r="M64" s="41"/>
      <c r="N64" s="41"/>
      <c r="S64" s="41"/>
    </row>
    <row r="65" spans="1:3" x14ac:dyDescent="0.35">
      <c r="A65" s="17" t="s">
        <v>23</v>
      </c>
      <c r="B65" s="34">
        <v>87770000000</v>
      </c>
      <c r="C65" s="34">
        <v>209010000000</v>
      </c>
    </row>
    <row r="66" spans="1:3" x14ac:dyDescent="0.35">
      <c r="A66" s="17" t="s">
        <v>4</v>
      </c>
      <c r="B66" s="34">
        <v>92760000000</v>
      </c>
      <c r="C66" s="34">
        <v>134330000000</v>
      </c>
    </row>
    <row r="67" spans="1:3" x14ac:dyDescent="0.35">
      <c r="A67" s="17" t="s">
        <v>12</v>
      </c>
      <c r="B67" s="34">
        <v>31650000000</v>
      </c>
      <c r="C67" s="34">
        <v>62980000000</v>
      </c>
    </row>
    <row r="68" spans="1:3" x14ac:dyDescent="0.35">
      <c r="A68" s="17" t="s">
        <v>7</v>
      </c>
      <c r="B68" s="34">
        <v>91400000000</v>
      </c>
      <c r="C68" s="34">
        <v>125270000000</v>
      </c>
    </row>
    <row r="69" spans="1:3" x14ac:dyDescent="0.35">
      <c r="A69" s="17" t="s">
        <v>1</v>
      </c>
      <c r="B69" s="34">
        <v>26250000000</v>
      </c>
      <c r="C69" s="34">
        <v>90030000000</v>
      </c>
    </row>
    <row r="70" spans="1:3" x14ac:dyDescent="0.35">
      <c r="A70" s="17" t="s">
        <v>9</v>
      </c>
      <c r="B70" s="34">
        <v>149420000000</v>
      </c>
      <c r="C70" s="34">
        <v>157560000000</v>
      </c>
    </row>
    <row r="71" spans="1:3" x14ac:dyDescent="0.35">
      <c r="A71" s="17" t="s">
        <v>537</v>
      </c>
      <c r="B71" s="34">
        <v>479250000000</v>
      </c>
      <c r="C71" s="34">
        <v>779180000000</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CAF8-5EBE-4020-9373-D786CB741AA2}">
  <dimension ref="B3:T95"/>
  <sheetViews>
    <sheetView topLeftCell="S1" zoomScale="40" zoomScaleNormal="40" workbookViewId="0">
      <selection activeCell="AK41" sqref="AK41"/>
    </sheetView>
  </sheetViews>
  <sheetFormatPr baseColWidth="10" defaultRowHeight="14.5" x14ac:dyDescent="0.35"/>
  <cols>
    <col min="2" max="2" width="25.1796875" bestFit="1" customWidth="1"/>
    <col min="3" max="3" width="26.90625" bestFit="1" customWidth="1"/>
    <col min="4" max="4" width="26.26953125" bestFit="1" customWidth="1"/>
    <col min="5" max="5" width="26" bestFit="1" customWidth="1"/>
    <col min="6" max="7" width="26.26953125" bestFit="1" customWidth="1"/>
    <col min="8" max="209" width="21" bestFit="1" customWidth="1"/>
  </cols>
  <sheetData>
    <row r="3" spans="2:20" x14ac:dyDescent="0.35">
      <c r="Q3" s="41" t="s">
        <v>128</v>
      </c>
      <c r="R3" s="17" t="s">
        <v>535</v>
      </c>
      <c r="S3" s="17"/>
      <c r="T3" s="17"/>
    </row>
    <row r="4" spans="2:20" x14ac:dyDescent="0.35">
      <c r="B4" s="41" t="s">
        <v>543</v>
      </c>
      <c r="C4" s="41" t="s">
        <v>150</v>
      </c>
      <c r="Q4" s="17"/>
      <c r="R4" s="17"/>
      <c r="S4" s="17"/>
      <c r="T4" s="17"/>
    </row>
    <row r="5" spans="2:20" x14ac:dyDescent="0.35">
      <c r="B5" s="41" t="s">
        <v>129</v>
      </c>
      <c r="C5" s="17">
        <v>0</v>
      </c>
      <c r="D5" s="17">
        <v>1</v>
      </c>
      <c r="E5" s="17" t="s">
        <v>537</v>
      </c>
      <c r="Q5" s="41" t="s">
        <v>542</v>
      </c>
      <c r="S5" s="41" t="s">
        <v>150</v>
      </c>
    </row>
    <row r="6" spans="2:20" x14ac:dyDescent="0.35">
      <c r="B6" s="17" t="s">
        <v>23</v>
      </c>
      <c r="C6" s="34">
        <v>1171273394000</v>
      </c>
      <c r="D6" s="34">
        <v>772174517791</v>
      </c>
      <c r="E6" s="34">
        <v>1943447911791</v>
      </c>
      <c r="Q6" s="41" t="s">
        <v>129</v>
      </c>
      <c r="R6" s="41" t="s">
        <v>130</v>
      </c>
      <c r="S6" s="17">
        <v>0</v>
      </c>
      <c r="T6" s="17">
        <v>1</v>
      </c>
    </row>
    <row r="7" spans="2:20" x14ac:dyDescent="0.35">
      <c r="B7" s="17" t="s">
        <v>4</v>
      </c>
      <c r="C7" s="34">
        <v>650299484000</v>
      </c>
      <c r="D7" s="34">
        <v>354818791000</v>
      </c>
      <c r="E7" s="34">
        <v>1005118275000</v>
      </c>
      <c r="Q7" s="17" t="s">
        <v>23</v>
      </c>
      <c r="R7" s="17" t="s">
        <v>13</v>
      </c>
      <c r="S7" s="34">
        <v>11</v>
      </c>
      <c r="T7" s="34">
        <v>3</v>
      </c>
    </row>
    <row r="8" spans="2:20" x14ac:dyDescent="0.35">
      <c r="B8" s="17" t="s">
        <v>12</v>
      </c>
      <c r="C8" s="34">
        <v>224876127199</v>
      </c>
      <c r="D8" s="34">
        <v>94608290351</v>
      </c>
      <c r="E8" s="34">
        <v>319484417550</v>
      </c>
      <c r="Q8" s="17" t="s">
        <v>23</v>
      </c>
      <c r="R8" s="17" t="s">
        <v>2</v>
      </c>
      <c r="S8" s="34"/>
      <c r="T8" s="34">
        <v>1</v>
      </c>
    </row>
    <row r="9" spans="2:20" x14ac:dyDescent="0.35">
      <c r="B9" s="17" t="s">
        <v>7</v>
      </c>
      <c r="C9" s="34">
        <v>19563605470</v>
      </c>
      <c r="D9" s="34">
        <v>175888251553</v>
      </c>
      <c r="E9" s="34">
        <v>195451857023</v>
      </c>
      <c r="Q9" s="17" t="s">
        <v>23</v>
      </c>
      <c r="R9" s="17" t="s">
        <v>10</v>
      </c>
      <c r="S9" s="34"/>
      <c r="T9" s="34">
        <v>14</v>
      </c>
    </row>
    <row r="10" spans="2:20" x14ac:dyDescent="0.35">
      <c r="B10" s="17" t="s">
        <v>215</v>
      </c>
      <c r="C10" s="34">
        <v>651461864000</v>
      </c>
      <c r="D10" s="34"/>
      <c r="E10" s="34">
        <v>651461864000</v>
      </c>
      <c r="Q10" s="17" t="s">
        <v>23</v>
      </c>
      <c r="R10" s="17" t="s">
        <v>5</v>
      </c>
      <c r="S10" s="34">
        <v>2</v>
      </c>
      <c r="T10" s="34">
        <v>7</v>
      </c>
    </row>
    <row r="11" spans="2:20" x14ac:dyDescent="0.35">
      <c r="B11" s="17" t="s">
        <v>1</v>
      </c>
      <c r="C11" s="34">
        <v>85691777000</v>
      </c>
      <c r="D11" s="34">
        <v>37131471094</v>
      </c>
      <c r="E11" s="34">
        <v>122823248094</v>
      </c>
      <c r="Q11" s="17" t="s">
        <v>4</v>
      </c>
      <c r="R11" s="17" t="s">
        <v>13</v>
      </c>
      <c r="S11" s="34">
        <v>17</v>
      </c>
      <c r="T11" s="34">
        <v>15</v>
      </c>
    </row>
    <row r="12" spans="2:20" x14ac:dyDescent="0.35">
      <c r="B12" s="17" t="s">
        <v>9</v>
      </c>
      <c r="C12" s="34">
        <v>2627817000</v>
      </c>
      <c r="D12" s="34">
        <v>98277284377</v>
      </c>
      <c r="E12" s="34">
        <v>100905101377</v>
      </c>
      <c r="Q12" s="17" t="s">
        <v>4</v>
      </c>
      <c r="R12" s="17" t="s">
        <v>10</v>
      </c>
      <c r="S12" s="34"/>
      <c r="T12" s="34">
        <v>4</v>
      </c>
    </row>
    <row r="13" spans="2:20" x14ac:dyDescent="0.35">
      <c r="B13" s="17" t="s">
        <v>537</v>
      </c>
      <c r="C13" s="34">
        <v>2805794068669</v>
      </c>
      <c r="D13" s="34">
        <v>1532898606166</v>
      </c>
      <c r="E13" s="34">
        <v>4338692674835</v>
      </c>
      <c r="Q13" s="17" t="s">
        <v>4</v>
      </c>
      <c r="R13" s="17" t="s">
        <v>5</v>
      </c>
      <c r="S13" s="34">
        <v>2</v>
      </c>
      <c r="T13" s="34">
        <v>15</v>
      </c>
    </row>
    <row r="14" spans="2:20" x14ac:dyDescent="0.35">
      <c r="Q14" s="17" t="s">
        <v>12</v>
      </c>
      <c r="R14" s="17" t="s">
        <v>13</v>
      </c>
      <c r="S14" s="34">
        <v>11</v>
      </c>
      <c r="T14" s="34">
        <v>5</v>
      </c>
    </row>
    <row r="15" spans="2:20" x14ac:dyDescent="0.35">
      <c r="Q15" s="17" t="s">
        <v>12</v>
      </c>
      <c r="R15" s="17" t="s">
        <v>10</v>
      </c>
      <c r="S15" s="34">
        <v>4</v>
      </c>
      <c r="T15" s="34">
        <v>2</v>
      </c>
    </row>
    <row r="16" spans="2:20" x14ac:dyDescent="0.35">
      <c r="Q16" s="17" t="s">
        <v>12</v>
      </c>
      <c r="R16" s="17" t="s">
        <v>5</v>
      </c>
      <c r="S16" s="34">
        <v>8</v>
      </c>
      <c r="T16" s="34">
        <v>11</v>
      </c>
    </row>
    <row r="17" spans="2:20" x14ac:dyDescent="0.35">
      <c r="Q17" s="17" t="s">
        <v>7</v>
      </c>
      <c r="R17" s="17" t="s">
        <v>13</v>
      </c>
      <c r="S17" s="34">
        <v>1</v>
      </c>
      <c r="T17" s="34">
        <v>7</v>
      </c>
    </row>
    <row r="18" spans="2:20" x14ac:dyDescent="0.35">
      <c r="Q18" s="17" t="s">
        <v>7</v>
      </c>
      <c r="R18" s="17" t="s">
        <v>2</v>
      </c>
      <c r="S18" s="34">
        <v>1</v>
      </c>
      <c r="T18" s="34">
        <v>1</v>
      </c>
    </row>
    <row r="19" spans="2:20" x14ac:dyDescent="0.35">
      <c r="Q19" s="17" t="s">
        <v>7</v>
      </c>
      <c r="R19" s="17" t="s">
        <v>10</v>
      </c>
      <c r="S19" s="34">
        <v>1</v>
      </c>
      <c r="T19" s="34">
        <v>6</v>
      </c>
    </row>
    <row r="20" spans="2:20" x14ac:dyDescent="0.35">
      <c r="Q20" s="17" t="s">
        <v>7</v>
      </c>
      <c r="R20" s="17" t="s">
        <v>5</v>
      </c>
      <c r="S20" s="34">
        <v>1</v>
      </c>
      <c r="T20" s="34">
        <v>3</v>
      </c>
    </row>
    <row r="21" spans="2:20" x14ac:dyDescent="0.35">
      <c r="Q21" s="17" t="s">
        <v>215</v>
      </c>
      <c r="R21" s="17" t="s">
        <v>13</v>
      </c>
      <c r="S21" s="34">
        <v>3</v>
      </c>
      <c r="T21" s="34"/>
    </row>
    <row r="22" spans="2:20" x14ac:dyDescent="0.35">
      <c r="Q22" s="17" t="s">
        <v>1</v>
      </c>
      <c r="R22" s="17" t="s">
        <v>2</v>
      </c>
      <c r="S22" s="34"/>
      <c r="T22" s="34">
        <v>1</v>
      </c>
    </row>
    <row r="23" spans="2:20" x14ac:dyDescent="0.35">
      <c r="Q23" s="17" t="s">
        <v>1</v>
      </c>
      <c r="R23" s="17" t="s">
        <v>10</v>
      </c>
      <c r="S23" s="34">
        <v>2</v>
      </c>
      <c r="T23" s="34">
        <v>4</v>
      </c>
    </row>
    <row r="24" spans="2:20" x14ac:dyDescent="0.35">
      <c r="Q24" s="17" t="s">
        <v>1</v>
      </c>
      <c r="R24" s="17" t="s">
        <v>5</v>
      </c>
      <c r="S24" s="34"/>
      <c r="T24" s="34">
        <v>1</v>
      </c>
    </row>
    <row r="25" spans="2:20" x14ac:dyDescent="0.35">
      <c r="Q25" s="17" t="s">
        <v>9</v>
      </c>
      <c r="R25" s="17" t="s">
        <v>13</v>
      </c>
      <c r="S25" s="34"/>
      <c r="T25" s="34">
        <v>1</v>
      </c>
    </row>
    <row r="26" spans="2:20" x14ac:dyDescent="0.35">
      <c r="Q26" s="17" t="s">
        <v>9</v>
      </c>
      <c r="R26" s="17" t="s">
        <v>2</v>
      </c>
      <c r="S26" s="34">
        <v>5</v>
      </c>
      <c r="T26" s="34">
        <v>18</v>
      </c>
    </row>
    <row r="27" spans="2:20" x14ac:dyDescent="0.35">
      <c r="Q27" s="41" t="s">
        <v>9</v>
      </c>
      <c r="R27" s="41" t="s">
        <v>10</v>
      </c>
      <c r="S27" s="43">
        <v>2</v>
      </c>
      <c r="T27" s="43">
        <v>16</v>
      </c>
    </row>
    <row r="28" spans="2:20" x14ac:dyDescent="0.35">
      <c r="Q28" s="17" t="s">
        <v>9</v>
      </c>
      <c r="R28" s="17" t="s">
        <v>5</v>
      </c>
      <c r="S28" s="34">
        <v>1</v>
      </c>
      <c r="T28" s="34">
        <v>5</v>
      </c>
    </row>
    <row r="30" spans="2:20" x14ac:dyDescent="0.35">
      <c r="B30" s="41" t="s">
        <v>543</v>
      </c>
      <c r="C30" s="41" t="s">
        <v>150</v>
      </c>
    </row>
    <row r="31" spans="2:20" x14ac:dyDescent="0.35">
      <c r="B31" s="41" t="s">
        <v>130</v>
      </c>
      <c r="C31" s="17">
        <v>0</v>
      </c>
      <c r="D31" s="17">
        <v>1</v>
      </c>
      <c r="E31" s="17" t="s">
        <v>537</v>
      </c>
    </row>
    <row r="32" spans="2:20" x14ac:dyDescent="0.35">
      <c r="B32" s="17" t="s">
        <v>13</v>
      </c>
      <c r="C32" s="34">
        <v>2327238418000</v>
      </c>
      <c r="D32" s="34">
        <v>405723289244</v>
      </c>
      <c r="E32" s="34">
        <v>2732961707244</v>
      </c>
    </row>
    <row r="33" spans="2:5" x14ac:dyDescent="0.35">
      <c r="B33" s="17" t="s">
        <v>2</v>
      </c>
      <c r="C33" s="34">
        <v>2837662000</v>
      </c>
      <c r="D33" s="34">
        <v>276742078450</v>
      </c>
      <c r="E33" s="34">
        <v>279579740450</v>
      </c>
    </row>
    <row r="34" spans="2:5" x14ac:dyDescent="0.35">
      <c r="B34" s="17" t="s">
        <v>10</v>
      </c>
      <c r="C34" s="34">
        <v>87439568730</v>
      </c>
      <c r="D34" s="34">
        <v>398773040720</v>
      </c>
      <c r="E34" s="34">
        <v>486212609450</v>
      </c>
    </row>
    <row r="35" spans="2:5" x14ac:dyDescent="0.35">
      <c r="B35" s="17" t="s">
        <v>5</v>
      </c>
      <c r="C35" s="34">
        <v>238959120939</v>
      </c>
      <c r="D35" s="34">
        <v>445331966752</v>
      </c>
      <c r="E35" s="34">
        <v>684291087691</v>
      </c>
    </row>
    <row r="36" spans="2:5" x14ac:dyDescent="0.35">
      <c r="B36" s="17" t="s">
        <v>537</v>
      </c>
      <c r="C36" s="34">
        <v>2656474769669</v>
      </c>
      <c r="D36" s="34">
        <v>1526570375166</v>
      </c>
      <c r="E36" s="34">
        <v>4183045144835</v>
      </c>
    </row>
    <row r="56" spans="2:6" x14ac:dyDescent="0.35">
      <c r="B56" s="41" t="s">
        <v>150</v>
      </c>
      <c r="C56" s="41" t="s">
        <v>129</v>
      </c>
      <c r="D56" s="17" t="s">
        <v>544</v>
      </c>
      <c r="E56" s="17" t="s">
        <v>545</v>
      </c>
      <c r="F56" s="17" t="s">
        <v>546</v>
      </c>
    </row>
    <row r="57" spans="2:6" x14ac:dyDescent="0.35">
      <c r="B57" s="17">
        <v>0</v>
      </c>
      <c r="C57" s="17" t="s">
        <v>23</v>
      </c>
      <c r="D57" s="34">
        <v>555528595000</v>
      </c>
      <c r="E57" s="34">
        <v>615744799000</v>
      </c>
      <c r="F57" s="34">
        <v>60216204000</v>
      </c>
    </row>
    <row r="58" spans="2:6" x14ac:dyDescent="0.35">
      <c r="B58" s="17">
        <v>0</v>
      </c>
      <c r="C58" s="17" t="s">
        <v>4</v>
      </c>
      <c r="D58" s="34">
        <v>400108577000</v>
      </c>
      <c r="E58" s="34">
        <v>250190907000</v>
      </c>
      <c r="F58" s="34">
        <v>-149917670000</v>
      </c>
    </row>
    <row r="59" spans="2:6" x14ac:dyDescent="0.35">
      <c r="B59" s="17">
        <v>0</v>
      </c>
      <c r="C59" s="17" t="s">
        <v>12</v>
      </c>
      <c r="D59" s="34">
        <v>143949449606</v>
      </c>
      <c r="E59" s="34">
        <v>80926677593</v>
      </c>
      <c r="F59" s="34">
        <v>-63022772013</v>
      </c>
    </row>
    <row r="60" spans="2:6" x14ac:dyDescent="0.35">
      <c r="B60" s="17">
        <v>0</v>
      </c>
      <c r="C60" s="17" t="s">
        <v>7</v>
      </c>
      <c r="D60" s="34">
        <v>14633540273</v>
      </c>
      <c r="E60" s="34">
        <v>4930065197</v>
      </c>
      <c r="F60" s="34">
        <v>-9703475076</v>
      </c>
    </row>
    <row r="61" spans="2:6" x14ac:dyDescent="0.35">
      <c r="B61" s="17">
        <v>0</v>
      </c>
      <c r="C61" s="17" t="s">
        <v>215</v>
      </c>
      <c r="D61" s="34">
        <v>527492314000</v>
      </c>
      <c r="E61" s="34">
        <v>123969550000</v>
      </c>
      <c r="F61" s="34">
        <v>-403522764000</v>
      </c>
    </row>
    <row r="62" spans="2:6" x14ac:dyDescent="0.35">
      <c r="B62" s="17">
        <v>0</v>
      </c>
      <c r="C62" s="17" t="s">
        <v>1</v>
      </c>
      <c r="D62" s="34">
        <v>68412898000</v>
      </c>
      <c r="E62" s="34">
        <v>17278879000</v>
      </c>
      <c r="F62" s="34">
        <v>-51134019000</v>
      </c>
    </row>
    <row r="63" spans="2:6" x14ac:dyDescent="0.35">
      <c r="B63" s="17">
        <v>0</v>
      </c>
      <c r="C63" s="17" t="s">
        <v>9</v>
      </c>
      <c r="D63" s="34">
        <v>2320775000</v>
      </c>
      <c r="E63" s="34">
        <v>307042000</v>
      </c>
      <c r="F63" s="34">
        <v>-2013733000</v>
      </c>
    </row>
    <row r="64" spans="2:6" x14ac:dyDescent="0.35">
      <c r="B64" s="17">
        <v>1</v>
      </c>
      <c r="C64" s="17" t="s">
        <v>23</v>
      </c>
      <c r="D64" s="34">
        <v>420763836843</v>
      </c>
      <c r="E64" s="34">
        <v>351410680948</v>
      </c>
      <c r="F64" s="34">
        <v>-69353155895</v>
      </c>
    </row>
    <row r="65" spans="2:6" x14ac:dyDescent="0.35">
      <c r="B65" s="17">
        <v>1</v>
      </c>
      <c r="C65" s="17" t="s">
        <v>4</v>
      </c>
      <c r="D65" s="34">
        <v>246577933000</v>
      </c>
      <c r="E65" s="34">
        <v>108240858000</v>
      </c>
      <c r="F65" s="34">
        <v>-138337075000</v>
      </c>
    </row>
    <row r="66" spans="2:6" x14ac:dyDescent="0.35">
      <c r="B66" s="17">
        <v>1</v>
      </c>
      <c r="C66" s="17" t="s">
        <v>12</v>
      </c>
      <c r="D66" s="34">
        <v>47291929158</v>
      </c>
      <c r="E66" s="34">
        <v>47316361193</v>
      </c>
      <c r="F66" s="34">
        <v>24432035</v>
      </c>
    </row>
    <row r="67" spans="2:6" x14ac:dyDescent="0.35">
      <c r="B67" s="17">
        <v>1</v>
      </c>
      <c r="C67" s="17" t="s">
        <v>7</v>
      </c>
      <c r="D67" s="34">
        <v>92254080784</v>
      </c>
      <c r="E67" s="34">
        <v>83634170769</v>
      </c>
      <c r="F67" s="34">
        <v>-8619910015</v>
      </c>
    </row>
    <row r="68" spans="2:6" x14ac:dyDescent="0.35">
      <c r="B68" s="17">
        <v>1</v>
      </c>
      <c r="C68" s="17" t="s">
        <v>1</v>
      </c>
      <c r="D68" s="34">
        <v>33795505972</v>
      </c>
      <c r="E68" s="34">
        <v>3335965122</v>
      </c>
      <c r="F68" s="34">
        <v>-30459540850</v>
      </c>
    </row>
    <row r="69" spans="2:6" x14ac:dyDescent="0.35">
      <c r="B69" s="17">
        <v>1</v>
      </c>
      <c r="C69" s="17" t="s">
        <v>9</v>
      </c>
      <c r="D69" s="34">
        <v>61708971174</v>
      </c>
      <c r="E69" s="34">
        <v>36568313203</v>
      </c>
      <c r="F69" s="34">
        <v>-25140657971</v>
      </c>
    </row>
    <row r="70" spans="2:6" x14ac:dyDescent="0.35">
      <c r="B70" s="17" t="s">
        <v>537</v>
      </c>
      <c r="D70" s="34">
        <v>2614838405810</v>
      </c>
      <c r="E70" s="34">
        <v>1723854269025</v>
      </c>
      <c r="F70" s="34">
        <v>-890984136785</v>
      </c>
    </row>
    <row r="86" spans="2:6" x14ac:dyDescent="0.35">
      <c r="B86" s="41" t="s">
        <v>150</v>
      </c>
      <c r="C86" s="41" t="s">
        <v>130</v>
      </c>
      <c r="D86" s="17" t="s">
        <v>544</v>
      </c>
      <c r="E86" s="17" t="s">
        <v>545</v>
      </c>
      <c r="F86" s="17" t="s">
        <v>546</v>
      </c>
    </row>
    <row r="87" spans="2:6" x14ac:dyDescent="0.35">
      <c r="B87" s="17">
        <v>0</v>
      </c>
      <c r="C87" s="17" t="s">
        <v>13</v>
      </c>
      <c r="D87" s="34">
        <v>1433227637000</v>
      </c>
      <c r="E87" s="34">
        <v>894010781000</v>
      </c>
      <c r="F87" s="34">
        <v>-539216856000</v>
      </c>
    </row>
    <row r="88" spans="2:6" x14ac:dyDescent="0.35">
      <c r="B88" s="17">
        <v>0</v>
      </c>
      <c r="C88" s="17" t="s">
        <v>2</v>
      </c>
      <c r="D88" s="34">
        <v>2561477000</v>
      </c>
      <c r="E88" s="34">
        <v>276185000</v>
      </c>
      <c r="F88" s="34">
        <v>-2285292000</v>
      </c>
    </row>
    <row r="89" spans="2:6" x14ac:dyDescent="0.35">
      <c r="B89" s="17">
        <v>0</v>
      </c>
      <c r="C89" s="17" t="s">
        <v>10</v>
      </c>
      <c r="D89" s="34">
        <v>70126721084</v>
      </c>
      <c r="E89" s="34">
        <v>17312847646</v>
      </c>
      <c r="F89" s="34">
        <v>-52813873438</v>
      </c>
    </row>
    <row r="90" spans="2:6" x14ac:dyDescent="0.35">
      <c r="B90" s="17">
        <v>0</v>
      </c>
      <c r="C90" s="17" t="s">
        <v>5</v>
      </c>
      <c r="D90" s="34">
        <v>149097707795</v>
      </c>
      <c r="E90" s="34">
        <v>89861413144</v>
      </c>
      <c r="F90" s="34">
        <v>-59236294651</v>
      </c>
    </row>
    <row r="91" spans="2:6" x14ac:dyDescent="0.35">
      <c r="B91" s="17">
        <v>1</v>
      </c>
      <c r="C91" s="17" t="s">
        <v>13</v>
      </c>
      <c r="D91" s="34">
        <v>248114634122</v>
      </c>
      <c r="E91" s="34">
        <v>157608655122</v>
      </c>
      <c r="F91" s="34">
        <v>-90505979000</v>
      </c>
    </row>
    <row r="92" spans="2:6" x14ac:dyDescent="0.35">
      <c r="B92" s="17">
        <v>1</v>
      </c>
      <c r="C92" s="17" t="s">
        <v>2</v>
      </c>
      <c r="D92" s="34">
        <v>129899481970</v>
      </c>
      <c r="E92" s="34">
        <v>146842596480</v>
      </c>
      <c r="F92" s="34">
        <v>16943114510</v>
      </c>
    </row>
    <row r="93" spans="2:6" x14ac:dyDescent="0.35">
      <c r="B93" s="17">
        <v>1</v>
      </c>
      <c r="C93" s="17" t="s">
        <v>10</v>
      </c>
      <c r="D93" s="34">
        <v>275543538284</v>
      </c>
      <c r="E93" s="34">
        <v>123229502436</v>
      </c>
      <c r="F93" s="34">
        <v>-152314035848</v>
      </c>
    </row>
    <row r="94" spans="2:6" x14ac:dyDescent="0.35">
      <c r="B94" s="17">
        <v>1</v>
      </c>
      <c r="C94" s="17" t="s">
        <v>5</v>
      </c>
      <c r="D94" s="34">
        <v>247294736555</v>
      </c>
      <c r="E94" s="34">
        <v>198037230197</v>
      </c>
      <c r="F94" s="34">
        <v>-49257506358</v>
      </c>
    </row>
    <row r="95" spans="2:6" x14ac:dyDescent="0.35">
      <c r="B95" s="17" t="s">
        <v>537</v>
      </c>
      <c r="D95" s="34">
        <v>2555865933810</v>
      </c>
      <c r="E95" s="34">
        <v>1627179211025</v>
      </c>
      <c r="F95" s="34">
        <v>-928686722785</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01922-85B4-4492-93F8-FEEAD27BAA4D}">
  <dimension ref="A3:S27"/>
  <sheetViews>
    <sheetView zoomScale="40" zoomScaleNormal="40" workbookViewId="0">
      <selection activeCell="V26" sqref="V26"/>
    </sheetView>
  </sheetViews>
  <sheetFormatPr baseColWidth="10" defaultRowHeight="14.5" x14ac:dyDescent="0.35"/>
  <cols>
    <col min="1" max="1" width="25" bestFit="1" customWidth="1"/>
    <col min="2" max="4" width="17.36328125" bestFit="1" customWidth="1"/>
    <col min="15" max="15" width="25" bestFit="1" customWidth="1"/>
    <col min="16" max="16" width="18.81640625" bestFit="1" customWidth="1"/>
    <col min="17" max="19" width="17.36328125" bestFit="1" customWidth="1"/>
  </cols>
  <sheetData>
    <row r="3" spans="1:19" x14ac:dyDescent="0.35">
      <c r="A3" s="41" t="s">
        <v>547</v>
      </c>
      <c r="B3" s="41" t="s">
        <v>150</v>
      </c>
      <c r="O3" s="41" t="s">
        <v>547</v>
      </c>
      <c r="Q3" s="41" t="s">
        <v>150</v>
      </c>
    </row>
    <row r="4" spans="1:19" x14ac:dyDescent="0.35">
      <c r="A4" s="41" t="s">
        <v>130</v>
      </c>
      <c r="B4" s="17">
        <v>0</v>
      </c>
      <c r="C4" s="17">
        <v>1</v>
      </c>
      <c r="D4" s="17" t="s">
        <v>537</v>
      </c>
      <c r="O4" s="41" t="s">
        <v>129</v>
      </c>
      <c r="P4" s="41" t="s">
        <v>130</v>
      </c>
      <c r="Q4" s="17">
        <v>0</v>
      </c>
      <c r="R4" s="17">
        <v>1</v>
      </c>
      <c r="S4" s="17" t="s">
        <v>537</v>
      </c>
    </row>
    <row r="5" spans="1:19" x14ac:dyDescent="0.35">
      <c r="A5" s="17" t="s">
        <v>13</v>
      </c>
      <c r="B5" s="34">
        <v>18174476836.455311</v>
      </c>
      <c r="C5" s="34">
        <v>11049875213.835831</v>
      </c>
      <c r="D5" s="34">
        <v>29224352050.291142</v>
      </c>
      <c r="O5" s="17" t="s">
        <v>23</v>
      </c>
      <c r="P5" s="17" t="s">
        <v>13</v>
      </c>
      <c r="Q5" s="34">
        <v>12383134154.924677</v>
      </c>
      <c r="R5" s="34">
        <v>1770880321.4632452</v>
      </c>
      <c r="S5" s="34">
        <v>14154014476.387922</v>
      </c>
    </row>
    <row r="6" spans="1:19" x14ac:dyDescent="0.35">
      <c r="A6" s="17" t="s">
        <v>2</v>
      </c>
      <c r="B6" s="34">
        <v>3569861078.5034366</v>
      </c>
      <c r="C6" s="34">
        <v>121899743193.88684</v>
      </c>
      <c r="D6" s="34">
        <v>125469604272.39027</v>
      </c>
      <c r="O6" s="17" t="s">
        <v>23</v>
      </c>
      <c r="P6" s="17" t="s">
        <v>2</v>
      </c>
      <c r="Q6" s="34"/>
      <c r="R6" s="34">
        <v>0</v>
      </c>
      <c r="S6" s="34">
        <v>0</v>
      </c>
    </row>
    <row r="7" spans="1:19" x14ac:dyDescent="0.35">
      <c r="A7" s="17" t="s">
        <v>10</v>
      </c>
      <c r="B7" s="34">
        <v>41938066894.017319</v>
      </c>
      <c r="C7" s="34">
        <v>733014895185.29578</v>
      </c>
      <c r="D7" s="34">
        <v>774952962079.31311</v>
      </c>
      <c r="O7" s="17" t="s">
        <v>23</v>
      </c>
      <c r="P7" s="17" t="s">
        <v>10</v>
      </c>
      <c r="Q7" s="34"/>
      <c r="R7" s="34">
        <v>217037941294.72604</v>
      </c>
      <c r="S7" s="34">
        <v>217037941294.72604</v>
      </c>
    </row>
    <row r="8" spans="1:19" x14ac:dyDescent="0.35">
      <c r="A8" s="17" t="s">
        <v>5</v>
      </c>
      <c r="B8" s="34">
        <v>147700351950.56641</v>
      </c>
      <c r="C8" s="34">
        <v>477522928635.91602</v>
      </c>
      <c r="D8" s="34">
        <v>625223280586.48242</v>
      </c>
      <c r="O8" s="17" t="s">
        <v>23</v>
      </c>
      <c r="P8" s="17" t="s">
        <v>5</v>
      </c>
      <c r="Q8" s="34">
        <v>3430241540.1422386</v>
      </c>
      <c r="R8" s="34">
        <v>30638639380.056801</v>
      </c>
      <c r="S8" s="34">
        <v>34068880920.199039</v>
      </c>
    </row>
    <row r="9" spans="1:19" x14ac:dyDescent="0.35">
      <c r="A9" s="17" t="s">
        <v>537</v>
      </c>
      <c r="B9" s="34">
        <v>211382756759.54248</v>
      </c>
      <c r="C9" s="34">
        <v>1343487442228.9346</v>
      </c>
      <c r="D9" s="34">
        <v>1554870198988.4771</v>
      </c>
      <c r="O9" s="17" t="s">
        <v>4</v>
      </c>
      <c r="P9" s="17" t="s">
        <v>13</v>
      </c>
      <c r="Q9" s="34">
        <v>0</v>
      </c>
      <c r="R9" s="34">
        <v>0</v>
      </c>
      <c r="S9" s="34">
        <v>0</v>
      </c>
    </row>
    <row r="10" spans="1:19" x14ac:dyDescent="0.35">
      <c r="O10" s="17" t="s">
        <v>4</v>
      </c>
      <c r="P10" s="17" t="s">
        <v>10</v>
      </c>
      <c r="Q10" s="34"/>
      <c r="R10" s="34">
        <v>51770939749.90873</v>
      </c>
      <c r="S10" s="34">
        <v>51770939749.90873</v>
      </c>
    </row>
    <row r="11" spans="1:19" x14ac:dyDescent="0.35">
      <c r="O11" s="17" t="s">
        <v>4</v>
      </c>
      <c r="P11" s="17" t="s">
        <v>5</v>
      </c>
      <c r="Q11" s="34">
        <v>9634636425.0091076</v>
      </c>
      <c r="R11" s="34">
        <v>338434127070.08069</v>
      </c>
      <c r="S11" s="34">
        <v>348068763495.08978</v>
      </c>
    </row>
    <row r="12" spans="1:19" x14ac:dyDescent="0.35">
      <c r="O12" s="17" t="s">
        <v>12</v>
      </c>
      <c r="P12" s="17" t="s">
        <v>13</v>
      </c>
      <c r="Q12" s="34">
        <v>3136802804.0512481</v>
      </c>
      <c r="R12" s="34">
        <v>3610944594.7069354</v>
      </c>
      <c r="S12" s="34">
        <v>6747747398.7581835</v>
      </c>
    </row>
    <row r="13" spans="1:19" x14ac:dyDescent="0.35">
      <c r="O13" s="17" t="s">
        <v>12</v>
      </c>
      <c r="P13" s="17" t="s">
        <v>10</v>
      </c>
      <c r="Q13" s="34">
        <v>2338722287.1712155</v>
      </c>
      <c r="R13" s="34">
        <v>5795283090.688736</v>
      </c>
      <c r="S13" s="34">
        <v>8134005377.859951</v>
      </c>
    </row>
    <row r="14" spans="1:19" x14ac:dyDescent="0.35">
      <c r="O14" s="17" t="s">
        <v>12</v>
      </c>
      <c r="P14" s="17" t="s">
        <v>5</v>
      </c>
      <c r="Q14" s="34">
        <v>127738915258.44089</v>
      </c>
      <c r="R14" s="34">
        <v>62179968758.656456</v>
      </c>
      <c r="S14" s="34">
        <v>189918884017.09735</v>
      </c>
    </row>
    <row r="15" spans="1:19" x14ac:dyDescent="0.35">
      <c r="O15" s="17" t="s">
        <v>7</v>
      </c>
      <c r="P15" s="17" t="s">
        <v>13</v>
      </c>
      <c r="Q15" s="34">
        <v>2654539877.4793816</v>
      </c>
      <c r="R15" s="34">
        <v>5408010964.3148966</v>
      </c>
      <c r="S15" s="34">
        <v>8062550841.7942781</v>
      </c>
    </row>
    <row r="16" spans="1:19" x14ac:dyDescent="0.35">
      <c r="O16" s="17" t="s">
        <v>7</v>
      </c>
      <c r="P16" s="17" t="s">
        <v>2</v>
      </c>
      <c r="Q16" s="34">
        <v>363754853.11969489</v>
      </c>
      <c r="R16" s="34">
        <v>1749062255.0303748</v>
      </c>
      <c r="S16" s="34">
        <v>2112817108.1500697</v>
      </c>
    </row>
    <row r="17" spans="1:19" x14ac:dyDescent="0.35">
      <c r="O17" s="17" t="s">
        <v>7</v>
      </c>
      <c r="P17" s="17" t="s">
        <v>10</v>
      </c>
      <c r="Q17" s="34">
        <v>104933428.34413904</v>
      </c>
      <c r="R17" s="34">
        <v>103684816575.2435</v>
      </c>
      <c r="S17" s="34">
        <v>103789750003.58763</v>
      </c>
    </row>
    <row r="18" spans="1:19" x14ac:dyDescent="0.35">
      <c r="O18" s="17" t="s">
        <v>7</v>
      </c>
      <c r="P18" s="17" t="s">
        <v>5</v>
      </c>
      <c r="Q18" s="34">
        <v>4727412211.0386553</v>
      </c>
      <c r="R18" s="34">
        <v>8778739206.2539444</v>
      </c>
      <c r="S18" s="34">
        <v>13506151417.292599</v>
      </c>
    </row>
    <row r="19" spans="1:19" x14ac:dyDescent="0.35">
      <c r="A19" s="41" t="s">
        <v>547</v>
      </c>
      <c r="B19" s="41" t="s">
        <v>150</v>
      </c>
      <c r="O19" s="17" t="s">
        <v>215</v>
      </c>
      <c r="P19" s="17" t="s">
        <v>13</v>
      </c>
      <c r="Q19" s="34">
        <v>0</v>
      </c>
      <c r="R19" s="34"/>
      <c r="S19" s="34">
        <v>0</v>
      </c>
    </row>
    <row r="20" spans="1:19" x14ac:dyDescent="0.35">
      <c r="A20" s="41" t="s">
        <v>129</v>
      </c>
      <c r="B20" s="17">
        <v>0</v>
      </c>
      <c r="C20" s="17">
        <v>1</v>
      </c>
      <c r="D20" s="17" t="s">
        <v>537</v>
      </c>
      <c r="O20" s="17" t="s">
        <v>1</v>
      </c>
      <c r="P20" s="17" t="s">
        <v>2</v>
      </c>
      <c r="Q20" s="34"/>
      <c r="R20" s="34">
        <v>1522264756.7167196</v>
      </c>
      <c r="S20" s="34">
        <v>1522264756.7167196</v>
      </c>
    </row>
    <row r="21" spans="1:19" x14ac:dyDescent="0.35">
      <c r="A21" s="17" t="s">
        <v>23</v>
      </c>
      <c r="B21" s="34">
        <v>15813375695.066916</v>
      </c>
      <c r="C21" s="34">
        <v>249447460996.24606</v>
      </c>
      <c r="D21" s="34">
        <v>265260836691.31299</v>
      </c>
      <c r="O21" s="17" t="s">
        <v>1</v>
      </c>
      <c r="P21" s="17" t="s">
        <v>10</v>
      </c>
      <c r="Q21" s="34">
        <v>39265828068.341133</v>
      </c>
      <c r="R21" s="34">
        <v>79421936046.553238</v>
      </c>
      <c r="S21" s="34">
        <v>118687764114.89438</v>
      </c>
    </row>
    <row r="22" spans="1:19" x14ac:dyDescent="0.35">
      <c r="A22" s="17" t="s">
        <v>4</v>
      </c>
      <c r="B22" s="34">
        <v>9634636425.0091076</v>
      </c>
      <c r="C22" s="34">
        <v>390205066819.98944</v>
      </c>
      <c r="D22" s="34">
        <v>399839703244.99854</v>
      </c>
      <c r="O22" s="17" t="s">
        <v>1</v>
      </c>
      <c r="P22" s="17" t="s">
        <v>5</v>
      </c>
      <c r="Q22" s="34"/>
      <c r="R22" s="34">
        <v>1817080883.9023614</v>
      </c>
      <c r="S22" s="34">
        <v>1817080883.9023614</v>
      </c>
    </row>
    <row r="23" spans="1:19" x14ac:dyDescent="0.35">
      <c r="A23" s="17" t="s">
        <v>12</v>
      </c>
      <c r="B23" s="34">
        <v>133214440349.66335</v>
      </c>
      <c r="C23" s="34">
        <v>244598424537.0564</v>
      </c>
      <c r="D23" s="34">
        <v>377812864886.71973</v>
      </c>
      <c r="O23" s="17" t="s">
        <v>9</v>
      </c>
      <c r="P23" s="17" t="s">
        <v>13</v>
      </c>
      <c r="Q23" s="34"/>
      <c r="R23" s="34">
        <v>260039333.35075414</v>
      </c>
      <c r="S23" s="34">
        <v>260039333.35075414</v>
      </c>
    </row>
    <row r="24" spans="1:19" x14ac:dyDescent="0.35">
      <c r="A24" s="17" t="s">
        <v>7</v>
      </c>
      <c r="B24" s="34">
        <v>7850640369.9818707</v>
      </c>
      <c r="C24" s="34">
        <v>119620629000.84271</v>
      </c>
      <c r="D24" s="34">
        <v>127471269370.82458</v>
      </c>
      <c r="O24" s="17" t="s">
        <v>9</v>
      </c>
      <c r="P24" s="17" t="s">
        <v>2</v>
      </c>
      <c r="Q24" s="34">
        <v>3206106225.3837419</v>
      </c>
      <c r="R24" s="34">
        <v>118628416182.13974</v>
      </c>
      <c r="S24" s="34">
        <v>121834522407.52348</v>
      </c>
    </row>
    <row r="25" spans="1:19" x14ac:dyDescent="0.35">
      <c r="A25" s="17" t="s">
        <v>1</v>
      </c>
      <c r="B25" s="34">
        <v>39265828068.341133</v>
      </c>
      <c r="C25" s="34">
        <v>82761281687.172318</v>
      </c>
      <c r="D25" s="34">
        <v>122027109755.51346</v>
      </c>
      <c r="O25" s="17" t="s">
        <v>9</v>
      </c>
      <c r="P25" s="17" t="s">
        <v>10</v>
      </c>
      <c r="Q25" s="34">
        <v>228583110.16083306</v>
      </c>
      <c r="R25" s="34">
        <v>275303978428.1756</v>
      </c>
      <c r="S25" s="34">
        <v>275532561538.33643</v>
      </c>
    </row>
    <row r="26" spans="1:19" x14ac:dyDescent="0.35">
      <c r="A26" s="17" t="s">
        <v>9</v>
      </c>
      <c r="B26" s="34">
        <v>5603835851.4801435</v>
      </c>
      <c r="C26" s="34">
        <v>429866807280.6319</v>
      </c>
      <c r="D26" s="34">
        <v>435470643132.11206</v>
      </c>
      <c r="O26" s="17" t="s">
        <v>9</v>
      </c>
      <c r="P26" s="17" t="s">
        <v>5</v>
      </c>
      <c r="Q26" s="34">
        <v>2169146515.9355683</v>
      </c>
      <c r="R26" s="34">
        <v>35674373336.965729</v>
      </c>
      <c r="S26" s="34">
        <v>37843519852.901299</v>
      </c>
    </row>
    <row r="27" spans="1:19" x14ac:dyDescent="0.35">
      <c r="A27" s="17" t="s">
        <v>537</v>
      </c>
      <c r="B27" s="34">
        <v>211382756759.54251</v>
      </c>
      <c r="C27" s="34">
        <v>1516499670321.9387</v>
      </c>
      <c r="D27" s="34">
        <v>1727882427081.4814</v>
      </c>
      <c r="O27" s="17" t="s">
        <v>537</v>
      </c>
      <c r="Q27" s="34">
        <v>211382756759.54251</v>
      </c>
      <c r="R27" s="34">
        <v>1343487442228.9346</v>
      </c>
      <c r="S27" s="34">
        <v>1554870198988.4771</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BED86-2754-487B-9F65-645553C358EA}">
  <dimension ref="A1:A26"/>
  <sheetViews>
    <sheetView topLeftCell="A7" workbookViewId="0">
      <selection activeCell="A19" sqref="A19"/>
    </sheetView>
  </sheetViews>
  <sheetFormatPr baseColWidth="10" defaultRowHeight="14.5" x14ac:dyDescent="0.35"/>
  <cols>
    <col min="1" max="1" width="68.54296875" style="31" bestFit="1" customWidth="1"/>
  </cols>
  <sheetData>
    <row r="1" spans="1:1" x14ac:dyDescent="0.35">
      <c r="A1" s="30" t="s">
        <v>211</v>
      </c>
    </row>
    <row r="2" spans="1:1" x14ac:dyDescent="0.35">
      <c r="A2" s="31" t="s">
        <v>222</v>
      </c>
    </row>
    <row r="3" spans="1:1" x14ac:dyDescent="0.35">
      <c r="A3" s="31" t="s">
        <v>224</v>
      </c>
    </row>
    <row r="4" spans="1:1" x14ac:dyDescent="0.35">
      <c r="A4" s="31" t="s">
        <v>223</v>
      </c>
    </row>
    <row r="5" spans="1:1" s="17" customFormat="1" x14ac:dyDescent="0.35">
      <c r="A5" s="31" t="s">
        <v>498</v>
      </c>
    </row>
    <row r="6" spans="1:1" x14ac:dyDescent="0.35">
      <c r="A6" s="31" t="s">
        <v>219</v>
      </c>
    </row>
    <row r="7" spans="1:1" x14ac:dyDescent="0.35">
      <c r="A7" s="31" t="s">
        <v>480</v>
      </c>
    </row>
    <row r="8" spans="1:1" x14ac:dyDescent="0.35">
      <c r="A8" s="31" t="s">
        <v>220</v>
      </c>
    </row>
    <row r="9" spans="1:1" x14ac:dyDescent="0.35">
      <c r="A9" s="31" t="s">
        <v>221</v>
      </c>
    </row>
    <row r="10" spans="1:1" x14ac:dyDescent="0.35">
      <c r="A10" s="31" t="s">
        <v>231</v>
      </c>
    </row>
    <row r="11" spans="1:1" x14ac:dyDescent="0.35">
      <c r="A11" s="31" t="s">
        <v>526</v>
      </c>
    </row>
    <row r="12" spans="1:1" x14ac:dyDescent="0.35">
      <c r="A12" s="31" t="s">
        <v>227</v>
      </c>
    </row>
    <row r="13" spans="1:1" x14ac:dyDescent="0.35">
      <c r="A13" s="31" t="s">
        <v>230</v>
      </c>
    </row>
    <row r="14" spans="1:1" x14ac:dyDescent="0.35">
      <c r="A14" s="31" t="s">
        <v>484</v>
      </c>
    </row>
    <row r="15" spans="1:1" x14ac:dyDescent="0.35">
      <c r="A15" s="31" t="s">
        <v>232</v>
      </c>
    </row>
    <row r="16" spans="1:1" ht="29" x14ac:dyDescent="0.35">
      <c r="A16" s="31" t="s">
        <v>237</v>
      </c>
    </row>
    <row r="17" spans="1:1" x14ac:dyDescent="0.35">
      <c r="A17" s="31" t="s">
        <v>239</v>
      </c>
    </row>
    <row r="18" spans="1:1" x14ac:dyDescent="0.35">
      <c r="A18" s="31" t="s">
        <v>240</v>
      </c>
    </row>
    <row r="19" spans="1:1" ht="43.5" x14ac:dyDescent="0.35">
      <c r="A19" s="31" t="s">
        <v>527</v>
      </c>
    </row>
    <row r="20" spans="1:1" x14ac:dyDescent="0.35">
      <c r="A20" s="31" t="s">
        <v>450</v>
      </c>
    </row>
    <row r="21" spans="1:1" ht="29" x14ac:dyDescent="0.35">
      <c r="A21" s="31" t="s">
        <v>466</v>
      </c>
    </row>
    <row r="22" spans="1:1" x14ac:dyDescent="0.35">
      <c r="A22" s="31" t="s">
        <v>481</v>
      </c>
    </row>
    <row r="23" spans="1:1" x14ac:dyDescent="0.35">
      <c r="A23" s="31" t="s">
        <v>510</v>
      </c>
    </row>
    <row r="24" spans="1:1" ht="43.5" x14ac:dyDescent="0.35">
      <c r="A24" s="31" t="s">
        <v>530</v>
      </c>
    </row>
    <row r="25" spans="1:1" ht="58" x14ac:dyDescent="0.35">
      <c r="A25" s="31" t="s">
        <v>524</v>
      </c>
    </row>
    <row r="26" spans="1:1" ht="72.5" x14ac:dyDescent="0.35">
      <c r="A26" s="31" t="s">
        <v>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Data</vt:lpstr>
      <vt:lpstr>Data2</vt:lpstr>
      <vt:lpstr>BRI</vt:lpstr>
      <vt:lpstr>Inversiones</vt:lpstr>
      <vt:lpstr>Comercio</vt:lpstr>
      <vt:lpstr>Financiamiento</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dc:creator>
  <cp:lastModifiedBy>Franco</cp:lastModifiedBy>
  <dcterms:created xsi:type="dcterms:W3CDTF">2021-11-05T22:06:28Z</dcterms:created>
  <dcterms:modified xsi:type="dcterms:W3CDTF">2021-11-08T16:22:52Z</dcterms:modified>
</cp:coreProperties>
</file>